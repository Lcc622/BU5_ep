
<file path=[Content_Types].xml><?xml version="1.0" encoding="utf-8"?>
<Types xmlns="http://schemas.openxmlformats.org/package/2006/content-types">
  <Default Extension="vml" ContentType="application/vnd.openxmlformats-officedocument.vmlDrawing"/>
  <Default Extension="png" ContentType="image/png"/>
  <Default Extension="gif" ContentType="image/gi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30200" windowHeight="15320" firstSheet="8" activeTab="8"/>
  </bookViews>
  <sheets>
    <sheet name="icons" sheetId="8" state="hidden" r:id="rId1"/>
    <sheet name="International URLs" sheetId="9" state="hidden" r:id="rId2"/>
    <sheet name="International Settings" sheetId="11" state="hidden" r:id="rId3"/>
    <sheet name="DropdownSizer" sheetId="13" state="veryHidden" r:id="rId4"/>
    <sheet name="Instructions" sheetId="20" r:id="rId5"/>
    <sheet name="International Translations" sheetId="14" state="hidden" r:id="rId6"/>
    <sheet name="Data Validation" sheetId="15" state="hidden" r:id="rId7"/>
    <sheet name="International Data" sheetId="16" state="hidden" r:id="rId8"/>
    <sheet name="Template" sheetId="2" r:id="rId9"/>
    <sheet name="Conditions List" sheetId="4" state="hidden" r:id="rId10"/>
    <sheet name="Dropdown Lists" sheetId="6" state="hidden" r:id="rId11"/>
    <sheet name="AttributePTDMAP" sheetId="7" state="hidden" r:id="rId12"/>
  </sheets>
  <externalReferences>
    <externalReference r:id="rId13"/>
    <externalReference r:id="rId14"/>
  </externalReferences>
  <definedNames>
    <definedName name="are_batteries_included">'[1]Dropdown Lists'!$BV$4:$BV$5</definedName>
    <definedName name="attributeMapFeedProductType">AttributePTDMAP!$B$1</definedName>
    <definedName name="Auto_Update">'International Settings'!$A$28</definedName>
    <definedName name="batteries_required">'[1]Dropdown Lists'!$BU$4:$BU$5</definedName>
    <definedName name="brand_name">'Dropdown Lists'!$BQ$4:$BQ$5</definedName>
    <definedName name="CONDITION_LIST_0">'Conditions List'!$A$2</definedName>
    <definedName name="CONDITION_LIST_1">'Conditions List'!$B$2:$B$13</definedName>
    <definedName name="CONDITION_LIST_2">'Conditions List'!$C$2</definedName>
    <definedName name="CONDITION_LIST_3">'Conditions List'!$D$2</definedName>
    <definedName name="Data_Validation_Table_Beta_Folder" localSheetId="4">'[1]International Settings'!$A$13</definedName>
    <definedName name="Data_Validation_Table_Beta_Folder">'International Settings'!$A$13</definedName>
    <definedName name="Data_Validation_Table_Filename" localSheetId="4">'[1]International Settings'!$A$16</definedName>
    <definedName name="Data_Validation_Table_Filename">'International Settings'!$A$16</definedName>
    <definedName name="Data_Validation_Table_Production_Folder" localSheetId="4">'[1]International Settings'!$A$10</definedName>
    <definedName name="Data_Validation_Table_Production_Folder">'International Settings'!$A$10</definedName>
    <definedName name="Data_Validation_Table_Revdate">'International Settings'!$A$7</definedName>
    <definedName name="Devo_Upload_URL">'International Settings'!$A$26</definedName>
    <definedName name="dressage_range_description">'Dropdown Lists'!$C$4:$C$7</definedName>
    <definedName name="dressapparel_body_type">'Dropdown Lists'!$F$4:$F$5</definedName>
    <definedName name="dressapparel_height_type">'Dropdown Lists'!$S$4:$S$8</definedName>
    <definedName name="dressapparel_size">'Dropdown Lists'!$AK$4:$AK$116</definedName>
    <definedName name="dressapparel_size_class">'Dropdown Lists'!$AR$4:$AR$6</definedName>
    <definedName name="dressapparel_size_system">'Dropdown Lists'!$AP$4</definedName>
    <definedName name="dressapparel_size_to">'Dropdown Lists'!$BO$4:$BO$116</definedName>
    <definedName name="dressare_batteries_included">'Dropdown Lists'!$U$4:$U$5</definedName>
    <definedName name="dressbatteries_required">'Dropdown Lists'!$O$4:$O$5</definedName>
    <definedName name="dressbattery_cell_composition">'Dropdown Lists'!$P$4:$P$36</definedName>
    <definedName name="dressbattery_type">'Dropdown Lists'!$AN$4:$AN$22</definedName>
    <definedName name="dressbattery_weight_unit_of_measure">'Dropdown Lists'!$AW$4:$AW$8</definedName>
    <definedName name="dresscare_instructions">'Dropdown Lists'!$BM$4:$BM$6</definedName>
    <definedName name="dresscollection_name">'Dropdown Lists'!$AC$4:$AC$17</definedName>
    <definedName name="dresscolor_map">'Dropdown Lists'!$T$4:$T$20</definedName>
    <definedName name="dresscondition_type">'Dropdown Lists'!$AU$4:$AU$13</definedName>
    <definedName name="dresscountry_of_origin">'Dropdown Lists'!$G$4:$G$269</definedName>
    <definedName name="dresscurrency">'Dropdown Lists'!$M$4:$M$11</definedName>
    <definedName name="dressdepartment_name">'Dropdown Lists'!$AS$4:$AS$9</definedName>
    <definedName name="dresseu_toys_safety_directive_age_warning">'Dropdown Lists'!$BG$4:$BG$17</definedName>
    <definedName name="dresseu_toys_safety_directive_language">'Dropdown Lists'!$AA$4:$AA$24</definedName>
    <definedName name="dresseu_toys_safety_directive_warning">'Dropdown Lists'!$AQ$4:$AQ$12</definedName>
    <definedName name="dressexternal_product_id_type">'Dropdown Lists'!$I$4:$I$8</definedName>
    <definedName name="dressfulfillment_center_id">'Dropdown Lists'!$AG$4:$AG$5</definedName>
    <definedName name="dressghs_classification_class">'Dropdown Lists'!$AJ$4:$AJ$13</definedName>
    <definedName name="dressgtin_exemption_reason">'Dropdown Lists'!$AY$4:$AY$5</definedName>
    <definedName name="dressis_adult_product">'Dropdown Lists'!$L$4:$L$5</definedName>
    <definedName name="dressis_autographed">'Dropdown Lists'!$D$4:$D$5</definedName>
    <definedName name="dressis_discontinued_by_manufacturer">'Dropdown Lists'!$AZ$4:$AZ$5</definedName>
    <definedName name="dressis_expiration_dated_product">'Dropdown Lists'!$E$4:$E$5</definedName>
    <definedName name="dressitem_dimensions_unit_of_measure">'Dropdown Lists'!$BI$4:$BI$9</definedName>
    <definedName name="dressitem_length_description">'Dropdown Lists'!$AI$4:$AI$7</definedName>
    <definedName name="dressitem_volume_unit_of_measure">'Dropdown Lists'!$BE$4:$BE$22</definedName>
    <definedName name="dressitem_weight_unit_of_measure">'Dropdown Lists'!$BA$4:$BA$8</definedName>
    <definedName name="dressitem_width_unit_of_measure">'[2]Dropdown Lists'!$E$4:$E$9</definedName>
    <definedName name="dresslanguage_value">'Dropdown Lists'!$BD$4:$BD$543</definedName>
    <definedName name="dressleague_name">'Dropdown Lists'!$AT$4:$AT$51</definedName>
    <definedName name="dresslifecycle_supply_type">'Dropdown Lists'!$BJ$4:$BJ$7</definedName>
    <definedName name="dresslifestyle">'Dropdown Lists'!$AH$4:$AH$7</definedName>
    <definedName name="dresslithium_battery_energy_content_unit_of_measure">'Dropdown Lists'!$AM$4:$AM$12</definedName>
    <definedName name="dresslithium_battery_packaging">'Dropdown Lists'!$H$4:$H$6</definedName>
    <definedName name="dresslithium_battery_weight_unit_of_measure">'Dropdown Lists'!$AF$4:$AF$8</definedName>
    <definedName name="dressmerchant_shipping_group_name">'Dropdown Lists'!$AX$4</definedName>
    <definedName name="dressoffering_can_be_gift_messaged">'Dropdown Lists'!$BN$4:$BN$5</definedName>
    <definedName name="dressoffering_can_be_giftwrapped">'Dropdown Lists'!$AL$4:$AL$5</definedName>
    <definedName name="dressouter_material_type">'Dropdown Lists'!$AO$4:$AO$29</definedName>
    <definedName name="dresspackage_dimensions_unit_of_measure">'Dropdown Lists'!$AD$4:$AD$9</definedName>
    <definedName name="dresspackage_weight_unit_of_measure">'Dropdown Lists'!$Q$4:$Q$8</definedName>
    <definedName name="dressparent_child">'Dropdown Lists'!$BH$4:$BH$7</definedName>
    <definedName name="dresspricing_action">'Dropdown Lists'!$BF$4:$BF$6</definedName>
    <definedName name="dressproduct_expiration_type">'Dropdown Lists'!$V$4:$V$8</definedName>
    <definedName name="dressproduct_tax_code">'Dropdown Lists'!$BL$4:$BL$69</definedName>
    <definedName name="dressprogressive_discount_type">'Dropdown Lists'!$AE$4:$AE$5</definedName>
    <definedName name="dressquantity_price_type">'Dropdown Lists'!$BK$4:$BK$5</definedName>
    <definedName name="dressrecommended_browse_nodes">'Dropdown Lists'!$BS$4:$BS$5</definedName>
    <definedName name="dressrelationship_type">'Dropdown Lists'!$B$4:$B$6</definedName>
    <definedName name="dressseasons">'Dropdown Lists'!$Y$4:$Y$5</definedName>
    <definedName name="dresssize_map">'Dropdown Lists'!$W$4:$W$21</definedName>
    <definedName name="dresssleeve_type">'Dropdown Lists'!$BC$4:$BC$7</definedName>
    <definedName name="dressspecial_size_type">'Dropdown Lists'!$AV$4:$AV$7</definedName>
    <definedName name="dressstyle_name">'Dropdown Lists'!$BP$4:$BP$24</definedName>
    <definedName name="dresssupplier_declared_dg_hz_regulation">'Dropdown Lists'!$N$4:$N$10</definedName>
    <definedName name="dresssupplier_declared_material_regulation">'Dropdown Lists'!$BB$4:$BB$7</definedName>
    <definedName name="dresstarget_gender">'Dropdown Lists'!$K$4:$K$6</definedName>
    <definedName name="dressteam_name">'Dropdown Lists'!$Z$4</definedName>
    <definedName name="dresstemperature_rating">'Dropdown Lists'!$X$4:$X$7</definedName>
    <definedName name="dressupdate_delete">'Dropdown Lists'!$R$4:$R$6</definedName>
    <definedName name="dressvariation_theme">'Dropdown Lists'!$J$4:$J$20</definedName>
    <definedName name="dresswebsite_shipping_weight_unit_of_measure">'Dropdown Lists'!$AB$4:$AB$8</definedName>
    <definedName name="Dropdown_Lists_Beta_Folder" localSheetId="4">'[1]International Settings'!$A$14</definedName>
    <definedName name="Dropdown_Lists_Beta_Folder">'International Settings'!$A$14</definedName>
    <definedName name="Dropdown_Lists_Production_Folder" localSheetId="4">'[1]International Settings'!$A$11</definedName>
    <definedName name="Dropdown_Lists_Production_Folder">'International Settings'!$A$11</definedName>
    <definedName name="Dropdown_Lists_Table_Filename" localSheetId="4">'[1]International Settings'!$A$17</definedName>
    <definedName name="Dropdown_Lists_Table_Filename">'International Settings'!$A$17</definedName>
    <definedName name="Dropdown_Lists_Table_Revdate">'International Settings'!$A$8</definedName>
    <definedName name="feed_product_type">'Dropdown Lists'!$A$4</definedName>
    <definedName name="Feed_Type">'International Settings'!$A$4</definedName>
    <definedName name="FlatFile_Generation_Author">"Sharath Chandra Reddy - Email : screddy@amazon.com , SharathDotC@Gmail.Com - Phone : 91-9160609724 - [ One-Click Automated Flat File Generation for Merchants@Amazon ]"</definedName>
    <definedName name="Full_Data_Validation_Table_URL">'International Settings'!$A$22</definedName>
    <definedName name="Full_Dropdown_Lists_Table_URL">'International Settings'!$A$23</definedName>
    <definedName name="Full_Misc_Data_Table_URL">'International Settings'!$A$21</definedName>
    <definedName name="Internal_Template_Name">'International Settings'!$A$35</definedName>
    <definedName name="Is_Beta">FALSE</definedName>
    <definedName name="Is_Devo">'International Settings'!$A$25</definedName>
    <definedName name="item_sku">Template!$B$1:$B$1048301</definedName>
    <definedName name="Last_Update">'International Settings'!$A$27</definedName>
    <definedName name="Macros_Version">'International Settings'!$A$36</definedName>
    <definedName name="merchant_shipping_group_name">'Dropdown Lists'!$BR$4:$BR$5</definedName>
    <definedName name="Misc_Data_Table_Beta_Folder" localSheetId="4">'[1]International Settings'!$A$12</definedName>
    <definedName name="Misc_Data_Table_Beta_Folder">'International Settings'!$A$12</definedName>
    <definedName name="Misc_Data_Table_Filename" localSheetId="4">'[1]International Settings'!$A$15</definedName>
    <definedName name="Misc_Data_Table_Filename">'International Settings'!$A$15</definedName>
    <definedName name="Misc_Data_Table_Production_Folder" localSheetId="4">'[1]International Settings'!$A$9</definedName>
    <definedName name="Misc_Data_Table_Production_Folder">'International Settings'!$A$9</definedName>
    <definedName name="Misc_Data_Table_Revdate">'International Settings'!$A$6</definedName>
    <definedName name="new">"ref"</definedName>
    <definedName name="optionalAttributePTDMap">AttributePTDMAP!$A$29:$B$189</definedName>
    <definedName name="preferredAttributePTDMap">AttributePTDMAP!$A$190:$B$190</definedName>
    <definedName name="recommendedAttributePTDMap">AttributePTDMAP!$A$191:$B$191</definedName>
    <definedName name="requiredAttributePTDMap">AttributePTDMAP!$A$1:$B$28</definedName>
    <definedName name="Show_Create_Templates_Toolbar">'International Settings'!$A$1</definedName>
    <definedName name="Status_Check_URL_Type">'International Settings'!$A$24</definedName>
    <definedName name="Template_Automation_Developer">"screddy@amazon.com - Sharath Chandra Reddy"</definedName>
    <definedName name="template_language">'International Settings'!$A$2</definedName>
    <definedName name="template_language_2">'International Settings'!$A$3</definedName>
    <definedName name="test1">"refersto1"</definedName>
    <definedName name="Toolbar_Button_Caption_Credentials">'International Settings'!$A$32</definedName>
    <definedName name="Toolbar_Button_Caption_Import">'International Settings'!$A$33</definedName>
    <definedName name="Toolbar_Button_Caption_Update">'International Settings'!$A$34</definedName>
    <definedName name="Toolbar_Button_Caption_Upload">'International Settings'!$A$31</definedName>
    <definedName name="Toolbar_Button_Caption_Validate">'International Settings'!$A$30</definedName>
    <definedName name="translation_key_accepted_file_types">'International Translations'!$B$2</definedName>
    <definedName name="translation_key_active_cell_sku_header">'International Translations'!$B$3</definedName>
    <definedName name="translation_key_add_offer">'International Translations'!$B$4</definedName>
    <definedName name="translation_key_alphabetical_order">'International Translations'!$B$5</definedName>
    <definedName name="translation_key_amazon_listing_loader">'International Translations'!$B$6</definedName>
    <definedName name="translation_key_amazon_template_localization">'International Translations'!$B$7</definedName>
    <definedName name="translation_key_amazon_upload">'International Translations'!$B$8</definedName>
    <definedName name="translation_key_amazon_upload_manager">'International Translations'!$B$9</definedName>
    <definedName name="translation_key_amazon_validation">'International Translations'!$B$10</definedName>
    <definedName name="translation_key_applying_dropdown_lists_1">'International Translations'!$B$11</definedName>
    <definedName name="translation_key_applying_dropdown_lists_2">'International Translations'!$B$12</definedName>
    <definedName name="translation_key_auto_fill_sku">'International Translations'!$B$13</definedName>
    <definedName name="translation_key_auto_update_days">'International Translations'!$B$14</definedName>
    <definedName name="translation_key_automatically_looked_up">'International Translations'!$B$15</definedName>
    <definedName name="translation_key_aws_id">'International Translations'!$B$16</definedName>
    <definedName name="translation_key_bad_identifier">'International Translations'!$B$17</definedName>
    <definedName name="translation_key_batch_id">'International Translations'!$B$18</definedName>
    <definedName name="translation_key_browse_file">'International Translations'!$B$19</definedName>
    <definedName name="translation_key_browse_file_header">'International Translations'!$B$20</definedName>
    <definedName name="translation_key_browse_to_data_validation">'International Translations'!$B$21</definedName>
    <definedName name="translation_key_browse_to_workbook_1">'International Translations'!$B$22</definedName>
    <definedName name="translation_key_browse_to_workbook_2">'International Translations'!$B$23</definedName>
    <definedName name="translation_key_bulk_lookup">'International Translations'!$B$24</definedName>
    <definedName name="translation_key_cancelled">'International Translations'!$B$25</definedName>
    <definedName name="translation_key_cannot_create_list">'International Translations'!$B$26</definedName>
    <definedName name="translation_key_cannot_find_xml_text">'International Translations'!$B$27</definedName>
    <definedName name="translation_key_cannot_proceed_1">'International Translations'!$B$28</definedName>
    <definedName name="translation_key_cannot_proceed_2">'International Translations'!$B$29</definedName>
    <definedName name="translation_key_cannot_rename_1">'International Translations'!$B$30</definedName>
    <definedName name="translation_key_cannot_rename_2">'International Translations'!$B$31</definedName>
    <definedName name="translation_key_cant_find_column_header_1">'International Translations'!$B$32</definedName>
    <definedName name="translation_key_cant_find_column_header_2">'International Translations'!$B$33</definedName>
    <definedName name="translation_key_cant_find_column_header_3">'International Translations'!$B$34</definedName>
    <definedName name="translation_key_cant_find_column_header_4">'International Translations'!$B$35</definedName>
    <definedName name="translation_key_cant_find_column_header_5">'International Translations'!$B$36</definedName>
    <definedName name="translation_key_cant_find_column_header_6">'International Translations'!$B$37</definedName>
    <definedName name="translation_key_cant_find_header">'International Translations'!$B$38</definedName>
    <definedName name="translation_key_cant_find_hidden_1">'International Translations'!$B$39</definedName>
    <definedName name="translation_key_cant_find_hidden_2">'International Translations'!$B$40</definedName>
    <definedName name="translation_key_cant_find_hidden_3">'International Translations'!$B$41</definedName>
    <definedName name="translation_key_cant_find_hidden_4">'International Translations'!$B$42</definedName>
    <definedName name="translation_key_cant_find_template_name">'International Translations'!$B$43</definedName>
    <definedName name="translation_key_cant_find_worksheet">'International Translations'!$B$44</definedName>
    <definedName name="translation_key_check_import">'International Translations'!$B$45</definedName>
    <definedName name="translation_key_check_status">'International Translations'!$B$46</definedName>
    <definedName name="translation_key_checking_no_columns">'International Translations'!$B$47</definedName>
    <definedName name="translation_key_choose_template_sheets">'International Translations'!$B$48</definedName>
    <definedName name="translation_key_choose_worksheet">'International Translations'!$B$49</definedName>
    <definedName name="translation_key_closing_import_file">'International Translations'!$B$50</definedName>
    <definedName name="translation_key_codepage_text">'International Translations'!$B$51</definedName>
    <definedName name="translation_key_column_1">'International Translations'!$B$52</definedName>
    <definedName name="translation_key_column_2">'International Translations'!$B$53</definedName>
    <definedName name="translation_key_column_headers_not_selected">'International Translations'!$B$54</definedName>
    <definedName name="translation_key_column_headers_paired_up">'International Translations'!$B$55</definedName>
    <definedName name="translation_key_condition_type">'International Translations'!$B$56</definedName>
    <definedName name="translation_key_confirm_sec_pass">'International Translations'!$B$57</definedName>
    <definedName name="translation_key_create_feed_templates">'International Translations'!$B$58</definedName>
    <definedName name="translation_key_creating_intl_templates">'International Translations'!$B$59</definedName>
    <definedName name="translation_key_creating_match_array">'International Translations'!$B$60</definedName>
    <definedName name="translation_key_creating_template_1">'International Translations'!$B$61</definedName>
    <definedName name="translation_key_creating_template_2">'International Translations'!$B$62</definedName>
    <definedName name="translation_key_credentials">'International Translations'!$B$63</definedName>
    <definedName name="translation_key_credentials_frame_header">'International Translations'!$B$64</definedName>
    <definedName name="translation_key_credentials_header">'International Translations'!$B$65</definedName>
    <definedName name="translation_key_credentials_securely_stored">'International Translations'!$B$66</definedName>
    <definedName name="translation_key_credentials_stored_successfully">'International Translations'!$B$67</definedName>
    <definedName name="translation_key_credentials_successfully_removed">'International Translations'!$B$68</definedName>
    <definedName name="translation_key_credentials_successfully_removed_long">'International Translations'!$B$69</definedName>
    <definedName name="translation_key_csv_files">'International Translations'!$B$70</definedName>
    <definedName name="translation_key_csv_msg_1">'International Translations'!$B$71</definedName>
    <definedName name="translation_key_csv_msg_2">'International Translations'!$B$72</definedName>
    <definedName name="translation_key_csv_msg_3">'International Translations'!$B$73</definedName>
    <definedName name="translation_key_data_found">'International Translations'!$B$74</definedName>
    <definedName name="translation_key_data_found_range_1">'International Translations'!$B$75</definedName>
    <definedName name="translation_key_data_found_range_2">'International Translations'!$B$76</definedName>
    <definedName name="translation_key_data_found_range_3">'International Translations'!$B$77</definedName>
    <definedName name="translation_key_data_not_found">'International Translations'!$B$78</definedName>
    <definedName name="translation_key_decrypting_mws_credentials">'International Translations'!$B$79</definedName>
    <definedName name="translation_key_default_preferences">'International Translations'!$B$80</definedName>
    <definedName name="translation_key_deselect_all">'International Translations'!$B$81</definedName>
    <definedName name="translation_key_details">'International Translations'!$B$82</definedName>
    <definedName name="translation_key_done">'International Translations'!$B$83</definedName>
    <definedName name="translation_key_done_importing_1">'International Translations'!$B$84</definedName>
    <definedName name="translation_key_done_importing_2">'International Translations'!$B$85</definedName>
    <definedName name="translation_key_done_importing_3">'International Translations'!$B$86</definedName>
    <definedName name="translation_key_done_importing_4">'International Translations'!$B$87</definedName>
    <definedName name="translation_key_done_importing_5">'International Translations'!$B$88</definedName>
    <definedName name="translation_key_done_importing_6">'International Translations'!$B$89</definedName>
    <definedName name="translation_key_download_not_successful_1">'International Translations'!$B$90</definedName>
    <definedName name="translation_key_download_not_successful_2">'International Translations'!$B$91</definedName>
    <definedName name="translation_key_download_not_successful_3">'International Translations'!$B$92</definedName>
    <definedName name="translation_key_download_not_successful_4">'International Translations'!$B$93</definedName>
    <definedName name="translation_key_download_not_successful_5">'International Translations'!$B$94</definedName>
    <definedName name="translation_key_download_not_successful_long_1">'International Translations'!$B$95</definedName>
    <definedName name="translation_key_download_not_successful_long_2">'International Translations'!$B$96</definedName>
    <definedName name="translation_key_download_not_successful_long_3">'International Translations'!$B$97</definedName>
    <definedName name="translation_key_download_not_successful_long_4">'International Translations'!$B$98</definedName>
    <definedName name="translation_key_download_not_successful_long_5">'International Translations'!$B$99</definedName>
    <definedName name="translation_key_download_not_successful_long_6">'International Translations'!$B$100</definedName>
    <definedName name="translation_key_download_not_successful_long_7">'International Translations'!$B$101</definedName>
    <definedName name="translation_key_download_unsuccessful">'International Translations'!$B$102</definedName>
    <definedName name="translation_key_download_validation_not_successful_1">'International Translations'!$B$103</definedName>
    <definedName name="translation_key_download_validation_not_successful_2">'International Translations'!$B$104</definedName>
    <definedName name="translation_key_download_validation_not_successful_3">'International Translations'!$B$105</definedName>
    <definedName name="translation_key_download_validation_not_successful_4">'International Translations'!$B$106</definedName>
    <definedName name="translation_key_download_validation_not_successful_5">'International Translations'!$B$107</definedName>
    <definedName name="translation_key_download_validation_not_successful_6">'International Translations'!$B$108</definedName>
    <definedName name="translation_key_downloading_intl_data">'International Translations'!$B$109</definedName>
    <definedName name="translation_key_electronics">'International Translations'!$B$110</definedName>
    <definedName name="translation_key_email_address">'International Translations'!$B$111</definedName>
    <definedName name="translation_key_english_version_not_found_1">'International Translations'!$B$112</definedName>
    <definedName name="translation_key_english_version_not_found_2">'International Translations'!$B$113</definedName>
    <definedName name="translation_key_english_version_not_found_3">'International Translations'!$B$114</definedName>
    <definedName name="translation_key_enter_key_unavailable">'International Translations'!$B$115</definedName>
    <definedName name="translation_key_enter_mws_credentials">'International Translations'!$B$116</definedName>
    <definedName name="translation_key_enter_sec_pass">'International Translations'!$B$117</definedName>
    <definedName name="translation_key_enter_sec_pass_short">'International Translations'!$B$118</definedName>
    <definedName name="translation_key_error">'International Translations'!$B$119</definedName>
    <definedName name="translation_key_error_code">'International Translations'!$B$120</definedName>
    <definedName name="translation_key_error_message">'International Translations'!$B$121</definedName>
    <definedName name="translation_key_error_occurred_1">'International Translations'!$B$122</definedName>
    <definedName name="translation_key_error_occurred_2">'International Translations'!$B$123</definedName>
    <definedName name="translation_key_errors_found">'International Translations'!$B$124</definedName>
    <definedName name="translation_key_esc_key_unavailable">'International Translations'!$B$125</definedName>
    <definedName name="translation_key_excel_files">'International Translations'!$B$126</definedName>
    <definedName name="translation_key_excel_inst_enter_1">'International Translations'!$B$127</definedName>
    <definedName name="translation_key_excel_inst_enter_2">'International Translations'!$B$128</definedName>
    <definedName name="translation_key_excel_inst_enter_3">'International Translations'!$B$129</definedName>
    <definedName name="translation_key_excel_inst_enter_4">'International Translations'!$B$130</definedName>
    <definedName name="translation_key_excel_inst_esc_1">'International Translations'!$B$131</definedName>
    <definedName name="translation_key_excel_inst_esc_2">'International Translations'!$B$132</definedName>
    <definedName name="translation_key_excel_inst_esc_3">'International Translations'!$B$133</definedName>
    <definedName name="translation_key_excel_inst_esc_4">'International Translations'!$B$134</definedName>
    <definedName name="translation_key_excel_inst_tab_1">'International Translations'!$B$135</definedName>
    <definedName name="translation_key_excel_inst_tab_2">'International Translations'!$B$136</definedName>
    <definedName name="translation_key_excel_inst_tab_3">'International Translations'!$B$137</definedName>
    <definedName name="translation_key_excel_inst_tab_4">'International Translations'!$B$138</definedName>
    <definedName name="translation_key_file_import_cancelled">'International Translations'!$B$139</definedName>
    <definedName name="translation_key_finishing_up">'International Translations'!$B$140</definedName>
    <definedName name="translation_key_forgot_credentials">'International Translations'!$B$141</definedName>
    <definedName name="translation_key_getting_import_workbook">'International Translations'!$B$142</definedName>
    <definedName name="translation_key_getting_import_worksheet">'International Translations'!$B$143</definedName>
    <definedName name="translation_key_identifier_empty">'International Translations'!$B$144</definedName>
    <definedName name="translation_key_import">'International Translations'!$B$145</definedName>
    <definedName name="translation_key_import_any_file">'International Translations'!$B$149</definedName>
    <definedName name="translation_key_import_cancelled">'International Translations'!$B$150</definedName>
    <definedName name="translation_key_import_complete">'International Translations'!$B$151</definedName>
    <definedName name="translation_key_import_csv">'International Translations'!$B$152</definedName>
    <definedName name="translation_key_import_csv_errors_1">'International Translations'!$B$153</definedName>
    <definedName name="translation_key_import_csv_errors_2">'International Translations'!$B$154</definedName>
    <definedName name="translation_key_import_csv_errors_3">'International Translations'!$B$155</definedName>
    <definedName name="translation_key_import_error">'International Translations'!$B$156</definedName>
    <definedName name="translation_key_import_failed_1">'International Translations'!$B$157</definedName>
    <definedName name="translation_key_import_failed_2">'International Translations'!$B$158</definedName>
    <definedName name="translation_key_import_failed_3">'International Translations'!$B$159</definedName>
    <definedName name="translation_key_import_failed_4">'International Translations'!$B$160</definedName>
    <definedName name="translation_key_import_file">'International Translations'!$B$161</definedName>
    <definedName name="translation_key_import_from_1">'International Translations'!$B$146</definedName>
    <definedName name="translation_key_import_from_2">'International Translations'!$B$147</definedName>
    <definedName name="translation_key_import_from_3">'International Translations'!$B$148</definedName>
    <definedName name="translation_key_import_headers">'International Translations'!$B$162</definedName>
    <definedName name="translation_key_importing_columns">'International Translations'!$B$163</definedName>
    <definedName name="translation_key_importing_dropdown_lists">'International Translations'!$B$164</definedName>
    <definedName name="translation_key_importing_intl_table">'International Translations'!$B$165</definedName>
    <definedName name="translation_key_importing_preferences">'International Translations'!$B$166</definedName>
    <definedName name="translation_key_importing_validation_table">'International Translations'!$B$167</definedName>
    <definedName name="translation_key_incomplete_response">'International Translations'!$B$168</definedName>
    <definedName name="translation_key_incorrect_information">'International Translations'!$B$169</definedName>
    <definedName name="translation_key_initializing">'International Translations'!$B$170</definedName>
    <definedName name="translation_key_integrating_dropdown_lists">'International Translations'!$B$171</definedName>
    <definedName name="translation_key_internal_error">'International Translations'!$B$172</definedName>
    <definedName name="translation_key_internal_error_occurred">'International Translations'!$B$173</definedName>
    <definedName name="translation_key_internal_error_validation">'International Translations'!$B$174</definedName>
    <definedName name="translation_key_interval_must_be_number">'International Translations'!$B$175</definedName>
    <definedName name="translation_key_invalid_credentials">'International Translations'!$B$176</definedName>
    <definedName name="translation_key_invalid_filename_1">'International Translations'!$B$177</definedName>
    <definedName name="translation_key_invalid_filename_2">'International Translations'!$B$178</definedName>
    <definedName name="translation_key_invalid_filename_3">'International Translations'!$B$179</definedName>
    <definedName name="translation_key_invalid_identifier_1">'International Translations'!$B$180</definedName>
    <definedName name="translation_key_invalid_identifier_2">'International Translations'!$B$181</definedName>
    <definedName name="translation_key_invalid_interval">'International Translations'!$B$182</definedName>
    <definedName name="translation_key_invalid_values_1">'International Translations'!$B$183</definedName>
    <definedName name="translation_key_invalid_values_2">'International Translations'!$B$184</definedName>
    <definedName name="translation_key_item_not_found">'International Translations'!$B$185</definedName>
    <definedName name="translation_key_item_not_found_catalog">'International Translations'!$B$186</definedName>
    <definedName name="translation_key_item_not_found_category">'International Translations'!$B$187</definedName>
    <definedName name="translation_key_lang_char_setting">'International Translations'!$B$188</definedName>
    <definedName name="translation_key_lang_templates_saved">'International Translations'!$B$189</definedName>
    <definedName name="translation_key_letting_user_choose">'International Translations'!$B$190</definedName>
    <definedName name="translation_key_listing_loader_imp_msg">'International Translations'!$B$191</definedName>
    <definedName name="translation_key_loading">'International Translations'!$B$192</definedName>
    <definedName name="translation_key_localized_filename">'International Translations'!$B$193</definedName>
    <definedName name="translation_key_login_failure">'International Translations'!$B$194</definedName>
    <definedName name="translation_key_look_up_group">'International Translations'!$B$195</definedName>
    <definedName name="translation_key_looking_up_1">'International Translations'!$B$196</definedName>
    <definedName name="translation_key_looking_up_2">'International Translations'!$B$197</definedName>
    <definedName name="translation_key_looking_up_3">'International Translations'!$B$198</definedName>
    <definedName name="translation_key_lookup_errors">'International Translations'!$B$199</definedName>
    <definedName name="translation_key_lookup_index">'International Translations'!$B$200</definedName>
    <definedName name="translation_key_lookup_turn_on">'International Translations'!$B$201</definedName>
    <definedName name="translation_key_manual_data_text">'International Translations'!$B$202</definedName>
    <definedName name="translation_key_marketplace_id">'International Translations'!$B$203</definedName>
    <definedName name="translation_key_master_workbook_error_1">'International Translations'!$B$204</definedName>
    <definedName name="translation_key_master_workbook_error_2">'International Translations'!$B$205</definedName>
    <definedName name="translation_key_master_workbook_error_3">'International Translations'!$B$206</definedName>
    <definedName name="translation_key_master_workbook_error_4">'International Translations'!$B$207</definedName>
    <definedName name="translation_key_master_workbook_error_5">'International Translations'!$B$208</definedName>
    <definedName name="translation_key_master_workbook_error_6">'International Translations'!$B$209</definedName>
    <definedName name="translation_key_match_column_headers">'International Translations'!$B$210</definedName>
    <definedName name="translation_key_match_headers_text">'International Translations'!$B$211</definedName>
    <definedName name="translation_key_matched_pairs">'International Translations'!$B$212</definedName>
    <definedName name="translation_key_matches">'International Translations'!$B$213</definedName>
    <definedName name="translation_key_merchant_id">'International Translations'!$B$214</definedName>
    <definedName name="translation_key_missing_information">'International Translations'!$B$215</definedName>
    <definedName name="translation_key_missing_url">'International Translations'!$B$216</definedName>
    <definedName name="translation_key_missing_url_update_1">'International Translations'!$B$217</definedName>
    <definedName name="translation_key_missing_url_update_2">'International Translations'!$B$218</definedName>
    <definedName name="translation_key_msxml_link">'International Translations'!$B$219</definedName>
    <definedName name="translation_key_multiple_matches">'International Translations'!$B$220</definedName>
    <definedName name="translation_key_multiple_product_matches_1">'International Translations'!$B$221</definedName>
    <definedName name="translation_key_multiple_product_matches_2">'International Translations'!$B$222</definedName>
    <definedName name="translation_key_mws_credentials_imported">'International Translations'!$B$223</definedName>
    <definedName name="translation_key_mws_credentials_invalid">'International Translations'!$B$224</definedName>
    <definedName name="translation_key_mws_credentials_invalid_long">'International Translations'!$B$225</definedName>
    <definedName name="translation_key_mws_credentials_invalid_missing">'International Translations'!$B$226</definedName>
    <definedName name="translation_key_mws_credentials_missing">'International Translations'!$B$227</definedName>
    <definedName name="translation_key_mws_credentials_required">'International Translations'!$B$228</definedName>
    <definedName name="translation_key_mws_please_wait">'International Translations'!$B$229</definedName>
    <definedName name="translation_key_mws_registration">'International Translations'!$B$230</definedName>
    <definedName name="translation_key_mws_rejected">'International Translations'!$B$231</definedName>
    <definedName name="translation_key_new">'International Translations'!$B$232</definedName>
    <definedName name="translation_key_no">'International Translations'!$B$233</definedName>
    <definedName name="translation_key_no_columns_to_import">'International Translations'!$B$234</definedName>
    <definedName name="translation_key_no_columns_to_import_long">'International Translations'!$B$235</definedName>
    <definedName name="translation_key_no_data_found">'International Translations'!$B$236</definedName>
    <definedName name="translation_key_no_identifier_1">'International Translations'!$B$237</definedName>
    <definedName name="translation_key_no_identifier_2">'International Translations'!$B$238</definedName>
    <definedName name="translation_key_no_mws_credentials">'International Translations'!$B$239</definedName>
    <definedName name="translation_key_no_search_terms">'International Translations'!$B$240</definedName>
    <definedName name="translation_key_not_in_catalog_1">'International Translations'!$B$241</definedName>
    <definedName name="translation_key_not_in_catalog_2">'International Translations'!$B$242</definedName>
    <definedName name="translation_key_operation_type">'International Translations'!$B$243</definedName>
    <definedName name="translation_key_password">'International Translations'!$B$244</definedName>
    <definedName name="translation_key_please_complete">'International Translations'!$B$245</definedName>
    <definedName name="translation_key_please_enter_sec_pass">'International Translations'!$B$246</definedName>
    <definedName name="translation_key_please_remove_items_1">'International Translations'!$B$247</definedName>
    <definedName name="translation_key_please_remove_items_2">'International Translations'!$B$248</definedName>
    <definedName name="translation_key_please_wait_product_ids">'International Translations'!$B$249</definedName>
    <definedName name="translation_key_populating_match_headers">'International Translations'!$B$250</definedName>
    <definedName name="translation_key_preferences_prim">'International Translations'!$B$251</definedName>
    <definedName name="translation_key_preferences_sec">'International Translations'!$B$252</definedName>
    <definedName name="translation_key_preparing_bulk_lookup">'International Translations'!$B$253</definedName>
    <definedName name="translation_key_price">'International Translations'!$B$254</definedName>
    <definedName name="translation_key_problem_creating_template">'International Translations'!$B$255</definedName>
    <definedName name="translation_key_processing_localized_1">'International Translations'!$B$256</definedName>
    <definedName name="translation_key_processing_localized_2">'International Translations'!$B$257</definedName>
    <definedName name="translation_key_product_details">'International Translations'!$B$258</definedName>
    <definedName name="translation_key_product_id">'International Translations'!$B$259</definedName>
    <definedName name="translation_key_product_id_type_1">'International Translations'!$B$260</definedName>
    <definedName name="translation_key_product_id_type_2">'International Translations'!$B$261</definedName>
    <definedName name="translation_key_product_id_type_3">'International Translations'!$B$262</definedName>
    <definedName name="translation_key_product_image">'International Translations'!$B$263</definedName>
    <definedName name="translation_key_product_not_found">'International Translations'!$B$264</definedName>
    <definedName name="translation_key_product_taxcode">'International Translations'!$B$265</definedName>
    <definedName name="translation_key_products_do_not_exist_1">'International Translations'!$B$266</definedName>
    <definedName name="translation_key_products_do_not_exist_2">'International Translations'!$B$267</definedName>
    <definedName name="translation_key_reason">'International Translations'!$B$268</definedName>
    <definedName name="translation_key_reenter_mws_credentials">'International Translations'!$B$269</definedName>
    <definedName name="translation_key_registration_complete">'International Translations'!$B$270</definedName>
    <definedName name="translation_key_registration_complete_long">'International Translations'!$B$271</definedName>
    <definedName name="translation_key_remove_credentials">'International Translations'!$B$272</definedName>
    <definedName name="translation_key_remove_credentials_confirm">'International Translations'!$B$273</definedName>
    <definedName name="translation_key_remove_credentials_short">'International Translations'!$B$274</definedName>
    <definedName name="translation_key_reset_sec_pass">'International Translations'!$B$275</definedName>
    <definedName name="translation_key_reset_sec_pass_short">'International Translations'!$B$276</definedName>
    <definedName name="translation_key_response_received">'International Translations'!$B$277</definedName>
    <definedName name="translation_key_saving_file">'International Translations'!$B$278</definedName>
    <definedName name="translation_key_saving_template_1">'International Translations'!$B$279</definedName>
    <definedName name="translation_key_saving_template_2">'International Translations'!$B$280</definedName>
    <definedName name="translation_key_saving_template_3">'International Translations'!$B$281</definedName>
    <definedName name="translation_key_sec_pass">'International Translations'!$B$282</definedName>
    <definedName name="translation_key_sec_pass_header">'International Translations'!$B$283</definedName>
    <definedName name="translation_key_sec_pass_invalid">'International Translations'!$B$284</definedName>
    <definedName name="translation_key_sec_pass_invalid_long">'International Translations'!$B$285</definedName>
    <definedName name="translation_key_sec_pass_required">'International Translations'!$B$286</definedName>
    <definedName name="translation_key_secret_key">'International Translations'!$B$287</definedName>
    <definedName name="translation_key_select_all">'International Translations'!$B$288</definedName>
    <definedName name="translation_key_select_column_header">'International Translations'!$B$289</definedName>
    <definedName name="translation_key_select_lang_char_setting">'International Translations'!$B$290</definedName>
    <definedName name="translation_key_select_lang_char_setting_file">'International Translations'!$B$291</definedName>
    <definedName name="translation_key_select_template_sheets">'International Translations'!$B$292</definedName>
    <definedName name="translation_key_select_worksheet">'International Translations'!$B$293</definedName>
    <definedName name="translation_key_seller_account_login">'International Translations'!$B$294</definedName>
    <definedName name="translation_key_sending_feed">'International Translations'!$B$295</definedName>
    <definedName name="translation_key_show_preferences_window">'International Translations'!$B$296</definedName>
    <definedName name="translation_key_sku">'International Translations'!$B$297</definedName>
    <definedName name="translation_key_some_multiple_product_matches_1">'International Translations'!$B$298</definedName>
    <definedName name="translation_key_some_multiple_product_matches_2">'International Translations'!$B$299</definedName>
    <definedName name="translation_key_status">'International Translations'!$B$300</definedName>
    <definedName name="translation_key_submitted_date">'International Translations'!$B$301</definedName>
    <definedName name="translation_key_swapping_column_headers_1">'International Translations'!$B$302</definedName>
    <definedName name="translation_key_swapping_column_headers_2">'International Translations'!$B$303</definedName>
    <definedName name="translation_key_swapping_column_headers_3">'International Translations'!$B$304</definedName>
    <definedName name="translation_key_tab_key_unavailable">'International Translations'!$B$305</definedName>
    <definedName name="translation_key_template_creation_cancelled">'International Translations'!$B$306</definedName>
    <definedName name="translation_key_template_error_1">'International Translations'!$B$307</definedName>
    <definedName name="translation_key_template_error_2">'International Translations'!$B$308</definedName>
    <definedName name="translation_key_template_error_3">'International Translations'!$B$309</definedName>
    <definedName name="translation_key_template_error_short">'International Translations'!$B$310</definedName>
    <definedName name="translation_key_template_headers">'International Translations'!$B$311</definedName>
    <definedName name="translation_key_template_update">'International Translations'!$B$312</definedName>
    <definedName name="translation_key_template_update_cancelled">'International Translations'!$B$313</definedName>
    <definedName name="translation_key_template_update_not_successful">'International Translations'!$B$314</definedName>
    <definedName name="translation_key_template_updated">'International Translations'!$B$315</definedName>
    <definedName name="translation_key_templates_saved_1">'International Translations'!$B$316</definedName>
    <definedName name="translation_key_templates_saved_2">'International Translations'!$B$317</definedName>
    <definedName name="translation_key_this_is_the_one">'International Translations'!$B$318</definedName>
    <definedName name="translation_key_this_workbook">'International Translations'!$B$319</definedName>
    <definedName name="translation_key_too_many_not_found">'International Translations'!$B$320</definedName>
    <definedName name="translation_key_too_many_products_1">'International Translations'!$B$321</definedName>
    <definedName name="translation_key_too_many_products_2">'International Translations'!$B$322</definedName>
    <definedName name="translation_key_turn_off_product_lookup">'International Translations'!$B$323</definedName>
    <definedName name="translation_key_turn_on_product_lookup">'International Translations'!$B$324</definedName>
    <definedName name="translation_key_txt_files">'International Translations'!$B$325</definedName>
    <definedName name="translation_key_unable_to_check">'International Translations'!$B$326</definedName>
    <definedName name="translation_key_unable_to_create_1">'International Translations'!$B$327</definedName>
    <definedName name="translation_key_unable_to_create_2">'International Translations'!$B$328</definedName>
    <definedName name="translation_key_unable_to_download_file">'International Translations'!$B$329</definedName>
    <definedName name="translation_key_unable_to_download_html">'International Translations'!$B$330</definedName>
    <definedName name="translation_key_unable_to_evaluate">'International Translations'!$B$331</definedName>
    <definedName name="translation_key_unable_to_find_column_header">'International Translations'!$B$332</definedName>
    <definedName name="translation_key_unable_to_find_filename_1">'International Translations'!$B$333</definedName>
    <definedName name="translation_key_unable_to_find_filename_2">'International Translations'!$B$334</definedName>
    <definedName name="translation_key_unable_to_find_filename_substitution">'International Translations'!$B$335</definedName>
    <definedName name="translation_key_unable_to_find_url_1">'International Translations'!$B$336</definedName>
    <definedName name="translation_key_unable_to_find_url_2">'International Translations'!$B$337</definedName>
    <definedName name="translation_key_unable_to_upload_1">'International Translations'!$B$338</definedName>
    <definedName name="translation_key_unable_to_upload_2">'International Translations'!$B$339</definedName>
    <definedName name="translation_key_unable_to_upload_3">'International Translations'!$B$340</definedName>
    <definedName name="translation_key_unable_to_upload_4">'International Translations'!$B$341</definedName>
    <definedName name="translation_key_unable_to_upload_5">'International Translations'!$B$342</definedName>
    <definedName name="translation_key_unable_to_upload_short">'International Translations'!$B$343</definedName>
    <definedName name="translation_key_unknown_error">'International Translations'!$B$344</definedName>
    <definedName name="translation_key_unknown_response">'International Translations'!$B$345</definedName>
    <definedName name="translation_key_update">'International Translations'!$B$346</definedName>
    <definedName name="translation_key_update_please_wait">'International Translations'!$B$347</definedName>
    <definedName name="translation_key_update_template">'International Translations'!$B$348</definedName>
    <definedName name="translation_key_update_template_frame_header">'International Translations'!$B$349</definedName>
    <definedName name="translation_key_update_template_latest">'International Translations'!$B$350</definedName>
    <definedName name="translation_key_update_template_text">'International Translations'!$B$351</definedName>
    <definedName name="translation_key_updating_template">'International Translations'!$B$352</definedName>
    <definedName name="translation_key_upload">'International Translations'!$B$353</definedName>
    <definedName name="translation_key_upload_cancelled">'International Translations'!$B$354</definedName>
    <definedName name="translation_key_upload_done">'International Translations'!$B$355</definedName>
    <definedName name="translation_key_upload_failed">'International Translations'!$B$356</definedName>
    <definedName name="translation_key_upload_failure_frame_header">'International Translations'!$B$357</definedName>
    <definedName name="translation_key_upload_file">'International Translations'!$B$358</definedName>
    <definedName name="translation_key_upload_items">'International Translations'!$B$359</definedName>
    <definedName name="translation_key_upload_progress">'International Translations'!$B$360</definedName>
    <definedName name="translation_key_upload_status">'International Translations'!$B$361</definedName>
    <definedName name="translation_key_upload_succeeded_frame_header">'International Translations'!$B$362</definedName>
    <definedName name="translation_key_upload_success">'International Translations'!$B$363</definedName>
    <definedName name="translation_key_upload_successful">'International Translations'!$B$364</definedName>
    <definedName name="translation_key_uploading_file">'International Translations'!$B$365</definedName>
    <definedName name="translation_key_user_pass_invalid">'International Translations'!$B$366</definedName>
    <definedName name="translation_key_validate">'International Translations'!$B$367</definedName>
    <definedName name="translation_key_validating_credentials">'International Translations'!$B$368</definedName>
    <definedName name="translation_key_validating_template">'International Translations'!$B$369</definedName>
    <definedName name="translation_key_validation_cancelled_1">'International Translations'!$B$370</definedName>
    <definedName name="translation_key_validation_cancelled_2">'International Translations'!$B$371</definedName>
    <definedName name="translation_key_validation_cancelled_3">'International Translations'!$B$372</definedName>
    <definedName name="translation_key_validation_complete">'International Translations'!$B$373</definedName>
    <definedName name="translation_key_validation_please_wait">'International Translations'!$B$374</definedName>
    <definedName name="translation_key_values_must_match">'International Translations'!$B$375</definedName>
    <definedName name="translation_key_values_not_valid_1">'International Translations'!$B$376</definedName>
    <definedName name="translation_key_values_not_valid_2">'International Translations'!$B$377</definedName>
    <definedName name="translation_key_values_not_valid_3">'International Translations'!$B$378</definedName>
    <definedName name="translation_key_values_not_valid_4">'International Translations'!$B$379</definedName>
    <definedName name="translation_key_version">'International Translations'!$B$380</definedName>
    <definedName name="translation_key_view_image">'International Translations'!$B$381</definedName>
    <definedName name="translation_key_worksheet_name_too_long">'International Translations'!$B$382</definedName>
    <definedName name="translation_key_worksheet_order">'International Translations'!$B$383</definedName>
    <definedName name="translation_key_yes">'International Translations'!$B$384</definedName>
    <definedName name="Update_Interval_Days">'International Settings'!$A$29</definedName>
    <definedName name="Upload_Client">'International Settings'!$A$5</definedName>
    <definedName name="VBA_Macros_Author">"Greg Lovern - http://PrecisionCalc.com - (425)747-1548 - Custom Microsoft Excel VBA Programming - Save Time - Reduce Errors"</definedName>
    <definedName name="Versioned_Override_Data_Validation_Table_URL" localSheetId="4">'[1]International Settings'!$A$19</definedName>
    <definedName name="Versioned_Override_Data_Validation_Table_URL">'International Settings'!$A$19</definedName>
    <definedName name="Versioned_Override_Dropdown_Lists_Table_URL" localSheetId="4">'[1]International Settings'!$A$20</definedName>
    <definedName name="Versioned_Override_Dropdown_Lists_Table_URL">'International Settings'!$A$20</definedName>
    <definedName name="Versioned_Override_Misc_Data_Table_URL" localSheetId="4">'[1]International Settings'!$A$18</definedName>
    <definedName name="Versioned_Override_Misc_Data_Table_URL">'International Settings'!$A$18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Greg Lovern - PrecisionCalc.com</author>
  </authors>
  <commentList>
    <comment ref="A15" authorId="0">
      <text>
        <r>
          <rPr>
            <b/>
            <sz val="8"/>
            <rFont val="Tahoma"/>
            <charset val="134"/>
          </rPr>
          <t>Added 2009-10-09.</t>
        </r>
      </text>
    </comment>
  </commentList>
</comments>
</file>

<file path=xl/comments2.xml><?xml version="1.0" encoding="utf-8"?>
<comments xmlns="http://schemas.openxmlformats.org/spreadsheetml/2006/main">
  <authors>
    <author>Author</author>
    <author>Amazon.com</author>
    <author>Greg Lovern - PrecisionCalc.com</author>
    <author>Abhijit Tambe</author>
  </authors>
  <commentList>
    <comment ref="A4" authorId="0">
      <text>
        <r>
          <rPr>
            <b/>
            <sz val="8"/>
            <rFont val="Verdana"/>
            <charset val="134"/>
          </rPr>
          <t xml:space="preserve">Feed Types:
</t>
        </r>
        <r>
          <rPr>
            <i/>
            <sz val="8"/>
            <rFont val="Verdana"/>
            <charset val="134"/>
          </rPr>
          <t>Incorrect feed type will cause feed failure.
This becomes the "uploadType" parameter of the contact URL.</t>
        </r>
        <r>
          <rPr>
            <b/>
            <sz val="8"/>
            <rFont val="Verdana"/>
            <charset val="134"/>
          </rPr>
          <t xml:space="preserve">
Standard Feed Type:</t>
        </r>
        <r>
          <rPr>
            <sz val="8"/>
            <rFont val="Verdana"/>
            <charset val="134"/>
          </rPr>
          <t xml:space="preserve">
</t>
        </r>
        <r>
          <rPr>
            <sz val="8"/>
            <color indexed="39"/>
            <rFont val="Verdana"/>
            <charset val="134"/>
          </rPr>
          <t>_POST_FLAT_FILE_LISTINGS_DATA_</t>
        </r>
        <r>
          <rPr>
            <sz val="8"/>
            <rFont val="Verdana"/>
            <charset val="134"/>
          </rPr>
          <t xml:space="preserve">
</t>
        </r>
        <r>
          <rPr>
            <i/>
            <sz val="8"/>
            <color indexed="63"/>
            <rFont val="Verdana"/>
            <charset val="134"/>
          </rPr>
          <t xml:space="preserve">With this feed type, vendors do their own uploads.
Listingloader, and most category flat files, use this standard feed type.
</t>
        </r>
        <r>
          <rPr>
            <b/>
            <sz val="8"/>
            <color indexed="63"/>
            <rFont val="Verdana"/>
            <charset val="134"/>
          </rPr>
          <t>Bookloader Feed Type:</t>
        </r>
        <r>
          <rPr>
            <i/>
            <sz val="8"/>
            <color indexed="63"/>
            <rFont val="Verdana"/>
            <charset val="134"/>
          </rPr>
          <t xml:space="preserve">
</t>
        </r>
        <r>
          <rPr>
            <sz val="8"/>
            <color indexed="39"/>
            <rFont val="Verdana"/>
            <charset val="134"/>
          </rPr>
          <t>_POST_FLAT_FILE_BOOKLOADER_DATA_</t>
        </r>
        <r>
          <rPr>
            <i/>
            <sz val="8"/>
            <color indexed="63"/>
            <rFont val="Verdana"/>
            <charset val="134"/>
          </rPr>
          <t xml:space="preserve">
With this feed type, vendors do their own uploads.</t>
        </r>
        <r>
          <rPr>
            <sz val="8"/>
            <rFont val="Verdana"/>
            <charset val="134"/>
          </rPr>
          <t xml:space="preserve">
</t>
        </r>
        <r>
          <rPr>
            <b/>
            <sz val="8"/>
            <rFont val="Verdana"/>
            <charset val="134"/>
          </rPr>
          <t>Music &amp; Video initial Feed Type:</t>
        </r>
        <r>
          <rPr>
            <sz val="8"/>
            <rFont val="Verdana"/>
            <charset val="134"/>
          </rPr>
          <t xml:space="preserve">
</t>
        </r>
        <r>
          <rPr>
            <sz val="8"/>
            <color indexed="39"/>
            <rFont val="Verdana"/>
            <charset val="134"/>
          </rPr>
          <t>_POST_FLAT_FILE_CONVERGENCE_LISTINGS_DATA_</t>
        </r>
        <r>
          <rPr>
            <sz val="8"/>
            <rFont val="Verdana"/>
            <charset val="134"/>
          </rPr>
          <t xml:space="preserve">
</t>
        </r>
        <r>
          <rPr>
            <i/>
            <sz val="8"/>
            <color indexed="63"/>
            <rFont val="Verdana"/>
            <charset val="134"/>
          </rPr>
          <t>With this feed type, vendors must send their filled-out templates to an Amazon employee (normally a TAM), who does the upload for them.</t>
        </r>
        <r>
          <rPr>
            <sz val="8"/>
            <rFont val="Verdana"/>
            <charset val="134"/>
          </rPr>
          <t xml:space="preserve">
Music and Video are expected to eventually change back to to the standard feed type, _POST_FLAT_FILE_LISTINGS_DATA_.
Other product categories may someday use _POST_FLAT_FILE_CONVERGENCE_LISTINGS_DATA_, and there may someday be additional feed types.</t>
        </r>
      </text>
    </comment>
    <comment ref="CB4" authorId="1">
      <text>
        <r>
          <rPr>
            <sz val="10"/>
            <rFont val="Verdana"/>
            <charset val="134"/>
          </rPr>
          <t>Price must be a number. For example:</t>
        </r>
        <r>
          <rPr>
            <sz val="1"/>
            <rFont val="Verdana"/>
            <charset val="134"/>
          </rPr>
          <t xml:space="preserve">
</t>
        </r>
        <r>
          <rPr>
            <sz val="10"/>
            <rFont val="Verdana"/>
            <charset val="134"/>
          </rPr>
          <t>12
12.34</t>
        </r>
      </text>
    </comment>
    <comment ref="A5" authorId="0">
      <text>
        <r>
          <rPr>
            <b/>
            <sz val="8"/>
            <rFont val="Verdana"/>
            <charset val="134"/>
          </rPr>
          <t xml:space="preserve">Upload Client:
</t>
        </r>
        <r>
          <rPr>
            <i/>
            <sz val="8"/>
            <rFont val="Verdana"/>
            <charset val="134"/>
          </rPr>
          <t>Incorrect upload client will cause feed failure.
This becomes the "uploadClient" parameter of the contact URL.</t>
        </r>
        <r>
          <rPr>
            <b/>
            <sz val="8"/>
            <rFont val="Verdana"/>
            <charset val="134"/>
          </rPr>
          <t xml:space="preserve">
Listingloader and Bookloader Upload Client:</t>
        </r>
        <r>
          <rPr>
            <sz val="8"/>
            <rFont val="Verdana"/>
            <charset val="134"/>
          </rPr>
          <t xml:space="preserve">
</t>
        </r>
        <r>
          <rPr>
            <sz val="8"/>
            <color indexed="39"/>
            <rFont val="Verdana"/>
            <charset val="134"/>
          </rPr>
          <t>ListingsLoader_1_1_0</t>
        </r>
        <r>
          <rPr>
            <sz val="8"/>
            <rFont val="Verdana"/>
            <charset val="134"/>
          </rPr>
          <t xml:space="preserve">
</t>
        </r>
        <r>
          <rPr>
            <i/>
            <sz val="8"/>
            <rFont val="Verdana"/>
            <charset val="134"/>
          </rPr>
          <t xml:space="preserve">Note that it is the SAME for both Listingloader and Bookloader. It is </t>
        </r>
        <r>
          <rPr>
            <b/>
            <sz val="8"/>
            <color indexed="10"/>
            <rFont val="Verdana"/>
            <charset val="134"/>
          </rPr>
          <t>NOT</t>
        </r>
        <r>
          <rPr>
            <i/>
            <sz val="8"/>
            <rFont val="Verdana"/>
            <charset val="134"/>
          </rPr>
          <t xml:space="preserve"> "Bookloader_1_1_0" for Bookloader.</t>
        </r>
        <r>
          <rPr>
            <sz val="8"/>
            <rFont val="Verdana"/>
            <charset val="134"/>
          </rPr>
          <t xml:space="preserve">
</t>
        </r>
        <r>
          <rPr>
            <b/>
            <sz val="8"/>
            <rFont val="Verdana"/>
            <charset val="134"/>
          </rPr>
          <t>Standard Upload Client:</t>
        </r>
        <r>
          <rPr>
            <sz val="8"/>
            <rFont val="Verdana"/>
            <charset val="134"/>
          </rPr>
          <t xml:space="preserve">
</t>
        </r>
        <r>
          <rPr>
            <sz val="8"/>
            <color indexed="39"/>
            <rFont val="Verdana"/>
            <charset val="134"/>
          </rPr>
          <t>(leave the cell blank)</t>
        </r>
        <r>
          <rPr>
            <sz val="8"/>
            <rFont val="Verdana"/>
            <charset val="134"/>
          </rPr>
          <t xml:space="preserve">
</t>
        </r>
        <r>
          <rPr>
            <i/>
            <sz val="8"/>
            <color indexed="63"/>
            <rFont val="Verdana"/>
            <charset val="134"/>
          </rPr>
          <t>With all other flat files, leave the cell blank.
For MWS templates, leave this field blank. It will be automatically determined and added.</t>
        </r>
      </text>
    </comment>
    <comment ref="A6" authorId="1">
      <text/>
    </comment>
    <comment ref="A7" authorId="1">
      <text/>
    </comment>
    <comment ref="A8" authorId="1">
      <text/>
    </comment>
    <comment ref="A18" authorId="1">
      <text>
        <r>
          <rPr>
            <b/>
            <sz val="8"/>
            <rFont val="Tahoma"/>
            <charset val="134"/>
          </rPr>
          <t>If beta testing international data files that you just uploaded to Seller Cental today, you'll probably need to temporarily use the versioned urls.
In that case, enter the full versioned urls here. If any text is in these cells, they will be used as the full versioned urls. If they are blank, then the standard non-versioned urls will be used.</t>
        </r>
      </text>
    </comment>
    <comment ref="A19" authorId="1">
      <text>
        <r>
          <rPr>
            <b/>
            <sz val="8"/>
            <rFont val="Tahoma"/>
            <charset val="134"/>
          </rPr>
          <t>If beta testing international data files that you just uploaded to Seller Cental today, you'll probably need to temporarily use the versioned urls.
In that case, enter the full versioned urls here. If any text is in these cells, they will be used as the full versioned urls. If they are blank, then the standard non-versioned urls will be used.</t>
        </r>
      </text>
    </comment>
    <comment ref="A20" authorId="1">
      <text>
        <r>
          <rPr>
            <b/>
            <sz val="8"/>
            <rFont val="Tahoma"/>
            <charset val="134"/>
          </rPr>
          <t>If beta testing international data files that you just uploaded to Seller Cental today, you'll probably need to temporarily use the versioned urls.
In that case, enter the full versioned urls here. If any text is in these cells, they will be used as the full versioned urls. If they are blank, then the standard non-versioned urls will be used.</t>
        </r>
      </text>
    </comment>
    <comment ref="A21" authorId="2">
      <text>
        <r>
          <rPr>
            <b/>
            <sz val="10"/>
            <color indexed="10"/>
            <rFont val="Verdana"/>
            <charset val="134"/>
          </rPr>
          <t>Do not delete or overwrite this formula!</t>
        </r>
        <r>
          <rPr>
            <b/>
            <sz val="8"/>
            <rFont val="Verdana"/>
            <charset val="134"/>
          </rPr>
          <t xml:space="preserve">
Instead, use the settings above to generate the desired URL in this formula.
</t>
        </r>
        <r>
          <rPr>
            <b/>
            <i/>
            <sz val="8"/>
            <rFont val="Verdana"/>
            <charset val="134"/>
          </rPr>
          <t>This cell's formula should be:</t>
        </r>
        <r>
          <rPr>
            <i/>
            <sz val="8"/>
            <rFont val="Verdana"/>
            <charset val="134"/>
          </rPr>
          <t xml:space="preserve">
</t>
        </r>
        <r>
          <rPr>
            <i/>
            <sz val="8"/>
            <color indexed="39"/>
            <rFont val="Verdana"/>
            <charset val="134"/>
          </rPr>
          <t>(to copy/paste this formula from this cell comment, right-click the cell and choose Edit Comment)</t>
        </r>
        <r>
          <rPr>
            <sz val="8"/>
            <rFont val="Verdana"/>
            <charset val="134"/>
          </rPr>
          <t xml:space="preserve">
=IF(Versioned_Override_Misc_Data_Table_URL&lt;&gt;"",Versioned_Override_Misc_Data_Table_URL,IF(ISERROR(IF(Is_Beta,TRUE)),Misc_Data_Table_Production_Folder,IF(Is_Beta,Misc_Data_Table_Beta_Folder,Misc_Data_Table_Production_Folder))&amp;Misc_Data_Table_Filename)</t>
        </r>
      </text>
    </comment>
    <comment ref="CB21" authorId="1">
      <text>
        <r>
          <rPr>
            <sz val="10"/>
            <rFont val="Verdana"/>
            <charset val="134"/>
          </rPr>
          <t>Price must be a number. For example:</t>
        </r>
        <r>
          <rPr>
            <sz val="1"/>
            <rFont val="Verdana"/>
            <charset val="134"/>
          </rPr>
          <t xml:space="preserve">
</t>
        </r>
        <r>
          <rPr>
            <sz val="10"/>
            <rFont val="Verdana"/>
            <charset val="134"/>
          </rPr>
          <t>12
12.34</t>
        </r>
      </text>
    </comment>
    <comment ref="A22" authorId="2">
      <text>
        <r>
          <rPr>
            <b/>
            <sz val="10"/>
            <color indexed="10"/>
            <rFont val="Verdana"/>
            <charset val="134"/>
          </rPr>
          <t>Do not delete or overwrite this formula!</t>
        </r>
        <r>
          <rPr>
            <b/>
            <sz val="8"/>
            <rFont val="Verdana"/>
            <charset val="134"/>
          </rPr>
          <t xml:space="preserve">
Instead, use the settings above to generate the desired URL in this formula.
</t>
        </r>
        <r>
          <rPr>
            <b/>
            <i/>
            <sz val="8"/>
            <rFont val="Verdana"/>
            <charset val="134"/>
          </rPr>
          <t>This cell's formula should be:</t>
        </r>
        <r>
          <rPr>
            <i/>
            <sz val="8"/>
            <rFont val="Verdana"/>
            <charset val="134"/>
          </rPr>
          <t xml:space="preserve">
</t>
        </r>
        <r>
          <rPr>
            <i/>
            <sz val="8"/>
            <color indexed="39"/>
            <rFont val="Verdana"/>
            <charset val="134"/>
          </rPr>
          <t>(to copy/paste this formula from this cell comment, right-click the cell and choose Edit Comment)</t>
        </r>
        <r>
          <rPr>
            <sz val="8"/>
            <rFont val="Verdana"/>
            <charset val="134"/>
          </rPr>
          <t xml:space="preserve">
=IF(Versioned_Override_Data_Validation_Table_URL&lt;&gt;"",Versioned_Override_Data_Validation_Table_URL,IF(ISERROR(IF(Is_Beta,TRUE)),Data_Validation_Table_Production_Folder,IF(Is_Beta,Data_Validation_Table_Beta_Folder,Data_Validation_Table_Production_Folder))&amp;Data_Validation_Table_Filename)</t>
        </r>
      </text>
    </comment>
    <comment ref="CB22" authorId="1">
      <text>
        <r>
          <rPr>
            <sz val="10"/>
            <rFont val="Verdana"/>
            <charset val="134"/>
          </rPr>
          <t>Price must be a number. For example:</t>
        </r>
        <r>
          <rPr>
            <sz val="1"/>
            <rFont val="Verdana"/>
            <charset val="134"/>
          </rPr>
          <t xml:space="preserve">
</t>
        </r>
        <r>
          <rPr>
            <sz val="10"/>
            <rFont val="Verdana"/>
            <charset val="134"/>
          </rPr>
          <t>12
12.34</t>
        </r>
      </text>
    </comment>
    <comment ref="A23" authorId="2">
      <text>
        <r>
          <rPr>
            <b/>
            <sz val="10"/>
            <color indexed="10"/>
            <rFont val="Verdana"/>
            <charset val="134"/>
          </rPr>
          <t>Do not delete or overwrite this formula!</t>
        </r>
        <r>
          <rPr>
            <b/>
            <sz val="8"/>
            <rFont val="Verdana"/>
            <charset val="134"/>
          </rPr>
          <t xml:space="preserve">
Instead, use the settings above to generate the desired URL in this formula.
</t>
        </r>
        <r>
          <rPr>
            <b/>
            <i/>
            <sz val="8"/>
            <rFont val="Verdana"/>
            <charset val="134"/>
          </rPr>
          <t>This cell's formula should be:</t>
        </r>
        <r>
          <rPr>
            <i/>
            <sz val="8"/>
            <rFont val="Verdana"/>
            <charset val="134"/>
          </rPr>
          <t xml:space="preserve">
</t>
        </r>
        <r>
          <rPr>
            <i/>
            <sz val="8"/>
            <color indexed="39"/>
            <rFont val="Verdana"/>
            <charset val="134"/>
          </rPr>
          <t>(to copy/paste this formula from this cell comment, right-click the cell and choose Edit Comment)</t>
        </r>
        <r>
          <rPr>
            <sz val="8"/>
            <rFont val="Verdana"/>
            <charset val="134"/>
          </rPr>
          <t xml:space="preserve">
=IF(Versioned_Override_Dropdown_Lists_Table_URL&lt;&gt;"",Versioned_Override_Dropdown_Lists_Table_URL,IF(ISERROR(IF(Is_Beta,TRUE)),Dropdown_Lists_Production_Folder,IF(Is_Beta,Dropdown_Lists_Beta_Folder,Dropdown_Lists_Production_Folder))&amp;Dropdown_Lists_Table_Filename)</t>
        </r>
      </text>
    </comment>
    <comment ref="A24" authorId="2">
      <text>
        <r>
          <rPr>
            <b/>
            <sz val="8"/>
            <rFont val="Tahoma"/>
            <charset val="134"/>
          </rPr>
          <t xml:space="preserve">Should be "No Seller Central" for Seamless.
Should be "Use Seller Central" for Non-Seamless.
This is unused as of v2.032 (2009-12-02), because now all devo templates have the same Status Check URL, and all prod templates have the same Status Check URL. Whether a template is seamless or M@ no longer affects what Status Check URL is used.
</t>
        </r>
        <r>
          <rPr>
            <b/>
            <sz val="8"/>
            <color indexed="37"/>
            <rFont val="Tahoma"/>
            <charset val="134"/>
          </rPr>
          <t>HOWEVER, note that Seamless flat-file templates still have different instructions and data definitions sheets.</t>
        </r>
        <r>
          <rPr>
            <b/>
            <sz val="8"/>
            <rFont val="Tahoma"/>
            <charset val="134"/>
          </rPr>
          <t xml:space="preserve">
Rather than deleting this setting, leaving it in place in case another need to know Seamless vs. M@ turns up.</t>
        </r>
      </text>
    </comment>
    <comment ref="A25" authorId="1">
      <text>
        <r>
          <rPr>
            <b/>
            <sz val="8"/>
            <rFont val="Tahoma"/>
            <charset val="134"/>
          </rPr>
          <t xml:space="preserve">If TRUE:
  -- This template is Devo.
  -- This template is Beta.
  -- Beta paths to international data files are used. 
  -- Devo URLs are used (for upload, check status, etc.)
If FALSE:
  -- This template is Prod.
  -- This template is Release Candidate.
  -- Production paths to international data files are used. 
  -- Prod URLs are used (for upload, check status, etc.) </t>
        </r>
      </text>
    </comment>
    <comment ref="A26" authorId="3">
      <text>
        <r>
          <rPr>
            <b/>
            <u/>
            <sz val="12"/>
            <color indexed="10"/>
            <rFont val="Arial"/>
            <charset val="134"/>
          </rPr>
          <t>Leave this cell blank for normal production uploads.</t>
        </r>
        <r>
          <rPr>
            <b/>
            <sz val="9"/>
            <rFont val="Arial"/>
            <charset val="134"/>
          </rPr>
          <t xml:space="preserve">
For beta testing, enter the devo upload URL here.
Devo upload URLs:
</t>
        </r>
        <r>
          <rPr>
            <i/>
            <sz val="8"/>
            <color indexed="24"/>
            <rFont val="Arial"/>
            <charset val="134"/>
          </rPr>
          <t>(to copy/paste a URL from this cell comment, right-click the cell and choose Edit Comment)</t>
        </r>
        <r>
          <rPr>
            <b/>
            <sz val="9"/>
            <color indexed="24"/>
            <rFont val="Arial"/>
            <charset val="134"/>
          </rPr>
          <t xml:space="preserve">
</t>
        </r>
        <r>
          <rPr>
            <b/>
            <sz val="9"/>
            <rFont val="Arial"/>
            <charset val="134"/>
          </rPr>
          <t xml:space="preserve">
</t>
        </r>
        <r>
          <rPr>
            <b/>
            <i/>
            <sz val="9"/>
            <rFont val="Arial"/>
            <charset val="134"/>
          </rPr>
          <t>English USA:</t>
        </r>
        <r>
          <rPr>
            <b/>
            <sz val="9"/>
            <rFont val="Arial"/>
            <charset val="134"/>
          </rPr>
          <t xml:space="preserve">
</t>
        </r>
        <r>
          <rPr>
            <sz val="8"/>
            <rFont val="Arial"/>
            <charset val="134"/>
          </rPr>
          <t xml:space="preserve">https://merchant-query-na.vipinteg.amazon.com/query/?Service=MerchantQueryService&amp;Action=upload&amp;confirmed=true&amp;purgeAndReplace=false
</t>
        </r>
        <r>
          <rPr>
            <b/>
            <sz val="9"/>
            <rFont val="Arial"/>
            <charset val="134"/>
          </rPr>
          <t xml:space="preserve">
</t>
        </r>
        <r>
          <rPr>
            <b/>
            <i/>
            <sz val="9"/>
            <rFont val="Arial"/>
            <charset val="134"/>
          </rPr>
          <t>English CA:</t>
        </r>
        <r>
          <rPr>
            <b/>
            <sz val="9"/>
            <rFont val="Arial"/>
            <charset val="134"/>
          </rPr>
          <t xml:space="preserve">
</t>
        </r>
        <r>
          <rPr>
            <sz val="8"/>
            <rFont val="Arial"/>
            <charset val="134"/>
          </rPr>
          <t>https://merchant-query-ca.vipinteg.amazon.com/query/?Service=MerchantQueryService&amp;Action=upload&amp;confirmed=true&amp;purgeAndReplace=false</t>
        </r>
        <r>
          <rPr>
            <b/>
            <sz val="9"/>
            <rFont val="Arial"/>
            <charset val="134"/>
          </rPr>
          <t xml:space="preserve">
</t>
        </r>
        <r>
          <rPr>
            <b/>
            <i/>
            <sz val="9"/>
            <rFont val="Arial"/>
            <charset val="134"/>
          </rPr>
          <t xml:space="preserve">
English UK:</t>
        </r>
        <r>
          <rPr>
            <b/>
            <sz val="9"/>
            <rFont val="Arial"/>
            <charset val="134"/>
          </rPr>
          <t xml:space="preserve">
</t>
        </r>
        <r>
          <rPr>
            <sz val="8"/>
            <rFont val="Arial"/>
            <charset val="134"/>
          </rPr>
          <t>https://merchant-query-uk.vipinteg.amazon.com/query/?Service=MerchantQueryService&amp;Action=upload&amp;confirmed=true&amp;purgeAndReplace=false</t>
        </r>
        <r>
          <rPr>
            <b/>
            <sz val="9"/>
            <rFont val="Arial"/>
            <charset val="134"/>
          </rPr>
          <t xml:space="preserve">
</t>
        </r>
        <r>
          <rPr>
            <b/>
            <i/>
            <sz val="9"/>
            <rFont val="Arial"/>
            <charset val="134"/>
          </rPr>
          <t>German:</t>
        </r>
        <r>
          <rPr>
            <b/>
            <sz val="9"/>
            <rFont val="Arial"/>
            <charset val="134"/>
          </rPr>
          <t xml:space="preserve">
</t>
        </r>
        <r>
          <rPr>
            <sz val="8"/>
            <rFont val="Arial"/>
            <charset val="134"/>
          </rPr>
          <t>https://merchant-query-de.integ.amazon.com/query/?Service=MerchantQueryService&amp;Action=upload&amp;confirmed=true&amp;purgeAndReplace=false</t>
        </r>
        <r>
          <rPr>
            <b/>
            <sz val="9"/>
            <rFont val="Arial"/>
            <charset val="134"/>
          </rPr>
          <t xml:space="preserve">
</t>
        </r>
        <r>
          <rPr>
            <b/>
            <i/>
            <sz val="9"/>
            <rFont val="Arial"/>
            <charset val="134"/>
          </rPr>
          <t>French:</t>
        </r>
        <r>
          <rPr>
            <b/>
            <sz val="9"/>
            <rFont val="Arial"/>
            <charset val="134"/>
          </rPr>
          <t xml:space="preserve">
</t>
        </r>
        <r>
          <rPr>
            <sz val="8"/>
            <rFont val="Arial"/>
            <charset val="134"/>
          </rPr>
          <t xml:space="preserve">https://merchant-query-fr.integ.amazon.com/query/?Service=MerchantQueryService&amp;Action=upload&amp;confirmed=true&amp;purgeAndReplace=false
</t>
        </r>
        <r>
          <rPr>
            <b/>
            <sz val="9"/>
            <rFont val="Arial"/>
            <charset val="134"/>
          </rPr>
          <t xml:space="preserve">
</t>
        </r>
        <r>
          <rPr>
            <b/>
            <i/>
            <sz val="9"/>
            <rFont val="Arial"/>
            <charset val="134"/>
          </rPr>
          <t>Japanese:</t>
        </r>
        <r>
          <rPr>
            <b/>
            <sz val="9"/>
            <rFont val="Arial"/>
            <charset val="134"/>
          </rPr>
          <t xml:space="preserve">
</t>
        </r>
        <r>
          <rPr>
            <sz val="8"/>
            <rFont val="Arial"/>
            <charset val="134"/>
          </rPr>
          <t xml:space="preserve">https://merchant-query-jp.vipinteg.amazon.com/query/?Service=MerchantQueryService&amp;Action=upload&amp;confirmed=true&amp;purgeAndReplace=false
</t>
        </r>
        <r>
          <rPr>
            <b/>
            <i/>
            <sz val="9"/>
            <rFont val="Arial"/>
            <charset val="134"/>
          </rPr>
          <t>English USA (MWS):</t>
        </r>
        <r>
          <rPr>
            <sz val="8"/>
            <rFont val="Arial"/>
            <charset val="134"/>
          </rPr>
          <t xml:space="preserve">
http://mws-integration-0101.sea3.amazon.com:5788/?Version=2009-01-01&amp;SignatureVersion=2&amp;SignatureMethod=HmacSHA256
</t>
        </r>
        <r>
          <rPr>
            <b/>
            <sz val="9"/>
            <rFont val="Arial"/>
            <charset val="134"/>
          </rPr>
          <t xml:space="preserve">
</t>
        </r>
      </text>
    </comment>
  </commentList>
</comments>
</file>

<file path=xl/sharedStrings.xml><?xml version="1.0" encoding="utf-8"?>
<sst xmlns="http://schemas.openxmlformats.org/spreadsheetml/2006/main" count="4123" uniqueCount="2714">
  <si>
    <t>Language</t>
  </si>
  <si>
    <t>Contact URL</t>
  </si>
  <si>
    <t>English USA</t>
  </si>
  <si>
    <t>https://merchant-query.amazon.com/query/?Service=MerchantQueryService&amp;Action=upload&amp;confirmed=true&amp;purgeAndReplace=false</t>
  </si>
  <si>
    <t>English CA</t>
  </si>
  <si>
    <t>https://merchant-query.amazon.ca/query/?Service=MerchantQueryService&amp;Action=upload&amp;confirmed=true&amp;purgeAndReplace=false</t>
  </si>
  <si>
    <t>English UK</t>
  </si>
  <si>
    <t>https://merchant-query.amazon.co.uk/query/?Service=MerchantQueryService&amp;Action=upload&amp;confirmed=true&amp;purgeAndReplace=false</t>
  </si>
  <si>
    <t>German</t>
  </si>
  <si>
    <t>https://merchant-query.amazon.de/query/?Service=MerchantQueryService&amp;Action=upload&amp;confirmed=true&amp;purgeAndReplace=false</t>
  </si>
  <si>
    <t>French</t>
  </si>
  <si>
    <t>https://merchant-query.amazon.fr/query/?Service=MerchantQueryService&amp;Action=upload&amp;confirmed=true&amp;purgeAndReplace=false</t>
  </si>
  <si>
    <t>Italian</t>
  </si>
  <si>
    <t>Spanish</t>
  </si>
  <si>
    <t>Japanese</t>
  </si>
  <si>
    <t>https://merchant-query.amazon.co.jp/query/?Service=MerchantQueryService&amp;Action=upload&amp;confirmed=true&amp;purgeAndReplace=false</t>
  </si>
  <si>
    <t>ENDSECTION</t>
  </si>
  <si>
    <t>MWS URL</t>
  </si>
  <si>
    <t>https://mws.amazonservices.com/?Version=2009-01-01&amp;SignatureVersion=2&amp;SignatureMethod=HmacSHA256</t>
  </si>
  <si>
    <t>https://mws.amazonservices.co.uk/?Version=2009-01-01&amp;SignatureVersion=2&amp;SignatureMethod=HmacSHA256</t>
  </si>
  <si>
    <t>https://mws.amazonservices.de/?Version=2009-01-01&amp;SignatureVersion=2&amp;SignatureMethod=HmacSHA256</t>
  </si>
  <si>
    <t>https://mws.amazonservices.fr/?Version=2009-01-01&amp;SignatureVersion=2&amp;SignatureMethod=HmacSHA256</t>
  </si>
  <si>
    <t>https://mws.amazonservices.it/?Version=2009-01-01&amp;SignatureVersion=2&amp;SignatureMethod=HmacSHA256</t>
  </si>
  <si>
    <t>https://mws.amazonservices.es/?Version=2009-01-01&amp;SignatureVersion=2&amp;SignatureMethod=HmacSHA256</t>
  </si>
  <si>
    <t>https://mws.amazonservices.jp/?Version=2009-01-01&amp;SignatureVersion=2&amp;SignatureMethod=HmacSHA256</t>
  </si>
  <si>
    <t>Chinese</t>
  </si>
  <si>
    <t>https://mws.amazonservices.com.cn/?Version=2009-01-01&amp;SignatureVersion=2&amp;SignatureMethod=HmacSHA256</t>
  </si>
  <si>
    <t>Status Check URL - Prod</t>
  </si>
  <si>
    <t>https://sellercentral.amazon.com/gp/transactions/uploadMPInventory.html</t>
  </si>
  <si>
    <t>https://sellercentral-europe.amazon.com/gp/transactions/uploadMPInventory.html</t>
  </si>
  <si>
    <t>https://sellercentral-japan.amazon.com/gp/transactions/uploadMPInventory.html</t>
  </si>
  <si>
    <t>https://mai.amazon.cn/gp/transactions/uploadMPInventory.html</t>
  </si>
  <si>
    <t>Status Check URL - Devo</t>
  </si>
  <si>
    <t>https://rainier-m1k.integ.amazon.com/gp/transactions/uploadMPInventory.html</t>
  </si>
  <si>
    <t>https://rainier-eu.integ.amazon.com/gp/transactions/uploadMPInventory.html</t>
  </si>
  <si>
    <t>https://rainier-jp.integ.amazon.com/gp/transactions/uploadMPInventory.html</t>
  </si>
  <si>
    <t>https://rainier-cn.integ.amazon.com/gp/transactions/uploadMPInventory.html</t>
  </si>
  <si>
    <t>Credentials URL</t>
  </si>
  <si>
    <t>https://sellercentral.amazon.com/gp/mws/registration/register.html</t>
  </si>
  <si>
    <t>https://sellercentral-europe.amazon.com/gp/mws/registration/register.html</t>
  </si>
  <si>
    <t>https://sellercentral-japan.amazon.com/gp/mws/registration/register.html</t>
  </si>
  <si>
    <t>https://mai.amazon.cn/gp/mws/registration/register.html</t>
  </si>
  <si>
    <t>Credentials Summary URL</t>
  </si>
  <si>
    <t>https://sellercentral.amazon.com/gp/mws/registration/register-summary.html</t>
  </si>
  <si>
    <t>https://sellercentral-europe.amazon.com/gp/mws/registration/register-summary.html</t>
  </si>
  <si>
    <t>https://sellercentral-japan.amazon.com/gp/mws/registration/register-summary.html</t>
  </si>
  <si>
    <t>https://mai.amazon.cn/gp/mws/registration/register-summary.html</t>
  </si>
  <si>
    <t>Credentials Processor URL</t>
  </si>
  <si>
    <t>https://sellercentral.amazon.com/gp/mws/registration/register-processor.html</t>
  </si>
  <si>
    <t>https://sellercentral-europe.amazon.com/gp/mws/registration/register-processor.html</t>
  </si>
  <si>
    <t>https://sellercentral-japan.amazon.com/gp/mws/registration/register-processor.html</t>
  </si>
  <si>
    <t>https://mai.amazon.cn/gp/mws/registration/register-processor.html</t>
  </si>
  <si>
    <t>Show the Create Templates Toolbar</t>
  </si>
  <si>
    <t>Template Language</t>
  </si>
  <si>
    <t>Template Secondary Language</t>
  </si>
  <si>
    <t>_POST_FLAT_FILE_LISTINGS_DATA_</t>
  </si>
  <si>
    <t>Feed Type</t>
  </si>
  <si>
    <t>Upload Client</t>
  </si>
  <si>
    <r>
      <rPr>
        <b/>
        <sz val="10"/>
        <color indexed="30"/>
        <rFont val="Verdana"/>
        <charset val="134"/>
      </rPr>
      <t xml:space="preserve">Misc data table </t>
    </r>
    <r>
      <rPr>
        <b/>
        <sz val="10"/>
        <color indexed="10"/>
        <rFont val="Verdana"/>
        <charset val="134"/>
      </rPr>
      <t>revision date</t>
    </r>
  </si>
  <si>
    <r>
      <rPr>
        <b/>
        <sz val="10"/>
        <color indexed="30"/>
        <rFont val="Verdana"/>
        <charset val="134"/>
      </rPr>
      <t xml:space="preserve">Data validation table </t>
    </r>
    <r>
      <rPr>
        <b/>
        <sz val="10"/>
        <color indexed="10"/>
        <rFont val="Verdana"/>
        <charset val="134"/>
      </rPr>
      <t>revision date</t>
    </r>
  </si>
  <si>
    <r>
      <rPr>
        <b/>
        <sz val="10"/>
        <color indexed="30"/>
        <rFont val="Verdana"/>
        <charset val="134"/>
      </rPr>
      <t xml:space="preserve">Dropdown lists table </t>
    </r>
    <r>
      <rPr>
        <b/>
        <sz val="10"/>
        <color indexed="10"/>
        <rFont val="Verdana"/>
        <charset val="134"/>
      </rPr>
      <t>revision date</t>
    </r>
  </si>
  <si>
    <t>http://g-ecx.images-amazon.com/images/G/01/rainier/help/ff/</t>
  </si>
  <si>
    <r>
      <rPr>
        <b/>
        <sz val="10"/>
        <color indexed="30"/>
        <rFont val="Verdana"/>
        <charset val="134"/>
      </rPr>
      <t xml:space="preserve">URL </t>
    </r>
    <r>
      <rPr>
        <b/>
        <sz val="10"/>
        <color indexed="10"/>
        <rFont val="Verdana"/>
        <charset val="134"/>
      </rPr>
      <t>production</t>
    </r>
    <r>
      <rPr>
        <b/>
        <sz val="10"/>
        <color indexed="30"/>
        <rFont val="Verdana"/>
        <charset val="134"/>
      </rPr>
      <t xml:space="preserve"> folder for misc data table</t>
    </r>
  </si>
  <si>
    <r>
      <rPr>
        <b/>
        <sz val="10"/>
        <color indexed="30"/>
        <rFont val="Verdana"/>
        <charset val="134"/>
      </rPr>
      <t xml:space="preserve">URL </t>
    </r>
    <r>
      <rPr>
        <b/>
        <sz val="10"/>
        <color indexed="10"/>
        <rFont val="Verdana"/>
        <charset val="134"/>
      </rPr>
      <t>production</t>
    </r>
    <r>
      <rPr>
        <b/>
        <sz val="10"/>
        <color indexed="30"/>
        <rFont val="Verdana"/>
        <charset val="134"/>
      </rPr>
      <t xml:space="preserve"> folder for data validation table</t>
    </r>
  </si>
  <si>
    <r>
      <rPr>
        <b/>
        <sz val="10"/>
        <color indexed="30"/>
        <rFont val="Verdana"/>
        <charset val="134"/>
      </rPr>
      <t xml:space="preserve">URL </t>
    </r>
    <r>
      <rPr>
        <b/>
        <sz val="10"/>
        <color indexed="10"/>
        <rFont val="Verdana"/>
        <charset val="134"/>
      </rPr>
      <t>production</t>
    </r>
    <r>
      <rPr>
        <b/>
        <sz val="10"/>
        <color indexed="30"/>
        <rFont val="Verdana"/>
        <charset val="134"/>
      </rPr>
      <t xml:space="preserve"> folder for dropdown lists table</t>
    </r>
  </si>
  <si>
    <r>
      <rPr>
        <b/>
        <sz val="10"/>
        <color indexed="30"/>
        <rFont val="Verdana"/>
        <charset val="134"/>
      </rPr>
      <t xml:space="preserve">URL </t>
    </r>
    <r>
      <rPr>
        <b/>
        <sz val="10"/>
        <color indexed="10"/>
        <rFont val="Verdana"/>
        <charset val="134"/>
      </rPr>
      <t>beta</t>
    </r>
    <r>
      <rPr>
        <b/>
        <sz val="10"/>
        <color indexed="30"/>
        <rFont val="Verdana"/>
        <charset val="134"/>
      </rPr>
      <t xml:space="preserve"> folder for misc data table</t>
    </r>
  </si>
  <si>
    <r>
      <rPr>
        <b/>
        <sz val="10"/>
        <color indexed="30"/>
        <rFont val="Verdana"/>
        <charset val="134"/>
      </rPr>
      <t xml:space="preserve">URL </t>
    </r>
    <r>
      <rPr>
        <b/>
        <sz val="10"/>
        <color indexed="10"/>
        <rFont val="Verdana"/>
        <charset val="134"/>
      </rPr>
      <t>beta</t>
    </r>
    <r>
      <rPr>
        <b/>
        <sz val="10"/>
        <color indexed="30"/>
        <rFont val="Verdana"/>
        <charset val="134"/>
      </rPr>
      <t xml:space="preserve"> folder for data validation table</t>
    </r>
  </si>
  <si>
    <r>
      <rPr>
        <b/>
        <sz val="10"/>
        <color indexed="30"/>
        <rFont val="Verdana"/>
        <charset val="134"/>
      </rPr>
      <t xml:space="preserve">URL </t>
    </r>
    <r>
      <rPr>
        <b/>
        <sz val="10"/>
        <color indexed="10"/>
        <rFont val="Verdana"/>
        <charset val="134"/>
      </rPr>
      <t>beta</t>
    </r>
    <r>
      <rPr>
        <b/>
        <sz val="10"/>
        <color indexed="30"/>
        <rFont val="Verdana"/>
        <charset val="134"/>
      </rPr>
      <t xml:space="preserve"> folder for dropdown lists table</t>
    </r>
  </si>
  <si>
    <t>IntMiscData.txt</t>
  </si>
  <si>
    <r>
      <rPr>
        <b/>
        <sz val="10"/>
        <color indexed="10"/>
        <rFont val="Verdana"/>
        <charset val="134"/>
      </rPr>
      <t>Filename</t>
    </r>
    <r>
      <rPr>
        <b/>
        <sz val="10"/>
        <color indexed="30"/>
        <rFont val="Verdana"/>
        <charset val="134"/>
      </rPr>
      <t xml:space="preserve"> for misc data table</t>
    </r>
  </si>
  <si>
    <t>IntDataValidation.txt</t>
  </si>
  <si>
    <r>
      <rPr>
        <b/>
        <sz val="10"/>
        <color indexed="10"/>
        <rFont val="Verdana"/>
        <charset val="134"/>
      </rPr>
      <t>Filename</t>
    </r>
    <r>
      <rPr>
        <b/>
        <sz val="10"/>
        <color indexed="30"/>
        <rFont val="Verdana"/>
        <charset val="134"/>
      </rPr>
      <t xml:space="preserve"> for data validation table</t>
    </r>
  </si>
  <si>
    <t>IntDropdownLists.txt</t>
  </si>
  <si>
    <r>
      <rPr>
        <b/>
        <sz val="10"/>
        <color indexed="10"/>
        <rFont val="Verdana"/>
        <charset val="134"/>
      </rPr>
      <t>Filename</t>
    </r>
    <r>
      <rPr>
        <b/>
        <sz val="10"/>
        <color indexed="30"/>
        <rFont val="Verdana"/>
        <charset val="134"/>
      </rPr>
      <t xml:space="preserve"> for dropdown lists table</t>
    </r>
  </si>
  <si>
    <r>
      <rPr>
        <b/>
        <sz val="10"/>
        <color indexed="30"/>
        <rFont val="Verdana"/>
        <charset val="134"/>
      </rPr>
      <t xml:space="preserve">URL </t>
    </r>
    <r>
      <rPr>
        <b/>
        <sz val="10"/>
        <color indexed="10"/>
        <rFont val="Verdana"/>
        <charset val="134"/>
      </rPr>
      <t>versioned override</t>
    </r>
    <r>
      <rPr>
        <b/>
        <sz val="10"/>
        <color indexed="30"/>
        <rFont val="Verdana"/>
        <charset val="134"/>
      </rPr>
      <t xml:space="preserve"> for misc data table</t>
    </r>
  </si>
  <si>
    <r>
      <rPr>
        <b/>
        <sz val="10"/>
        <color indexed="30"/>
        <rFont val="Verdana"/>
        <charset val="134"/>
      </rPr>
      <t xml:space="preserve">URL </t>
    </r>
    <r>
      <rPr>
        <b/>
        <sz val="10"/>
        <color indexed="10"/>
        <rFont val="Verdana"/>
        <charset val="134"/>
      </rPr>
      <t>versioned override</t>
    </r>
    <r>
      <rPr>
        <b/>
        <sz val="10"/>
        <color indexed="30"/>
        <rFont val="Verdana"/>
        <charset val="134"/>
      </rPr>
      <t xml:space="preserve"> for data validation table</t>
    </r>
  </si>
  <si>
    <r>
      <rPr>
        <b/>
        <sz val="10"/>
        <color indexed="30"/>
        <rFont val="Verdana"/>
        <charset val="134"/>
      </rPr>
      <t xml:space="preserve">URL </t>
    </r>
    <r>
      <rPr>
        <b/>
        <sz val="10"/>
        <color indexed="10"/>
        <rFont val="Verdana"/>
        <charset val="134"/>
      </rPr>
      <t>versioned override</t>
    </r>
    <r>
      <rPr>
        <b/>
        <sz val="10"/>
        <color indexed="30"/>
        <rFont val="Verdana"/>
        <charset val="134"/>
      </rPr>
      <t xml:space="preserve"> for dropdown lists table</t>
    </r>
  </si>
  <si>
    <t>URL for Misc Data Table (do not delete formula)</t>
  </si>
  <si>
    <t>URL for Data Validation Table (do not delete formula)</t>
  </si>
  <si>
    <t>URL for Dropdown Lists Table (do not delete formula)</t>
  </si>
  <si>
    <t>Use Seller Central</t>
  </si>
  <si>
    <t>Status Check URL Type (deprecated)</t>
  </si>
  <si>
    <t>Is Devo (Use beta international data tables; devo urls, etc.)</t>
  </si>
  <si>
    <t>Devo Upload URL</t>
  </si>
  <si>
    <t>Last Update From Web</t>
  </si>
  <si>
    <t>Auto Update? (True/False)</t>
  </si>
  <si>
    <t>60</t>
  </si>
  <si>
    <t>Days Between Auto Updates</t>
  </si>
  <si>
    <t>Validate</t>
  </si>
  <si>
    <t>Validate Toolbar Button Caption</t>
  </si>
  <si>
    <t>Upload File</t>
  </si>
  <si>
    <t>Upload Toolbar Button Caption</t>
  </si>
  <si>
    <t>Credentials</t>
  </si>
  <si>
    <t>Credentials Toolbar Button Caption</t>
  </si>
  <si>
    <t>Import File</t>
  </si>
  <si>
    <t>Import Toolbar Button Caption</t>
  </si>
  <si>
    <t>Update Template</t>
  </si>
  <si>
    <t>Update Toolbar Button Caption</t>
  </si>
  <si>
    <t>Flat.File.Wirelessdownloads.xls</t>
  </si>
  <si>
    <t>Internal Template Name (used for validation, etc.)</t>
  </si>
  <si>
    <t>2.543</t>
  </si>
  <si>
    <t>Template Macros Version</t>
  </si>
  <si>
    <t>US</t>
  </si>
  <si>
    <t>Marketplace (e.g. IT, US, CN, etc.)</t>
  </si>
  <si>
    <t>Wirelessdownloads</t>
  </si>
  <si>
    <t>Category (e.g. Shoes, BookLoader, etc.)</t>
  </si>
  <si>
    <t>Using your Inventory File Template</t>
  </si>
  <si>
    <t>使用您的库存文件模板</t>
  </si>
  <si>
    <t>Print this page</t>
  </si>
  <si>
    <t>打印此页</t>
  </si>
  <si>
    <t>This page contains information you need to create, validate and upload your inventory file to Amazon. We recommend that you print this page so that you can refer to it as you go.</t>
  </si>
  <si>
    <t>此页面包含创建、验证库存文件并将其上传至亚马逊所需的信息。我们建议您打印此页面，以便随时参考。</t>
  </si>
  <si>
    <t>Save a copy of this file as an Excel worksheet on your hard drive. Then proceed to enter your product data into the Template tab, using the guidelines below.</t>
  </si>
  <si>
    <t>请将此文件的副本以 Excel 工作表的格式保存在您的硬盘上。然后按照以下指南，继续将您的商品数据输入到“模板”选项卡中。</t>
  </si>
  <si>
    <t>Data Definitions Tab</t>
  </si>
  <si>
    <t>“数据定义”选项卡</t>
  </si>
  <si>
    <t>The Data Definitions tab provides guidance about the accepted values for attributes in your template. The Data Definitions tab also indicates whether each field is Required or Optional:</t>
  </si>
  <si>
    <t>“数据定义”选项卡提供了有关模板中属性的可接受值的指南。“数据定义”选项卡也会指明每个字段是“必填”还是“可选”：</t>
  </si>
  <si>
    <r>
      <rPr>
        <b/>
        <sz val="11"/>
        <color theme="1"/>
        <rFont val="Verdana"/>
        <charset val="134"/>
      </rPr>
      <t xml:space="preserve">Required: </t>
    </r>
    <r>
      <rPr>
        <sz val="11"/>
        <color theme="1"/>
        <rFont val="Verdana"/>
        <charset val="134"/>
      </rPr>
      <t>Required fields are the minimum set of attribute values necessary to create your product in the Amazon catalogue. In the Template tab, attributes that are required will have a RED border after you have selected a Product Type for that row. Failure to enter a valid value in a required field will prevent your product from being added to the catalogue. Additional data may be required, depending on the values that you enter elsewhere in this template. For example, you must provide package_dimensions_unit_of_measure if you provide package length.</t>
    </r>
  </si>
  <si>
    <r>
      <rPr>
        <b/>
        <sz val="11"/>
        <color theme="1"/>
        <rFont val="Verdana"/>
        <charset val="134"/>
      </rPr>
      <t>必填：</t>
    </r>
    <r>
      <rPr>
        <sz val="11"/>
        <color theme="1"/>
        <rFont val="Verdana"/>
        <charset val="134"/>
      </rPr>
      <t>必填字段是您在亚马逊目录中创建商品所需提供的最低程度的属性值。在“模板”选项卡中，在您为该行选择“商品类型”后,必填属性将出现一个红色边框。如果您未能在必填字段中输入有效值，您的商品将无法添加至目录。可能还需要其他数据，具体取决于您在此模板的其他位置输入的值。
例如，如果您提供了包裹长度，则必须提供包裹尺寸计量单位。</t>
    </r>
  </si>
  <si>
    <r>
      <rPr>
        <b/>
        <sz val="11"/>
        <color theme="1"/>
        <rFont val="Verdana"/>
        <charset val="134"/>
      </rPr>
      <t>Optional</t>
    </r>
    <r>
      <rPr>
        <sz val="11"/>
        <color theme="1"/>
        <rFont val="Verdana"/>
        <charset val="134"/>
      </rPr>
      <t>: Optional fields give customers product information that is helpful when making purchasing decisions. In the Template tab, attributes that are optional do not have a coloured cell border. We recommend that you provide as much Optional product data as possible for your product. In some cases, fields that we have labelled Optional may be important to your product or business, or required according to your seller agreement.</t>
    </r>
  </si>
  <si>
    <r>
      <rPr>
        <b/>
        <sz val="11"/>
        <color theme="1"/>
        <rFont val="Verdana"/>
        <charset val="134"/>
      </rPr>
      <t>可选</t>
    </r>
    <r>
      <rPr>
        <sz val="11"/>
        <color theme="1"/>
        <rFont val="Verdana"/>
        <charset val="134"/>
      </rPr>
      <t>：可选字段提供一些有用的商品信息，供买家进行购买决策时参考。
在“模板”选项卡中，可选属性没有彩色单元格边框。我们建议您为您的商品提供尽可能多的“可选”商品数据。在某些情况下，我们标记为“可选”的字段可能对您的商品或业务至关重要，或者根据您的卖家协议需要提供这些数据。</t>
    </r>
  </si>
  <si>
    <t>Valid Values and BTGs</t>
  </si>
  <si>
    <t>有效值和分类树指南</t>
  </si>
  <si>
    <t>As indicated in the Data Definitions tab, some fields require that you use terms from the Valid Values tab. These terms are specific to the product attribute and are used for categorisation and product discoverability – for example, via search.</t>
  </si>
  <si>
    <t>如“数据定义”选项卡中所示，有些字段要求您使用“有效值”选项卡中的术语。这些术语特定于商品属性，用于对商品分类查找商品 - 例如通过搜索方式。</t>
  </si>
  <si>
    <t>The cell for Recommended Browse Node requires that you use a valid value from the Browse Tree Guide (BTG) for the category in which you are listing. BTGs are category-specific and contain the rules that Amazon uses to assign products to categories on our site. These values are available as drop-downs in the Template tab and you can view the mappings for these values in the Browse Data tab.</t>
  </si>
  <si>
    <t>“推荐分类节点”的单元格要求您对要发布商品的分类使用分类树指南 (BTG) 中的有效值。分类树指南是特定于分类的，包含亚马逊用于将商品分配到我们网站上的分类的规则。这些值在“模板”选项卡中以下拉菜单形式提供，您可以在“浏览数据”选项卡中查看这些值的映射。</t>
  </si>
  <si>
    <t>The BTGs are also available as separate Excel files that can be downloaded from this page: https://sellercentral-europe.amazon.com/gp/help/1641. In it, you will find mappings between Recommended Browse Nodes and Amazon’s controlled terms which allow products to be displayed in those categories. In the BTG for your category, find the category most appropriate for your product, and then use the corresponding query to determine what field and value you need to put in your template to place your product in that category.</t>
  </si>
  <si>
    <t>分类树指南也可作为单独的 Excel 文件提供，可从该页面下载：https://sellercentral-europe.amazon.com/gp/help/1641。在分类树指南中，您可以找到推荐分类节点和亚马逊控制的词条之间的映射，从而允许商品在这些分类中显示。在适用于您分类的分类树指南中，找到最适合您商品的分类，然后使用相应的查询来确定您需要在模板中输入哪些字段和值，才能将您的商品放入该分类中。</t>
  </si>
  <si>
    <t>Image Tab</t>
  </si>
  <si>
    <t>“图片”选项卡</t>
  </si>
  <si>
    <t>Please refer to Seller Central for product image requirements: https://sellercentral-europe.amazon.com/gp/help/1881</t>
  </si>
  <si>
    <t>请参阅卖家平台了解商品图片要求：https://sellercentral-europe.amazon.com/gp/help/1881</t>
  </si>
  <si>
    <t>For category specific guidelines, download the style guide for your category from the downloadable file template table here: https://sellercentral-europe.amazon.com/gp/help/1641</t>
  </si>
  <si>
    <t>有关特定分类指南，请从以下可下载文件模板表下载适用于您分类的风格指南：https://sellercentral-europe.amazon.com/gp/help/1641</t>
  </si>
  <si>
    <t>Example Tab</t>
  </si>
  <si>
    <t>“示例”选项卡</t>
  </si>
  <si>
    <t>See the Example tab for an example of how to enter product information. This information is for reference only and is not processed by Amazon when you submit your template. In order to avoid including invalid product data in your inventory file, do not work on your own items within the Example sheet.</t>
  </si>
  <si>
    <t>请参阅“示例”选项卡，以了解如何输入商品信息的示例。此信息仅供参考，亚马逊不会在您提交模板时处理此信息。为避免您的库存文件中包含无效商品数据，请勿在“示例”工作表中处理您自己的商品。</t>
  </si>
  <si>
    <t>Template Tab</t>
  </si>
  <si>
    <t>“模板”选项卡</t>
  </si>
  <si>
    <t xml:space="preserve">The Template tab is where you will enter the information to create or edit your listings. Each row will be used to provide your listing information for a single SKU. First, select the Product Type in the first column. After selecting the desired Product Type for a row in the template, the fields in that row required for your listing submission to be successfully processed will have a red border. If your template contains multiple marketplaces, the price and currency fields will have a red border for every marketplace. You are not required to populate these fields for every marketplace. Rather you should populate these fields only for the marketplaces in which you want to list your product. If your template contains multiple Product Types in the drop-down in the first column, attributes that are not applicable to the Product Type you have selected for a row will be greyed out in that row. Note that high ASCII characters (such as ®, ©) and HTML tags are not allowed. Product information must be provided in the primary language of the marketplace in which you are submitting your listing. </t>
  </si>
  <si>
    <t xml:space="preserve">“模板”选项卡是您输入信息来创建或编辑商品信息的地方。每一行将用于提供单个 SKU 的商品信息。首先，在第一列选择“商品类型”。为模板中的某一行选择所需的“商品类型”后，该行中成功处理商品信息提交所需的字段将出现红色边框。如果您的模板包含多个商城，则每个商城的价格和货币字段将出现红色边框。您不需要为每个商城填充这些字段。更确切地说，您应仅为您想在其中发布商品的商城填充这些字段。如果您的模板的第一列的下拉菜单中包含多个“商品类型”，则不适用于您为某一行所选的“商品类型”的属性将在该行中显示为灰色。请注意，不允许使用高位 ASCII 字符（如 ® 、©）和 HTML 标记。必须以提交商品信息的商城所使用的主要语言提供商品信息。 </t>
  </si>
  <si>
    <r>
      <rPr>
        <b/>
        <sz val="11"/>
        <color theme="1"/>
        <rFont val="Verdana"/>
        <charset val="134"/>
      </rPr>
      <t xml:space="preserve">Update, Partial Update and Delete operations: </t>
    </r>
    <r>
      <rPr>
        <sz val="11"/>
        <color theme="1"/>
        <rFont val="Verdana"/>
        <charset val="134"/>
      </rPr>
      <t xml:space="preserve">Specify the operation you wish to perform on your SKU in the column labelled </t>
    </r>
    <r>
      <rPr>
        <i/>
        <sz val="11"/>
        <color theme="1"/>
        <rFont val="Verdana"/>
        <charset val="134"/>
      </rPr>
      <t>Update delete. There are three options:</t>
    </r>
    <r>
      <rPr>
        <sz val="11"/>
        <color theme="1"/>
        <rFont val="Verdana"/>
        <charset val="134"/>
      </rPr>
      <t xml:space="preserve">
</t>
    </r>
    <r>
      <rPr>
        <b/>
        <sz val="11"/>
        <color theme="1"/>
        <rFont val="Verdana"/>
        <charset val="134"/>
      </rPr>
      <t>1. Update</t>
    </r>
    <r>
      <rPr>
        <sz val="11"/>
        <color theme="1"/>
        <rFont val="Verdana"/>
        <charset val="134"/>
      </rPr>
      <t xml:space="preserve">: Use this option when creating a new SKU or when you wish to completely replace your current values for an existing SKU with a new set of values. When updating an existing SKU, the Update option removes your previous contributions to the SKU and replaces them with the content you provide in your template. This includes attributes that you leave blank. For example when using Update, if you previously provided bullet points for your SKU and you leave bullet points blank in your template, submitting the template will cause bullet points you previously provided to be deleted. If you do not specify an option in the </t>
    </r>
    <r>
      <rPr>
        <i/>
        <sz val="11"/>
        <color theme="1"/>
        <rFont val="Verdana"/>
        <charset val="134"/>
      </rPr>
      <t>Update delete</t>
    </r>
    <r>
      <rPr>
        <sz val="11"/>
        <color theme="1"/>
        <rFont val="Verdana"/>
        <charset val="134"/>
      </rPr>
      <t xml:space="preserve"> column, the Update option is used by default.
</t>
    </r>
    <r>
      <rPr>
        <b/>
        <sz val="11"/>
        <color theme="1"/>
        <rFont val="Verdana"/>
        <charset val="134"/>
      </rPr>
      <t>2. Partial Update</t>
    </r>
    <r>
      <rPr>
        <sz val="11"/>
        <color theme="1"/>
        <rFont val="Verdana"/>
        <charset val="134"/>
      </rPr>
      <t xml:space="preserve">: Use this option when you wish to change specific attributes for your SKU. If you leave an attribute blank, Amazon will retain your previous contributions for the attribute. For example when using Partial Update, if you previously provided bullet points and you leave bullet points blank in your template, submitting the template will not change the bullet points on the detail page of your SKU. 
</t>
    </r>
    <r>
      <rPr>
        <b/>
        <sz val="11"/>
        <color theme="1"/>
        <rFont val="Verdana"/>
        <charset val="134"/>
      </rPr>
      <t>3. Delete</t>
    </r>
    <r>
      <rPr>
        <sz val="11"/>
        <color theme="1"/>
        <rFont val="Verdana"/>
        <charset val="134"/>
      </rPr>
      <t>: If you are using a single-marketplace template, this operation removes your SKU in the marketplace in which you submit your template. If you selected multiple marketplaces when generating your template and your SKU exists in multiple marketplaces, the delete operation is executed for the SKU in each marketplace for which you provide a price in your template. For example, if your SKU exists in UK, DE, FR, ES and IT, and you submit a template with the delete operation selected and with values for price in UK and DE, your SKU will be deleted only in the UK and DE marketplaces.</t>
    </r>
  </si>
  <si>
    <r>
      <rPr>
        <b/>
        <sz val="11"/>
        <color theme="1"/>
        <rFont val="Verdana"/>
        <charset val="134"/>
      </rPr>
      <t>“更新”、“部分更新”和“删除”操作：</t>
    </r>
    <r>
      <rPr>
        <sz val="11"/>
        <color theme="1"/>
        <rFont val="Verdana"/>
        <charset val="134"/>
      </rPr>
      <t>在标有“更新删除”的列中，指定您希望对您的 SKU 执行的</t>
    </r>
    <r>
      <rPr>
        <i/>
        <sz val="11"/>
        <color theme="1"/>
        <rFont val="Verdana"/>
        <charset val="134"/>
      </rPr>
      <t>操作。有 3 个选项：</t>
    </r>
    <r>
      <rPr>
        <sz val="11"/>
        <color theme="1"/>
        <rFont val="Verdana"/>
        <charset val="134"/>
      </rPr>
      <t xml:space="preserve">
</t>
    </r>
    <r>
      <rPr>
        <b/>
        <sz val="11"/>
        <color theme="1"/>
        <rFont val="Verdana"/>
        <charset val="134"/>
      </rPr>
      <t>1.更新</t>
    </r>
    <r>
      <rPr>
        <sz val="11"/>
        <color theme="1"/>
        <rFont val="Verdana"/>
        <charset val="134"/>
      </rPr>
      <t>：在创建新的 SKU，或希望使用一组新值完全替换一个已存在的 SKU 的当前值时，请使用此选项。更新现有 SKU 时，“更新”选项会移除您之前设定的 SKU 信息，并用模板中提供的内容替换 SKU 信息。这包括您留空的属性。例如，使用“更新”时，如果您之前为 SKU 填写了要点，并在模板中将要点留空，那么提交模板将删除您之前填写的要点。如果您未在“</t>
    </r>
    <r>
      <rPr>
        <i/>
        <sz val="11"/>
        <color theme="1"/>
        <rFont val="Verdana"/>
        <charset val="134"/>
      </rPr>
      <t>更新删除</t>
    </r>
    <r>
      <rPr>
        <sz val="11"/>
        <color theme="1"/>
        <rFont val="Verdana"/>
        <charset val="134"/>
      </rPr>
      <t xml:space="preserve">”列中指定选项，则默认使用“更新”选项。
</t>
    </r>
    <r>
      <rPr>
        <b/>
        <sz val="11"/>
        <color theme="1"/>
        <rFont val="Verdana"/>
        <charset val="134"/>
      </rPr>
      <t>2.部分更新</t>
    </r>
    <r>
      <rPr>
        <sz val="11"/>
        <color theme="1"/>
        <rFont val="Verdana"/>
        <charset val="134"/>
      </rPr>
      <t xml:space="preserve">：如果您希望更改 SKU 的某些特定属性，请使用此选项。如果您将某个属性留空，亚马逊将保留您之前为该属性提供的信息。例如，使用“部分更新”时，如果您之前填写了要点，且您在模板中将要点留空，则提交模板不会更改 SKU 详情页面上的要点。
</t>
    </r>
    <r>
      <rPr>
        <b/>
        <sz val="11"/>
        <color theme="1"/>
        <rFont val="Verdana"/>
        <charset val="134"/>
      </rPr>
      <t>3.删除</t>
    </r>
    <r>
      <rPr>
        <sz val="11"/>
        <color theme="1"/>
        <rFont val="Verdana"/>
        <charset val="134"/>
      </rPr>
      <t>：如果您使用的是单一商城模板，此操作会在提交模板的商城中删除您的 SKU。如果您在生成模板时选择了多个商城，且您的 SKU 存在于多个商城中，则系统只会删除您在模板中提供了价格的商城中的 SKU。举例来说，如果您的 SKU 存在于英国、德国、法国、西班牙和意大利商城，且您在提交模板时选择了删除操作，且填写了英国和德国商城的价格值，则系统只会删除您在英国和德国商城中的 SKU。</t>
    </r>
  </si>
  <si>
    <r>
      <rPr>
        <b/>
        <sz val="11"/>
        <color theme="1"/>
        <rFont val="Verdana"/>
        <charset val="134"/>
      </rPr>
      <t>Multi-Marketplace Template</t>
    </r>
    <r>
      <rPr>
        <sz val="11"/>
        <color theme="1"/>
        <rFont val="Verdana"/>
        <charset val="134"/>
      </rPr>
      <t>: If you selected multiple marketplaces when generating your template, you will find columns to specify your price and other offer data for each marketplace when you scroll to the right on the Template tab. You can use these offer columns to create or edit your listing in multiple marketplaces. If you provide a price for your SKU in a marketplace in which the ASIN does not yet exist, Amazon will attempt to create the ASIN in that marketplace by translating your product data into the primary language of that marketplace. For all prices that you provide in the template, use the decimal separator of the marketplace in which you are submitting the template. The decimal separator is either a period (.) or a comma (,), depending on your account settings. Do not use a mix of different decimal separators within the same template. For further details about the features of Multi-Marketplace Template, see here: https://sellercentral-europe.amazon.com/gp/help/581</t>
    </r>
  </si>
  <si>
    <r>
      <rPr>
        <b/>
        <sz val="11"/>
        <color theme="1"/>
        <rFont val="Verdana"/>
        <charset val="134"/>
      </rPr>
      <t>多商城模板：</t>
    </r>
    <r>
      <rPr>
        <sz val="11"/>
        <color theme="1"/>
        <rFont val="Verdana"/>
        <charset val="134"/>
      </rPr>
      <t>如果您在生成模板时选择了多个商城，那么当您在“模板”选项卡上向右滚动时，您会看到为每个商城指定商品价格和其他报价数据的那些列。您可用这些报价列在多个商城中创建或编辑您的商品信息。如果您在尚不存在 ASIN 的商城中为您的 SKU 输入了商品价格，那么亚马逊将尝试将您的商品数据翻译成该商城的主要语言，从而在该商城创建 ASIN。对于您在模板中提供的所有商品价格，请使用您在其中提交模板的商城的小数分隔符。小数分隔符是点 (.) 或逗号 (,)，具体取决于您的账户设置。请勿在同一模板中混合使用不同的小数分隔符。有关“多商城模板”功能的更多详情，请参阅此处：https://sellercentral-europe.amazon.com/gp/help/581</t>
    </r>
  </si>
  <si>
    <r>
      <rPr>
        <b/>
        <sz val="11"/>
        <color theme="1"/>
        <rFont val="Verdana"/>
        <charset val="134"/>
      </rPr>
      <t>Inventory Quantity</t>
    </r>
    <r>
      <rPr>
        <sz val="11"/>
        <color theme="1"/>
        <rFont val="Verdana"/>
        <charset val="134"/>
      </rPr>
      <t xml:space="preserve">: For items that are fulfilled by Amazon, do not provide a value in the quantity column. The quantity column should be used only for seller-fulfilled SKU’s. The inventory quantity for Amazon-fulfilled SKU’s will be determined by the number of items received at the Amazon Fulfilment Centre. If you provide a value for your SKU in the quantity column, your SKU will convert to seller-fulfilled. </t>
    </r>
  </si>
  <si>
    <r>
      <rPr>
        <b/>
        <sz val="11"/>
        <color theme="1"/>
        <rFont val="Verdana"/>
        <charset val="134"/>
      </rPr>
      <t>库存数量：</t>
    </r>
    <r>
      <rPr>
        <sz val="11"/>
        <color theme="1"/>
        <rFont val="Verdana"/>
        <charset val="134"/>
      </rPr>
      <t xml:space="preserve">对于亚马逊配送的商品，请勿在“数量”列中提供值。“数量”列应仅用于卖家自配送 SKU。亚马逊配送的 SKU 的库存数量将取决于亚马逊运营中心接收的商品数量。如果您在数量列中为您的 SKU 提供了一个值，则您的 SKU 将转换为卖家自行配送。 </t>
    </r>
  </si>
  <si>
    <t>Save Your Inventory File</t>
  </si>
  <si>
    <t>保存您的库存文件</t>
  </si>
  <si>
    <t xml:space="preserve">When you have finished entering your listing information into the Template tab, you can save the file and then upload it here: https://sellercentral-europe.amazon.com/listing/upload </t>
  </si>
  <si>
    <t xml:space="preserve">当您已将商品信息输入到“模板”选项卡后，便可保存文件，然后将其上传到此处：https://sellercentral-europe.amazon.com/listing/upload </t>
  </si>
  <si>
    <t>Submit Your Inventory File</t>
  </si>
  <si>
    <t>提交您的库存文件</t>
  </si>
  <si>
    <t xml:space="preserve">Upload your file from the ‘Add Products via Upload’ page in Seller Central here: https://sellercentral-europe.amazon.com/listing/upload. </t>
  </si>
  <si>
    <t xml:space="preserve">从卖家平台的“批量上传商品”页面上传您的文件，网址为：https://sellercentral-europe.amazon.com/listing/upload。 </t>
  </si>
  <si>
    <t xml:space="preserve">After you upload your file, Amazon will validate the data in your file. When Amazon is done processing your file, you will be able to download a processing report on this page: https://sellercentral-europe.amazon.com/listing/status. Any errors in the upload will appear in the processing report. </t>
  </si>
  <si>
    <t xml:space="preserve">您上传文件后，亚马逊将验证您文件中的数据。亚马逊处理完您的文件后，您可以在此页面下载处理报告：https://sellercentral-europe.amazon.com/listing/status。上传中出现的任何错误都会显示在处理报告中。 </t>
  </si>
  <si>
    <t>Updated Templates</t>
  </si>
  <si>
    <t>更新的模板</t>
  </si>
  <si>
    <t>From time to time, Amazon will update valid values, data validation rules, explanatory text and attribute requirements. If you submit a template that was generated &gt;2 weeks ago, Amazon will generate an updated version of the template on your behalf with all of your data prepopulated in it. You will see a link to download your submission in the updated template version below the link to download your processing report. That can be found on this page: https://sellercentral-europe.amazon.com/listing/status. Note that the feature to download the updated template is not currently available for templates containing fields for multiple marketplaces.</t>
  </si>
  <si>
    <t>亚马逊会不时更新有效值、数据验证规则、解释性文本和属性要求。如果您提交了生成时间超过 2 周的模板，亚马逊将代您生成模板的更新版本，其中预填充了您的所有数据。在下载处理报告链接的下方，您将看到一个链接，用于下载更新后的模板版本中提交的内容。可在此页面上找到相关信息：https://sellercentral-europe.amazon.com/listing/status。请注意，下载更新后的模板的功能目前不适用于包含多个商城字段的模板。</t>
  </si>
  <si>
    <t>Still have questions?</t>
  </si>
  <si>
    <t>还有其他问题吗？</t>
  </si>
  <si>
    <t>You can find further details about using inventory file templates here: https://sellercentral-europe.amazon.com/gp/help/581</t>
  </si>
  <si>
    <t>您可以在此处找到有关使用库存文件模板的更多详情：https://sellercentral-europe.amazon.com/gp/help/581</t>
  </si>
  <si>
    <t>Translation Key</t>
  </si>
  <si>
    <t>accepted_file_types</t>
  </si>
  <si>
    <t>File types accepted for import:</t>
  </si>
  <si>
    <t>active_cell_sku_header</t>
  </si>
  <si>
    <t>Active cell is not SKU header.</t>
  </si>
  <si>
    <t>add_offer</t>
  </si>
  <si>
    <t>Add an Offer for this item</t>
  </si>
  <si>
    <t>alphabetical_order</t>
  </si>
  <si>
    <t>Alphabetical Order</t>
  </si>
  <si>
    <t>amazon_listing_loader</t>
  </si>
  <si>
    <t>Amazon Listing Loader</t>
  </si>
  <si>
    <t>amazon_template_localization</t>
  </si>
  <si>
    <t>Amazon Template Localization</t>
  </si>
  <si>
    <t>amazon_upload</t>
  </si>
  <si>
    <t>Amazon Upload</t>
  </si>
  <si>
    <t>amazon_upload_manager</t>
  </si>
  <si>
    <t>Amazon Upload Manager</t>
  </si>
  <si>
    <t>amazon_validation</t>
  </si>
  <si>
    <t>Amazon Validation</t>
  </si>
  <si>
    <t>applying_dropdown_lists_1</t>
  </si>
  <si>
    <t xml:space="preserve">Applying dropdown lists for </t>
  </si>
  <si>
    <t>applying_dropdown_lists_2</t>
  </si>
  <si>
    <t xml:space="preserve"> template...</t>
  </si>
  <si>
    <t>auto_fill_sku</t>
  </si>
  <si>
    <t>Auto Fill SKU</t>
  </si>
  <si>
    <t>auto_update_days</t>
  </si>
  <si>
    <t>Days between automatic updates</t>
  </si>
  <si>
    <t>automatically_looked_up</t>
  </si>
  <si>
    <t>When this is turned on, items will be automatically looked up as you enter them and move to the next cell</t>
  </si>
  <si>
    <t>aws_id</t>
  </si>
  <si>
    <t>AWS Access Key ID:</t>
  </si>
  <si>
    <t>bad_identifier</t>
  </si>
  <si>
    <t>Bad Identifier</t>
  </si>
  <si>
    <t>batch_id</t>
  </si>
  <si>
    <t>Batch ID:</t>
  </si>
  <si>
    <t>browse_file</t>
  </si>
  <si>
    <t>Please browse to the file to be imported.</t>
  </si>
  <si>
    <t>browse_file_header</t>
  </si>
  <si>
    <t>Please browse to the file to be imported:</t>
  </si>
  <si>
    <t>browse_to_data_validation</t>
  </si>
  <si>
    <t>Browse to Data Validation Web Table Excel workbook…</t>
  </si>
  <si>
    <t>browse_to_workbook_1</t>
  </si>
  <si>
    <t xml:space="preserve">Browse to workbook with modified Ddefs to import into </t>
  </si>
  <si>
    <t>browse_to_workbook_2</t>
  </si>
  <si>
    <t>…</t>
  </si>
  <si>
    <t>bulk_lookup</t>
  </si>
  <si>
    <t>Bulk Lookup</t>
  </si>
  <si>
    <t>cancelled</t>
  </si>
  <si>
    <t>Cancelled</t>
  </si>
  <si>
    <t>cannot_create_list</t>
  </si>
  <si>
    <t>Cannot Create List</t>
  </si>
  <si>
    <t>cannot_find_xml_text</t>
  </si>
  <si>
    <t>You cannot use the advanced functionality in the Listing Loader because a required XML library is not available on this computer. Please install MSXML library from Microsoft.com and try again.</t>
  </si>
  <si>
    <t>cannot_proceed_1</t>
  </si>
  <si>
    <t>Cannot proceed because there was nothing to validate.</t>
  </si>
  <si>
    <t>cannot_proceed_2</t>
  </si>
  <si>
    <t>Enter a character in the first data row of the first column of the template sheet, and try again.</t>
  </si>
  <si>
    <t>cannot_rename_1</t>
  </si>
  <si>
    <t xml:space="preserve">Cannot rename worksheet to </t>
  </si>
  <si>
    <t>cannot_rename_2</t>
  </si>
  <si>
    <t xml:space="preserve"> because it is longer than 31 characters.</t>
  </si>
  <si>
    <t>cant_find_column_header_1</t>
  </si>
  <si>
    <t xml:space="preserve">Can't find column header </t>
  </si>
  <si>
    <t>cant_find_column_header_2</t>
  </si>
  <si>
    <t xml:space="preserve"> (from </t>
  </si>
  <si>
    <t>cant_find_column_header_3</t>
  </si>
  <si>
    <t xml:space="preserve">) in </t>
  </si>
  <si>
    <t>cant_find_column_header_4</t>
  </si>
  <si>
    <t xml:space="preserve"> (</t>
  </si>
  <si>
    <t>cant_find_column_header_5</t>
  </si>
  <si>
    <t xml:space="preserve"> column headers) in a row that passes all dependency tests.</t>
  </si>
  <si>
    <t>cant_find_column_header_6</t>
  </si>
  <si>
    <t>Please fix and restart.</t>
  </si>
  <si>
    <t>cant_find_header</t>
  </si>
  <si>
    <t>Can't Find Header</t>
  </si>
  <si>
    <t>cant_find_hidden_1</t>
  </si>
  <si>
    <t xml:space="preserve">Can't find hidden worksheet </t>
  </si>
  <si>
    <t>cant_find_hidden_2</t>
  </si>
  <si>
    <t xml:space="preserve">. Please fix in cell </t>
  </si>
  <si>
    <t>cant_find_hidden_3</t>
  </si>
  <si>
    <t xml:space="preserve"> of the </t>
  </si>
  <si>
    <t>cant_find_hidden_4</t>
  </si>
  <si>
    <t xml:space="preserve"> sheet.</t>
  </si>
  <si>
    <t>cant_find_template_name</t>
  </si>
  <si>
    <t>Can't Find Template Name in Table</t>
  </si>
  <si>
    <t>cant_find_worksheet</t>
  </si>
  <si>
    <t xml:space="preserve">Can't Find Worksheet </t>
  </si>
  <si>
    <t>check_import</t>
  </si>
  <si>
    <t>Check import &amp; destination filenames</t>
  </si>
  <si>
    <t>check_status</t>
  </si>
  <si>
    <t>(Check Status)</t>
  </si>
  <si>
    <t>checking_no_columns</t>
  </si>
  <si>
    <t>checking for no columns to import</t>
  </si>
  <si>
    <t>choose_template_sheets</t>
  </si>
  <si>
    <t>Please choose the template sheets to upload:</t>
  </si>
  <si>
    <t>choose_worksheet</t>
  </si>
  <si>
    <t>Please choose the worksheet in this workbook to import:</t>
  </si>
  <si>
    <t>closing_import_file</t>
  </si>
  <si>
    <t>closing import file</t>
  </si>
  <si>
    <t>codepage_text</t>
  </si>
  <si>
    <t xml:space="preserve">If this text file was created under a different language character setting (codepage), then to avoid incorrect characters, indicate below the codepage it was created under. </t>
  </si>
  <si>
    <t>column_1</t>
  </si>
  <si>
    <t xml:space="preserve">(Column </t>
  </si>
  <si>
    <t>column_2</t>
  </si>
  <si>
    <t>)</t>
  </si>
  <si>
    <t>column_headers_not_selected</t>
  </si>
  <si>
    <t>Column Headers Not Selected</t>
  </si>
  <si>
    <t>column_headers_paired_up</t>
  </si>
  <si>
    <t>Column headers in the import file have been paired up with any exact matches in the template. Pair up any additional column headers as desired by selecting one each in the Import and Template lists, and then clicking Add.</t>
  </si>
  <si>
    <t>condition_type</t>
  </si>
  <si>
    <t>Condition Type:</t>
  </si>
  <si>
    <t>confirm_sec_pass</t>
  </si>
  <si>
    <t>Confirm Security Password:</t>
  </si>
  <si>
    <t>create_feed_templates</t>
  </si>
  <si>
    <t>Amazon - Create International Feed Templates</t>
  </si>
  <si>
    <t>creating_intl_templates</t>
  </si>
  <si>
    <t>Creating International Templates</t>
  </si>
  <si>
    <t>creating_match_array</t>
  </si>
  <si>
    <t>creating the match array</t>
  </si>
  <si>
    <t>creating_template_1</t>
  </si>
  <si>
    <t xml:space="preserve">Creating </t>
  </si>
  <si>
    <t>creating_template_2</t>
  </si>
  <si>
    <t>credentials</t>
  </si>
  <si>
    <t>credentials_frame_header</t>
  </si>
  <si>
    <t>MWS Credentials</t>
  </si>
  <si>
    <t>credentials_header</t>
  </si>
  <si>
    <t>Please enter your MWS credentials. They will be securely stored on your computer for future use.</t>
  </si>
  <si>
    <t>credentials_securely_stored</t>
  </si>
  <si>
    <t>Your MWS credentials have been securely stored on your computer. You will need to enter your security password when access to your credentials is required. You can open the Credentials form to repeat this registration process or reset your security password.</t>
  </si>
  <si>
    <t>credentials_stored_successfully</t>
  </si>
  <si>
    <t>Credentials Stored Successfully</t>
  </si>
  <si>
    <t>credentials_successfully_removed</t>
  </si>
  <si>
    <t>Credentials Removed Successfully</t>
  </si>
  <si>
    <t>credentials_successfully_removed_long</t>
  </si>
  <si>
    <t>You MWS credentials have been successfully removed from this computer.</t>
  </si>
  <si>
    <t>csv_files</t>
  </si>
  <si>
    <t>- Comma-Separated Text Files (.csv)</t>
  </si>
  <si>
    <t>csv_msg_1</t>
  </si>
  <si>
    <t>Files with .csv filename extensions must be changed to another filename extension before opening importing. Click Yes to have this .csv file copied to your temp folder with a different name, imported from there, and then deleted when done.</t>
  </si>
  <si>
    <t>csv_msg_2</t>
  </si>
  <si>
    <t>Alternatively, if you prefer, you can click Cancel, then open the CSV file and save as tab delimited, then click the Import File toolbar button again.</t>
  </si>
  <si>
    <t>csv_msg_3</t>
  </si>
  <si>
    <t>Copy the .csv file and import the new file?</t>
  </si>
  <si>
    <t>data_found</t>
  </si>
  <si>
    <t>Data Found</t>
  </si>
  <si>
    <t>data_found_range_1</t>
  </si>
  <si>
    <t xml:space="preserve">Data has been found within the range </t>
  </si>
  <si>
    <t>data_found_range_2</t>
  </si>
  <si>
    <t>. That data will be deleted if you proceed to generate localized templates.</t>
  </si>
  <si>
    <t>data_found_range_3</t>
  </si>
  <si>
    <t>Do you want to proceed?</t>
  </si>
  <si>
    <t>data_not_found</t>
  </si>
  <si>
    <t>Data Not Found</t>
  </si>
  <si>
    <t>decrypting_mws_credentials</t>
  </si>
  <si>
    <t>Decrypting MWS Credentials</t>
  </si>
  <si>
    <t>default_preferences</t>
  </si>
  <si>
    <t>Default Preferences</t>
  </si>
  <si>
    <t>deselect_all</t>
  </si>
  <si>
    <t>Deselect All</t>
  </si>
  <si>
    <t>details</t>
  </si>
  <si>
    <t>Details:</t>
  </si>
  <si>
    <t>done</t>
  </si>
  <si>
    <t>Done.</t>
  </si>
  <si>
    <t>done_importing_1</t>
  </si>
  <si>
    <t xml:space="preserve">Done importing worksheet </t>
  </si>
  <si>
    <t>done_importing_2</t>
  </si>
  <si>
    <t xml:space="preserve"> in workbook </t>
  </si>
  <si>
    <t>done_importing_3</t>
  </si>
  <si>
    <t>.</t>
  </si>
  <si>
    <t>done_importing_4</t>
  </si>
  <si>
    <t xml:space="preserve">Imported data begins at row </t>
  </si>
  <si>
    <t>done_importing_5</t>
  </si>
  <si>
    <t xml:space="preserve">, because data was found in row </t>
  </si>
  <si>
    <t>done_importing_6</t>
  </si>
  <si>
    <t>download_not_successful_1</t>
  </si>
  <si>
    <t xml:space="preserve">Download of </t>
  </si>
  <si>
    <t>download_not_successful_2</t>
  </si>
  <si>
    <t>download_not_successful_3</t>
  </si>
  <si>
    <t>) was not successful.</t>
  </si>
  <si>
    <t>download_not_successful_4</t>
  </si>
  <si>
    <t xml:space="preserve">Use old </t>
  </si>
  <si>
    <t>download_not_successful_5</t>
  </si>
  <si>
    <t xml:space="preserve"> already in this workbook instead?</t>
  </si>
  <si>
    <t>download_not_successful_long_1</t>
  </si>
  <si>
    <t>download_not_successful_long_2</t>
  </si>
  <si>
    <t>download_not_successful_long_3</t>
  </si>
  <si>
    <t>download_not_successful_long_4</t>
  </si>
  <si>
    <t xml:space="preserve">Old </t>
  </si>
  <si>
    <t>download_not_successful_long_5</t>
  </si>
  <si>
    <t xml:space="preserve"> not found in this workbook (worksheet named </t>
  </si>
  <si>
    <t>download_not_successful_long_6</t>
  </si>
  <si>
    <t xml:space="preserve"> not found).</t>
  </si>
  <si>
    <t>download_not_successful_long_7</t>
  </si>
  <si>
    <t>Unable to proceed.</t>
  </si>
  <si>
    <t>download_unsuccessful</t>
  </si>
  <si>
    <t>Download Unsuccessful</t>
  </si>
  <si>
    <t>download_validation_not_successful_1</t>
  </si>
  <si>
    <t xml:space="preserve">Download of data validation data (from </t>
  </si>
  <si>
    <t>download_validation_not_successful_2</t>
  </si>
  <si>
    <t>download_validation_not_successful_3</t>
  </si>
  <si>
    <t>Use old data validation data already in this workbook instead?</t>
  </si>
  <si>
    <t>download_validation_not_successful_4</t>
  </si>
  <si>
    <t xml:space="preserve">Old data validation data not found in this workbook (worksheet named </t>
  </si>
  <si>
    <t>download_validation_not_successful_5</t>
  </si>
  <si>
    <t xml:space="preserve"> not found). </t>
  </si>
  <si>
    <t>download_validation_not_successful_6</t>
  </si>
  <si>
    <t>Unable to validate.</t>
  </si>
  <si>
    <t>downloading_intl_data</t>
  </si>
  <si>
    <t>Downloading international data for creating international templates...</t>
  </si>
  <si>
    <t>electronics</t>
  </si>
  <si>
    <t>Electronics</t>
  </si>
  <si>
    <t>email_address</t>
  </si>
  <si>
    <t>My e-mail address is:</t>
  </si>
  <si>
    <t>english_version_not_found_1</t>
  </si>
  <si>
    <t xml:space="preserve">(English version not found in rows </t>
  </si>
  <si>
    <t>english_version_not_found_2</t>
  </si>
  <si>
    <t xml:space="preserve"> - </t>
  </si>
  <si>
    <t>english_version_not_found_3</t>
  </si>
  <si>
    <t>.)</t>
  </si>
  <si>
    <t>enter_key_unavailable</t>
  </si>
  <si>
    <t>Enter Key Unavailable on this Dropdown Listbox</t>
  </si>
  <si>
    <t>enter_mws_credentials</t>
  </si>
  <si>
    <t>Enter MWS Credentials</t>
  </si>
  <si>
    <t>enter_sec_pass</t>
  </si>
  <si>
    <t xml:space="preserve">Please enter your security password. </t>
  </si>
  <si>
    <t>enter_sec_pass_short</t>
  </si>
  <si>
    <t>Enter Security Password</t>
  </si>
  <si>
    <t>error</t>
  </si>
  <si>
    <t>Error</t>
  </si>
  <si>
    <t>error_code</t>
  </si>
  <si>
    <t>Error Code:</t>
  </si>
  <si>
    <t>error_message</t>
  </si>
  <si>
    <t>Error Message:</t>
  </si>
  <si>
    <t>error_occurred_1</t>
  </si>
  <si>
    <t xml:space="preserve">An error occurred while trying to create the </t>
  </si>
  <si>
    <t>error_occurred_2</t>
  </si>
  <si>
    <t xml:space="preserve"> template.</t>
  </si>
  <si>
    <t>errors_found</t>
  </si>
  <si>
    <t>Errors Found</t>
  </si>
  <si>
    <t>esc_key_unavailable</t>
  </si>
  <si>
    <t>Escape Key Unavailable on this Dropdown Listbox</t>
  </si>
  <si>
    <t>excel_files</t>
  </si>
  <si>
    <t>- Excel workbooks (.xls, .xlsx, .xlsm, .xlsb)</t>
  </si>
  <si>
    <t>excel_inst_enter_1</t>
  </si>
  <si>
    <t>In Excel 2002 and earlier, use the Left or Right Arrow key to select an item from this dropdown and move to the adjacent cell, or use the mouse.</t>
  </si>
  <si>
    <t>excel_inst_enter_2</t>
  </si>
  <si>
    <t>Using the Enter key on this dropdown requires Excel 2003 or later.</t>
  </si>
  <si>
    <t>excel_inst_enter_3</t>
  </si>
  <si>
    <t xml:space="preserve">You are using Excel </t>
  </si>
  <si>
    <t>excel_inst_enter_4</t>
  </si>
  <si>
    <t>excel_inst_esc_1</t>
  </si>
  <si>
    <t>In Excel 2002 and earlier, use the Alt + Left Arrow or Alt + Right Arrow keys to dismiss this dropdown, or use the mouse.</t>
  </si>
  <si>
    <t>excel_inst_esc_2</t>
  </si>
  <si>
    <t>Using the Escape key on this dropdown requires Excel 2003 or later.</t>
  </si>
  <si>
    <t>excel_inst_esc_3</t>
  </si>
  <si>
    <t>excel_inst_esc_4</t>
  </si>
  <si>
    <t>excel_inst_tab_1</t>
  </si>
  <si>
    <t>excel_inst_tab_2</t>
  </si>
  <si>
    <t>Using the Tab key on this dropdown requires Excel 2003 or later.</t>
  </si>
  <si>
    <t>excel_inst_tab_3</t>
  </si>
  <si>
    <t>excel_inst_tab_4</t>
  </si>
  <si>
    <t>file_import_cancelled</t>
  </si>
  <si>
    <t>File import has been cancelled.</t>
  </si>
  <si>
    <t>finishing_up</t>
  </si>
  <si>
    <t>Finishing up...</t>
  </si>
  <si>
    <t>forgot_credentials</t>
  </si>
  <si>
    <t>I have forgotten or would like to obtain my MWS credentials.</t>
  </si>
  <si>
    <t>getting_import_workbook</t>
  </si>
  <si>
    <t>getting import workbook</t>
  </si>
  <si>
    <t>getting_import_worksheet</t>
  </si>
  <si>
    <t>getting import worksheet</t>
  </si>
  <si>
    <t>identifier_empty</t>
  </si>
  <si>
    <t>Identifier Empty</t>
  </si>
  <si>
    <t>import</t>
  </si>
  <si>
    <t>Import</t>
  </si>
  <si>
    <t>import_from_1</t>
  </si>
  <si>
    <t xml:space="preserve">Import from </t>
  </si>
  <si>
    <t>import_from_2</t>
  </si>
  <si>
    <t xml:space="preserve"> into </t>
  </si>
  <si>
    <t>import_from_3</t>
  </si>
  <si>
    <t>?</t>
  </si>
  <si>
    <t>import_any_file</t>
  </si>
  <si>
    <t>Import any file into this sheet, matching up like columns</t>
  </si>
  <si>
    <t>import_cancelled</t>
  </si>
  <si>
    <t>Import Cancelled</t>
  </si>
  <si>
    <t>import_complete</t>
  </si>
  <si>
    <t>Import Complete</t>
  </si>
  <si>
    <t>import_csv</t>
  </si>
  <si>
    <t>Import CSV</t>
  </si>
  <si>
    <t>import_csv_errors_1</t>
  </si>
  <si>
    <t>Importing a CSV file may result in incorrectly formatted numbers.</t>
  </si>
  <si>
    <t>import_csv_errors_2</t>
  </si>
  <si>
    <t>For best results, click Cancel, then open the CSV file and save as tab delimited.</t>
  </si>
  <si>
    <t>import_csv_errors_3</t>
  </si>
  <si>
    <t>Open the CSV file?</t>
  </si>
  <si>
    <t>import_error</t>
  </si>
  <si>
    <t>Import Error</t>
  </si>
  <si>
    <t>import_failed_1</t>
  </si>
  <si>
    <t xml:space="preserve">Attempted import failed on </t>
  </si>
  <si>
    <t>import_failed_2</t>
  </si>
  <si>
    <t xml:space="preserve"> because import file's revision date of </t>
  </si>
  <si>
    <t>import_failed_3</t>
  </si>
  <si>
    <t xml:space="preserve"> was older than the existing data's revision date of </t>
  </si>
  <si>
    <t>import_failed_4</t>
  </si>
  <si>
    <t>import_file</t>
  </si>
  <si>
    <t>import_headers</t>
  </si>
  <si>
    <t>Import Headers</t>
  </si>
  <si>
    <t>importing_columns</t>
  </si>
  <si>
    <t>importing columns</t>
  </si>
  <si>
    <t>importing_dropdown_lists</t>
  </si>
  <si>
    <t>Importing latest table of dropdown lists.</t>
  </si>
  <si>
    <t>importing_intl_table</t>
  </si>
  <si>
    <t>Importing latest general international table.</t>
  </si>
  <si>
    <t>importing_preferences</t>
  </si>
  <si>
    <t>Importing latest table of preferences.</t>
  </si>
  <si>
    <t>importing_validation_table</t>
  </si>
  <si>
    <t>Importing latest data validation table.</t>
  </si>
  <si>
    <t>incomplete_response</t>
  </si>
  <si>
    <t>Incomplete response received.</t>
  </si>
  <si>
    <t>incorrect_information</t>
  </si>
  <si>
    <t>Incorrect Information</t>
  </si>
  <si>
    <t>initializing</t>
  </si>
  <si>
    <t>Initializing</t>
  </si>
  <si>
    <t>integrating_dropdown_lists</t>
  </si>
  <si>
    <t>Integrating latest dropdown lists.</t>
  </si>
  <si>
    <t>internal_error</t>
  </si>
  <si>
    <t>Internal Error</t>
  </si>
  <si>
    <t>internal_error_occurred</t>
  </si>
  <si>
    <t>An internal error occurred with your request. Please try again.</t>
  </si>
  <si>
    <t>internal_error_validation</t>
  </si>
  <si>
    <t>An internal error occured while validating your credentials. Please try again.</t>
  </si>
  <si>
    <t>interval_must_be_number</t>
  </si>
  <si>
    <t>Interval must be a number.</t>
  </si>
  <si>
    <t>invalid_credentials</t>
  </si>
  <si>
    <t>Invalid Credentials</t>
  </si>
  <si>
    <t>invalid_filename_1</t>
  </si>
  <si>
    <t xml:space="preserve">Invalid filename for saving the </t>
  </si>
  <si>
    <t>invalid_filename_2</t>
  </si>
  <si>
    <t>invalid_filename_3</t>
  </si>
  <si>
    <t>Please fix on the 'International Filenames' worksheet and restart.</t>
  </si>
  <si>
    <t>invalid_identifier_1</t>
  </si>
  <si>
    <t xml:space="preserve">Some Products do not have a valid identifier, and have been moved to Sheet </t>
  </si>
  <si>
    <t>invalid_identifier_2</t>
  </si>
  <si>
    <t>, with a red border around the cell.</t>
  </si>
  <si>
    <t>invalid_interval</t>
  </si>
  <si>
    <t>Invalid Interval</t>
  </si>
  <si>
    <t>invalid_values_1</t>
  </si>
  <si>
    <t xml:space="preserve">Invalid values were found in </t>
  </si>
  <si>
    <t>invalid_values_2</t>
  </si>
  <si>
    <t xml:space="preserve"> columns.</t>
  </si>
  <si>
    <t>item_not_found</t>
  </si>
  <si>
    <t>Item Not Found</t>
  </si>
  <si>
    <t>item_not_found_catalog</t>
  </si>
  <si>
    <t>Item not found in Amazon Catalog</t>
  </si>
  <si>
    <t>item_not_found_category</t>
  </si>
  <si>
    <t>Item not found in the category specified. Do you want to search for Item in all Categories?</t>
  </si>
  <si>
    <t>lang_char_setting</t>
  </si>
  <si>
    <t>Text File's Language Character Setting:</t>
  </si>
  <si>
    <t>lang_templates_saved</t>
  </si>
  <si>
    <t>Language Templates Saved</t>
  </si>
  <si>
    <t>letting_user_choose</t>
  </si>
  <si>
    <t>letting the user choose additional matches</t>
  </si>
  <si>
    <t>listing_loader_imp_msg</t>
  </si>
  <si>
    <t>Listing Loader - Important Message</t>
  </si>
  <si>
    <t>loading</t>
  </si>
  <si>
    <t>Loading...</t>
  </si>
  <si>
    <t>localized_filename</t>
  </si>
  <si>
    <t>Localized Filename</t>
  </si>
  <si>
    <t>login_failure</t>
  </si>
  <si>
    <t>Login Failure</t>
  </si>
  <si>
    <t>look_up_group</t>
  </si>
  <si>
    <t>Look up a group of items in this sheet</t>
  </si>
  <si>
    <t>looking_up_1</t>
  </si>
  <si>
    <t xml:space="preserve">Looking up </t>
  </si>
  <si>
    <t>looking_up_2</t>
  </si>
  <si>
    <t xml:space="preserve"> of </t>
  </si>
  <si>
    <t>looking_up_3</t>
  </si>
  <si>
    <t>lookup_errors</t>
  </si>
  <si>
    <t>Following errors were detected while doing the lookup. Please Correct:</t>
  </si>
  <si>
    <t>lookup_index</t>
  </si>
  <si>
    <t>Lookup Index:</t>
  </si>
  <si>
    <t>lookup_turn_on</t>
  </si>
  <si>
    <t>Turn on LookupAssist from Amazon?</t>
  </si>
  <si>
    <t>manual_data_text</t>
  </si>
  <si>
    <t>Or you can enter the data manually and upload your listings in tab-delimited format using Seller Central.</t>
  </si>
  <si>
    <t>marketplace_id</t>
  </si>
  <si>
    <t>Marketplace ID:</t>
  </si>
  <si>
    <t>master_workbook_error_1</t>
  </si>
  <si>
    <t xml:space="preserve">The Master workbook's template worksheet name is </t>
  </si>
  <si>
    <t>master_workbook_error_2</t>
  </si>
  <si>
    <t xml:space="preserve">, but that name does not appear in the </t>
  </si>
  <si>
    <t>master_workbook_error_3</t>
  </si>
  <si>
    <t xml:space="preserve"> worksheet in column </t>
  </si>
  <si>
    <t>master_workbook_error_4</t>
  </si>
  <si>
    <t>master_workbook_error_5</t>
  </si>
  <si>
    <t xml:space="preserve">Please fix and restart. See instructions on the </t>
  </si>
  <si>
    <t>master_workbook_error_6</t>
  </si>
  <si>
    <t xml:space="preserve"> worksheet.</t>
  </si>
  <si>
    <t>match_column_headers</t>
  </si>
  <si>
    <t>Match Column Headers</t>
  </si>
  <si>
    <t>match_headers_text</t>
  </si>
  <si>
    <t>Column headers in the import file have been paired up with any exact matches in the template. Pair up any additional column headers as desired by selecting one each in the Import and Template lists, and then clicking Add.
Any remaining unmatched column headers in the Import column will NOT be imported, as they would interfere with uploading data to Amazon.com.</t>
  </si>
  <si>
    <t>matched_pairs</t>
  </si>
  <si>
    <t>Matched Pairs</t>
  </si>
  <si>
    <t>matches</t>
  </si>
  <si>
    <t xml:space="preserve">Matches: </t>
  </si>
  <si>
    <t>merchant_id</t>
  </si>
  <si>
    <t>Merchant ID:</t>
  </si>
  <si>
    <t>missing_information</t>
  </si>
  <si>
    <t>Missing Information</t>
  </si>
  <si>
    <t>missing_url</t>
  </si>
  <si>
    <t>Missing URL</t>
  </si>
  <si>
    <t>missing_url_update_1</t>
  </si>
  <si>
    <t xml:space="preserve">Missing URL for </t>
  </si>
  <si>
    <t>missing_url_update_2</t>
  </si>
  <si>
    <t xml:space="preserve"> update table. Please fix and restart.</t>
  </si>
  <si>
    <t>msxml_link</t>
  </si>
  <si>
    <t>Click here to download MSXML from Microsoft.com</t>
  </si>
  <si>
    <t>multiple_matches</t>
  </si>
  <si>
    <t>Multiple Matches</t>
  </si>
  <si>
    <t>multiple_product_matches_1</t>
  </si>
  <si>
    <t xml:space="preserve">Product is matched to multiple products on Amazon.com. Please select the appropriate one from Sheet </t>
  </si>
  <si>
    <t>multiple_product_matches_2</t>
  </si>
  <si>
    <t>mws_credentials_imported</t>
  </si>
  <si>
    <t>Your MWS credentials have been successfully imported into the system. You may now close the browser window.</t>
  </si>
  <si>
    <t>mws_credentials_invalid</t>
  </si>
  <si>
    <t>MWS Credentials Invalid</t>
  </si>
  <si>
    <t>mws_credentials_invalid_long</t>
  </si>
  <si>
    <t>The MWS credentials entered by you appear to be invalid. Please try again.</t>
  </si>
  <si>
    <t>mws_credentials_invalid_missing</t>
  </si>
  <si>
    <t>The MWS credentials stored on your computer appear to be invalid or missing. Please use the Credentials form to re-enter your MWS credentials.</t>
  </si>
  <si>
    <t>mws_credentials_missing</t>
  </si>
  <si>
    <t>MWS Credentials Missing</t>
  </si>
  <si>
    <t>mws_credentials_required</t>
  </si>
  <si>
    <t>This feature requires your MWS credentials to continue. Do you want to open the Credentials form to obtain/enter your MWS credentials?</t>
  </si>
  <si>
    <t>mws_please_wait</t>
  </si>
  <si>
    <t>Please wait while your MWS credentials are generated.</t>
  </si>
  <si>
    <t>mws_registration</t>
  </si>
  <si>
    <t>MWS Registration</t>
  </si>
  <si>
    <t>mws_rejected</t>
  </si>
  <si>
    <t>MWS rejected the provided credentials. Please make sure that you have entered the correct security password. The password can be reset using the Credentials form.</t>
  </si>
  <si>
    <t>new</t>
  </si>
  <si>
    <t>New</t>
  </si>
  <si>
    <t>no</t>
  </si>
  <si>
    <t>No</t>
  </si>
  <si>
    <t>no_columns_to_import</t>
  </si>
  <si>
    <t>No Columns To Import</t>
  </si>
  <si>
    <t>no_columns_to_import_long</t>
  </si>
  <si>
    <t>There are no columns to import, because no columns were exact matches and no columns were chosen to match.</t>
  </si>
  <si>
    <t>no_data_found</t>
  </si>
  <si>
    <t>No data found in worksheet to be imported.</t>
  </si>
  <si>
    <t>no_identifier_1</t>
  </si>
  <si>
    <t xml:space="preserve">Some Products do not have any identifier and have been moved to Sheet </t>
  </si>
  <si>
    <t>no_identifier_2</t>
  </si>
  <si>
    <t>no_mws_credentials</t>
  </si>
  <si>
    <t>There are no MWS credentials stored on this computer.</t>
  </si>
  <si>
    <t>no_search_terms</t>
  </si>
  <si>
    <t>No search terms found in the selected row</t>
  </si>
  <si>
    <t>not_in_catalog_1</t>
  </si>
  <si>
    <t xml:space="preserve">Your item was not found in Amazon's catalog in the categories supported by the product look-up function. It has been moved to the </t>
  </si>
  <si>
    <t>not_in_catalog_2</t>
  </si>
  <si>
    <t>operation_type</t>
  </si>
  <si>
    <t>Operation Type:</t>
  </si>
  <si>
    <t>password</t>
  </si>
  <si>
    <t>My password is:</t>
  </si>
  <si>
    <t>please_complete</t>
  </si>
  <si>
    <t>Please complete all the fields to continue.</t>
  </si>
  <si>
    <t>please_enter_sec_pass</t>
  </si>
  <si>
    <t>Please enter a security password to continue.</t>
  </si>
  <si>
    <t>please_remove_items_1</t>
  </si>
  <si>
    <t xml:space="preserve">Please remove items from the </t>
  </si>
  <si>
    <t>please_remove_items_2</t>
  </si>
  <si>
    <t xml:space="preserve"> worksheet and try again.</t>
  </si>
  <si>
    <t>please_wait_product_ids</t>
  </si>
  <si>
    <t>Please wait while product IDs are looked up.</t>
  </si>
  <si>
    <t>populating_match_headers</t>
  </si>
  <si>
    <t>populating the Match Headers forms' Template and Import listboxes</t>
  </si>
  <si>
    <t>preferences_prim</t>
  </si>
  <si>
    <t>Preferences</t>
  </si>
  <si>
    <t>preferences_sec</t>
  </si>
  <si>
    <t>Preferences...</t>
  </si>
  <si>
    <t>preparing_bulk_lookup</t>
  </si>
  <si>
    <t>Preparing to do Bulk Lookup…</t>
  </si>
  <si>
    <t>price</t>
  </si>
  <si>
    <t>problem_creating_template</t>
  </si>
  <si>
    <t>Problem Creating Template</t>
  </si>
  <si>
    <t>processing_localized_1</t>
  </si>
  <si>
    <t xml:space="preserve">Processing localized </t>
  </si>
  <si>
    <t>processing_localized_2</t>
  </si>
  <si>
    <t xml:space="preserve"> worksheets...</t>
  </si>
  <si>
    <t>product_details</t>
  </si>
  <si>
    <t>Product Details</t>
  </si>
  <si>
    <t>product_id</t>
  </si>
  <si>
    <t>product-id</t>
  </si>
  <si>
    <t>product_id_type_1</t>
  </si>
  <si>
    <t xml:space="preserve">Product ID should be of type UPC, EAN, ISBN, or ASIN. Item has been moved to Sheet </t>
  </si>
  <si>
    <t>product_id_type_2</t>
  </si>
  <si>
    <t xml:space="preserve">, with a red border around the cell </t>
  </si>
  <si>
    <t>product_id_type_3</t>
  </si>
  <si>
    <t xml:space="preserve">. </t>
  </si>
  <si>
    <t>product_image</t>
  </si>
  <si>
    <t>Product Image</t>
  </si>
  <si>
    <t>product_not_found</t>
  </si>
  <si>
    <t>Product Not Found</t>
  </si>
  <si>
    <t>product_taxcode</t>
  </si>
  <si>
    <t>Product TaxCode:</t>
  </si>
  <si>
    <t>products_do_not_exist_1</t>
  </si>
  <si>
    <t xml:space="preserve">Some Products do not exist on Amazon Catalog and have been moved to Sheet </t>
  </si>
  <si>
    <t>products_do_not_exist_2</t>
  </si>
  <si>
    <t>reason</t>
  </si>
  <si>
    <t>Reason:</t>
  </si>
  <si>
    <t>reenter_mws_credentials</t>
  </si>
  <si>
    <t>You will need to re-enter your MWS credentials in order to reset your security password.</t>
  </si>
  <si>
    <t>registration_complete</t>
  </si>
  <si>
    <t>Registration Complete</t>
  </si>
  <si>
    <t>registration_complete_long</t>
  </si>
  <si>
    <t>Registration is complete. You may close this window after making note of your MWS credentials.</t>
  </si>
  <si>
    <t>remove_credentials</t>
  </si>
  <si>
    <t>I would like to remove my MWS credentials from this computer.</t>
  </si>
  <si>
    <t>remove_credentials_confirm</t>
  </si>
  <si>
    <t>Are you sure you want to remove your MWS credentials from this computer? You will need to re-enter your credentials when they are required.</t>
  </si>
  <si>
    <t>remove_credentials_short</t>
  </si>
  <si>
    <t>Remove Credentials</t>
  </si>
  <si>
    <t>reset_sec_pass</t>
  </si>
  <si>
    <t>I want to reset/change my security password.</t>
  </si>
  <si>
    <t>reset_sec_pass_short</t>
  </si>
  <si>
    <t>Reset Security Password</t>
  </si>
  <si>
    <t>response_received</t>
  </si>
  <si>
    <t>Response Received</t>
  </si>
  <si>
    <t>saving_file</t>
  </si>
  <si>
    <t>Saving File</t>
  </si>
  <si>
    <t>saving_template_1</t>
  </si>
  <si>
    <t xml:space="preserve">Saving </t>
  </si>
  <si>
    <t>saving_template_2</t>
  </si>
  <si>
    <t xml:space="preserve"> template in </t>
  </si>
  <si>
    <t>saving_template_3</t>
  </si>
  <si>
    <t>...</t>
  </si>
  <si>
    <t>sec_pass</t>
  </si>
  <si>
    <t>Security Password:</t>
  </si>
  <si>
    <t>sec_pass_header</t>
  </si>
  <si>
    <t>Please enter a security password. This password will be used to securely store your credentials on your computer.</t>
  </si>
  <si>
    <t>sec_pass_invalid</t>
  </si>
  <si>
    <t>Security Password Invalid</t>
  </si>
  <si>
    <t>sec_pass_invalid_long</t>
  </si>
  <si>
    <t>The security password entered by you appears to be invalid. Please make sure that you have entered the correct security password. The password can be reset using the Credentials form.</t>
  </si>
  <si>
    <t>sec_pass_required</t>
  </si>
  <si>
    <t>Security Password Required</t>
  </si>
  <si>
    <t>secret_key</t>
  </si>
  <si>
    <t>Secret Key:</t>
  </si>
  <si>
    <t>select_all</t>
  </si>
  <si>
    <t>Select All</t>
  </si>
  <si>
    <t>select_column_header</t>
  </si>
  <si>
    <t>Please select a column header in each list.</t>
  </si>
  <si>
    <t>select_lang_char_setting</t>
  </si>
  <si>
    <t>Please choose the language character setting (codepage) that was active when this text file was created.
The language character setting chosen will be used to open the text file.
If the language character setting used to open a text file is different than the one used to create the file, the text may have incorrect characters. Text files do not store the language character setting used to created them.
If the correct language character setting is not listed, enter the correct codepage number in the text box.</t>
  </si>
  <si>
    <t>select_lang_char_setting_file</t>
  </si>
  <si>
    <t xml:space="preserve">Select Language Character Setting for File Import </t>
  </si>
  <si>
    <t>select_template_sheets</t>
  </si>
  <si>
    <t>Select Template Sheets to Upload</t>
  </si>
  <si>
    <t>select_worksheet</t>
  </si>
  <si>
    <t xml:space="preserve">Select Worksheet to Import </t>
  </si>
  <si>
    <t>seller_account_login</t>
  </si>
  <si>
    <t>Please enter your Seller Account login and password.</t>
  </si>
  <si>
    <t>sending_feed</t>
  </si>
  <si>
    <t>Sending Feed</t>
  </si>
  <si>
    <t>show_preferences_window</t>
  </si>
  <si>
    <t>Show the Preferences window</t>
  </si>
  <si>
    <t>sku</t>
  </si>
  <si>
    <t>SKU:</t>
  </si>
  <si>
    <t>some_multiple_product_matches_1</t>
  </si>
  <si>
    <t xml:space="preserve">Some Products are matched to multiple products in Amazon. Please select the appropriate one from Sheet </t>
  </si>
  <si>
    <t>some_multiple_product_matches_2</t>
  </si>
  <si>
    <t>status</t>
  </si>
  <si>
    <t>Status:</t>
  </si>
  <si>
    <t>submitted_date</t>
  </si>
  <si>
    <t>Submitted Date:</t>
  </si>
  <si>
    <t>swapping_column_headers_1</t>
  </si>
  <si>
    <t xml:space="preserve">Swapping </t>
  </si>
  <si>
    <t>swapping_column_headers_2</t>
  </si>
  <si>
    <t xml:space="preserve"> column headers into </t>
  </si>
  <si>
    <t>swapping_column_headers_3</t>
  </si>
  <si>
    <t>tab_key_unavailable</t>
  </si>
  <si>
    <t>Tab Key Unavailable on this Dropdown Listbox</t>
  </si>
  <si>
    <t>template_creation_cancelled</t>
  </si>
  <si>
    <t>Template Creation Cancelled.</t>
  </si>
  <si>
    <t>template_error_1</t>
  </si>
  <si>
    <t xml:space="preserve">Error </t>
  </si>
  <si>
    <t>template_error_2</t>
  </si>
  <si>
    <t xml:space="preserve"> occurred while </t>
  </si>
  <si>
    <t>template_error_3</t>
  </si>
  <si>
    <t>:</t>
  </si>
  <si>
    <t>template_error_short</t>
  </si>
  <si>
    <t>Template Error</t>
  </si>
  <si>
    <t>template_headers</t>
  </si>
  <si>
    <t>Template Headers</t>
  </si>
  <si>
    <t>template_update</t>
  </si>
  <si>
    <t>Template Update</t>
  </si>
  <si>
    <t>template_update_cancelled</t>
  </si>
  <si>
    <t>Template update has been cancelled</t>
  </si>
  <si>
    <t>template_update_not_successful</t>
  </si>
  <si>
    <t>Template update was not successful.</t>
  </si>
  <si>
    <t>template_updated</t>
  </si>
  <si>
    <t>Template has been updated.</t>
  </si>
  <si>
    <t>templates_saved_1</t>
  </si>
  <si>
    <t xml:space="preserve">Templates in the following languages have been saved to </t>
  </si>
  <si>
    <t>templates_saved_2</t>
  </si>
  <si>
    <t>this_is_the_one</t>
  </si>
  <si>
    <t>Select Product</t>
  </si>
  <si>
    <t>this_workbook</t>
  </si>
  <si>
    <t>ThisWorkbook</t>
  </si>
  <si>
    <t>too_many_not_found</t>
  </si>
  <si>
    <t>Too Many Products Not Found</t>
  </si>
  <si>
    <t>too_many_products_1</t>
  </si>
  <si>
    <t xml:space="preserve">Too many products not found. No room to add more to the </t>
  </si>
  <si>
    <t>too_many_products_2</t>
  </si>
  <si>
    <t>turn_off_product_lookup</t>
  </si>
  <si>
    <t>Turn off Product Lookup</t>
  </si>
  <si>
    <t>turn_on_product_lookup</t>
  </si>
  <si>
    <t>Turn on Product Lookup</t>
  </si>
  <si>
    <t>txt_files</t>
  </si>
  <si>
    <t>- Tab-Delimited Text Files (.txt)</t>
  </si>
  <si>
    <t>unable_to_check</t>
  </si>
  <si>
    <t>Unable to check status.</t>
  </si>
  <si>
    <t>unable_to_create_1</t>
  </si>
  <si>
    <t xml:space="preserve">Unable to create </t>
  </si>
  <si>
    <t>unable_to_create_2</t>
  </si>
  <si>
    <t xml:space="preserve"> template. Continue with other templates?</t>
  </si>
  <si>
    <t>unable_to_download_file</t>
  </si>
  <si>
    <t>Unable To Download File</t>
  </si>
  <si>
    <t>unable_to_download_html</t>
  </si>
  <si>
    <t>Unable to download HTML file. Please fix on International Settings sheet and retry.</t>
  </si>
  <si>
    <t>unable_to_evaluate</t>
  </si>
  <si>
    <t>Unable to evaluate response from server. Please try rebooting your computer.</t>
  </si>
  <si>
    <t>unable_to_find_column_header</t>
  </si>
  <si>
    <t>Unable to find the upload URL column header. Please fix on the 'International URLs' worksheet and restart.</t>
  </si>
  <si>
    <t>unable_to_find_filename_1</t>
  </si>
  <si>
    <t xml:space="preserve">Unable to find filename for saving the </t>
  </si>
  <si>
    <t>unable_to_find_filename_2</t>
  </si>
  <si>
    <t xml:space="preserve"> template. Please fix on the 'International Filenames' worksheet and restart. </t>
  </si>
  <si>
    <t>unable_to_find_filename_substitution</t>
  </si>
  <si>
    <t>Unable to find filename substitution column header. Please fix on the 'International Filenames' worksheet and restart.</t>
  </si>
  <si>
    <t>unable_to_find_url_1</t>
  </si>
  <si>
    <t xml:space="preserve">Unable to find the URL for uploading the </t>
  </si>
  <si>
    <t>unable_to_find_url_2</t>
  </si>
  <si>
    <t xml:space="preserve"> template. Please fix on the 'International URLs' worksheet and restart.</t>
  </si>
  <si>
    <t>unable_to_upload_1</t>
  </si>
  <si>
    <t>Unable to upload this template.</t>
  </si>
  <si>
    <t>unable_to_upload_2</t>
  </si>
  <si>
    <t>This template must be running on Japanese Windows and Japanese Excel to be able to upload.</t>
  </si>
  <si>
    <t>unable_to_upload_3</t>
  </si>
  <si>
    <t>More Information:</t>
  </si>
  <si>
    <t>unable_to_upload_4</t>
  </si>
  <si>
    <t xml:space="preserve">The active system codepage must be 932 for this template to successfully upload. The active system codepage is </t>
  </si>
  <si>
    <t>unable_to_upload_5</t>
  </si>
  <si>
    <t>, not 932. To upload, run this template in Japanese Windows and Japanese Excel.</t>
  </si>
  <si>
    <t>unable_to_upload_short</t>
  </si>
  <si>
    <t>Unable to Upload Template</t>
  </si>
  <si>
    <t>unknown_error</t>
  </si>
  <si>
    <t xml:space="preserve">An unknown error occurred: </t>
  </si>
  <si>
    <t>unknown_response</t>
  </si>
  <si>
    <t>Unknown response received</t>
  </si>
  <si>
    <t>update</t>
  </si>
  <si>
    <t>Update</t>
  </si>
  <si>
    <t>update_please_wait</t>
  </si>
  <si>
    <t>Please wait while this template is updated.</t>
  </si>
  <si>
    <t>update_template</t>
  </si>
  <si>
    <t>update_template_frame_header</t>
  </si>
  <si>
    <t>Update template automatically at regular intervals?</t>
  </si>
  <si>
    <t>update_template_latest</t>
  </si>
  <si>
    <t>Update this template with the latest information from Amazon.com</t>
  </si>
  <si>
    <t>update_template_text</t>
  </si>
  <si>
    <t>Each time this template is opened, it will check whether the designated interval (below) has elapsed since the last update, and then update if that interval has elapsed. You will have the option to cancel the update each time.</t>
  </si>
  <si>
    <t>updating_template</t>
  </si>
  <si>
    <t>Updating Template</t>
  </si>
  <si>
    <t>upload</t>
  </si>
  <si>
    <t>Upload</t>
  </si>
  <si>
    <t>upload_cancelled</t>
  </si>
  <si>
    <t>Upload cancelled.</t>
  </si>
  <si>
    <t>upload_done</t>
  </si>
  <si>
    <t>Done uploading. The success or failure of each upload is indicated in the list below. Select an upload for more information:</t>
  </si>
  <si>
    <t>upload_failed</t>
  </si>
  <si>
    <t>Upload failed. Please try again.</t>
  </si>
  <si>
    <t>upload_failure_frame_header</t>
  </si>
  <si>
    <t>Upload Failure</t>
  </si>
  <si>
    <t>upload_file</t>
  </si>
  <si>
    <t>upload_items</t>
  </si>
  <si>
    <t>Upload the items in this sheet to Amazon</t>
  </si>
  <si>
    <t>upload_progress</t>
  </si>
  <si>
    <t>Upload in progress.</t>
  </si>
  <si>
    <t>upload_status</t>
  </si>
  <si>
    <t>Upload Status:</t>
  </si>
  <si>
    <t>upload_succeeded_frame_header</t>
  </si>
  <si>
    <t>Upload Succeeded</t>
  </si>
  <si>
    <t>upload_success</t>
  </si>
  <si>
    <t>Upload Success</t>
  </si>
  <si>
    <t>upload_successful</t>
  </si>
  <si>
    <t>Upload successful.</t>
  </si>
  <si>
    <t>uploading_file</t>
  </si>
  <si>
    <t>Uploading File</t>
  </si>
  <si>
    <t>user_pass_invalid</t>
  </si>
  <si>
    <t>The username and/or password provided is invalid.</t>
  </si>
  <si>
    <t>validate</t>
  </si>
  <si>
    <t>validating_credentials</t>
  </si>
  <si>
    <t>Validating Credentials</t>
  </si>
  <si>
    <t>validating_template</t>
  </si>
  <si>
    <t>Validating Template</t>
  </si>
  <si>
    <t>validation_cancelled_1</t>
  </si>
  <si>
    <t>Validation has been cancelled.</t>
  </si>
  <si>
    <t>validation_cancelled_2</t>
  </si>
  <si>
    <t>If you upload invalid data, your products may appear incorrect, or may not appear at all, on Amazon.com.</t>
  </si>
  <si>
    <t>validation_cancelled_3</t>
  </si>
  <si>
    <t>Do you prefer to upload to Amazon right now, without validating?</t>
  </si>
  <si>
    <t>validation_complete</t>
  </si>
  <si>
    <t>Validation complete. No problems found.</t>
  </si>
  <si>
    <t>validation_please_wait</t>
  </si>
  <si>
    <t>Please wait while this template is validated.</t>
  </si>
  <si>
    <t>values_must_match</t>
  </si>
  <si>
    <t>The values in both password fields must match.</t>
  </si>
  <si>
    <t>values_not_valid_1</t>
  </si>
  <si>
    <t>The following columns have values that are not valid:</t>
  </si>
  <si>
    <t>values_not_valid_2</t>
  </si>
  <si>
    <t>Please fix and retry before uploading to Amazon. If you upload invalid data, your products may appear incorrect, or may not appear at all, on Amazon.com.</t>
  </si>
  <si>
    <t>values_not_valid_3</t>
  </si>
  <si>
    <t>Do you prefer to upload to Amazon right now, without fixing these errors?</t>
  </si>
  <si>
    <t>values_not_valid_4</t>
  </si>
  <si>
    <t>Please fix and retry.</t>
  </si>
  <si>
    <t>version</t>
  </si>
  <si>
    <t xml:space="preserve">Version </t>
  </si>
  <si>
    <t>view_image</t>
  </si>
  <si>
    <t>View Image</t>
  </si>
  <si>
    <t>worksheet_name_too_long</t>
  </si>
  <si>
    <t>Worksheet Name Too Long</t>
  </si>
  <si>
    <t>worksheet_order</t>
  </si>
  <si>
    <t>Worksheet Order</t>
  </si>
  <si>
    <t>yes</t>
  </si>
  <si>
    <t>Yes</t>
  </si>
  <si>
    <t>Required Column</t>
  </si>
  <si>
    <t>Required Column Test</t>
  </si>
  <si>
    <t>Validate Column</t>
  </si>
  <si>
    <t>Validate Column Test</t>
  </si>
  <si>
    <t>Error Text</t>
  </si>
  <si>
    <t>Height</t>
  </si>
  <si>
    <t>Data Category</t>
  </si>
  <si>
    <t>Template Dependency Test</t>
  </si>
  <si>
    <t>Master Name</t>
  </si>
  <si>
    <t>MFA Internal Name</t>
  </si>
  <si>
    <t>REVDATE</t>
  </si>
  <si>
    <t>40756.4387</t>
  </si>
  <si>
    <t>aaaaaaaaaSortToTop</t>
  </si>
  <si>
    <t>TABLETYPE</t>
  </si>
  <si>
    <t>MiscData</t>
  </si>
  <si>
    <t>aaaaaaaaSortToTop</t>
  </si>
  <si>
    <t>REVLASTCHANGECOMMENT1</t>
  </si>
  <si>
    <t>Misc</t>
  </si>
  <si>
    <t>aaaaaaaSortToTop_a</t>
  </si>
  <si>
    <t>REVLASTCHANGECOMMENT2</t>
  </si>
  <si>
    <t>JP PetSupplies</t>
  </si>
  <si>
    <t>aaaaaaaSortToTop_b</t>
  </si>
  <si>
    <t>REVLASTCHANGECOMMENT3</t>
  </si>
  <si>
    <t>CN Jewelry additions (CU 1573)</t>
  </si>
  <si>
    <t>aaaaaaaSortToTop_c</t>
  </si>
  <si>
    <t>REVLASTCHANGECOMMENT4</t>
  </si>
  <si>
    <t>EU Computers &amp; CN Apparel</t>
  </si>
  <si>
    <t>aaaaaaaSortToTop_d</t>
  </si>
  <si>
    <t>REVLASTCHANGECOMMENT5</t>
  </si>
  <si>
    <t>NA Baby</t>
  </si>
  <si>
    <t>aaaaaaaSortToTop_e</t>
  </si>
  <si>
    <t>REVLASTCHANGECOMMENT6</t>
  </si>
  <si>
    <t>JP Toys</t>
  </si>
  <si>
    <t>aaaaaaaSortToTop_f</t>
  </si>
  <si>
    <t>REVLASTCHANGECOMMENT7</t>
  </si>
  <si>
    <t>UK Sports</t>
  </si>
  <si>
    <t>aaaaaaaSortToTop_g</t>
  </si>
  <si>
    <t>REVLASTCHANGECOMMENT8</t>
  </si>
  <si>
    <t>Mini Test Template</t>
  </si>
  <si>
    <t>aaaaaaaSortToTop_h</t>
  </si>
  <si>
    <t>REVLASTCHANGECOMMENT9</t>
  </si>
  <si>
    <t>JP Sports (CU-1138)</t>
  </si>
  <si>
    <t>aaaaaaaSortToTop_i</t>
  </si>
  <si>
    <t>REVLASTCHANGECOMMENT10</t>
  </si>
  <si>
    <t>CN Video (CU 1860)</t>
  </si>
  <si>
    <t>aaaaaaaSortToTop_j</t>
  </si>
  <si>
    <t>REVLASTCHANGECOMMENT11</t>
  </si>
  <si>
    <t>EU toyswarnings (CU 1864)</t>
  </si>
  <si>
    <t>aaaaaaaSortToTop_k</t>
  </si>
  <si>
    <t>Local Language Name</t>
  </si>
  <si>
    <t>aaaaaaSortToTop</t>
  </si>
  <si>
    <t>Codepage</t>
  </si>
  <si>
    <t>aaaaaSortToTop</t>
  </si>
  <si>
    <t>1252</t>
  </si>
  <si>
    <t>LocaleID</t>
  </si>
  <si>
    <t>1033</t>
  </si>
  <si>
    <t>URL</t>
  </si>
  <si>
    <t>aaaaSortToTop</t>
  </si>
  <si>
    <t>http://g-ecx.images-amazon.com/images/G/01/rainier/help/ff/IntMiscData.txt</t>
  </si>
  <si>
    <t>Toolbar Button Captions</t>
  </si>
  <si>
    <t>Amazon Logo</t>
  </si>
  <si>
    <t>aaaSortToTop</t>
  </si>
  <si>
    <t>Toolbar Button Tooltips</t>
  </si>
  <si>
    <t>Look up a group of items in this sheet.</t>
  </si>
  <si>
    <t>Import any file into this sheet, matching up like columns.</t>
  </si>
  <si>
    <t>Show the Preferences window.</t>
  </si>
  <si>
    <t>When this is turned on, items will be automatically looked up as you enter them and move to the next cell.</t>
  </si>
  <si>
    <t>Update this template with the latest information from Amazon.com.</t>
  </si>
  <si>
    <t>Upload the items in this sheet to Amazon.</t>
  </si>
  <si>
    <t>Validate now. Any items failing validation will be marked, with an explanation.</t>
  </si>
  <si>
    <t>TemplateType=fptcustom</t>
  </si>
  <si>
    <t>Version=2021.1111</t>
  </si>
  <si>
    <t>TemplateSignature=RFJFU1M=</t>
  </si>
  <si>
    <t>settings=contentLanguageTag=en_GB&amp;feedType=113&amp;headerLanguageTag=en_GB&amp;metadataVersion=MatprodVkxBUHJvZC0xMTQ0&amp;primaryMarketplaceId=amzn1.mp.o.A1F83G8C2ARO7P&amp;templateIdentifier=287fc63c-75c7-48b8-b473-919ef23a1dfd&amp;timestamp=2021-11-11T07%3A41%3A22.082Z</t>
  </si>
  <si>
    <t>The top three rows are for Amazon.com use only. Do not modify or delete the top three rows.</t>
  </si>
  <si>
    <t>Images</t>
  </si>
  <si>
    <t>Variation</t>
  </si>
  <si>
    <t>Basic</t>
  </si>
  <si>
    <t>Discovery</t>
  </si>
  <si>
    <t>Product Enrichment</t>
  </si>
  <si>
    <t>Dimensions</t>
  </si>
  <si>
    <t>Fulfillment</t>
  </si>
  <si>
    <t>Compliance</t>
  </si>
  <si>
    <t>Offer</t>
  </si>
  <si>
    <t>Product Type</t>
  </si>
  <si>
    <t>Seller SKU</t>
  </si>
  <si>
    <t>Brand Name</t>
  </si>
  <si>
    <t>Product ID</t>
  </si>
  <si>
    <t>Product ID Type</t>
  </si>
  <si>
    <t>Product Name</t>
  </si>
  <si>
    <t>Outer Material Type</t>
  </si>
  <si>
    <t>Colour Map</t>
  </si>
  <si>
    <t>Colour</t>
  </si>
  <si>
    <t>Size</t>
  </si>
  <si>
    <t>Pattern description</t>
  </si>
  <si>
    <t>Occasion description</t>
  </si>
  <si>
    <t>Style Name</t>
  </si>
  <si>
    <t>Neck Style</t>
  </si>
  <si>
    <t>Department</t>
  </si>
  <si>
    <t>Product Lifecycle Supply Type</t>
  </si>
  <si>
    <t>Item Booking Date</t>
  </si>
  <si>
    <t>Size Map</t>
  </si>
  <si>
    <t>Item Length</t>
  </si>
  <si>
    <t>Adult Flag</t>
  </si>
  <si>
    <t>Country/Region Of Origin</t>
  </si>
  <si>
    <t>fabric_type</t>
  </si>
  <si>
    <t>Material/Fabric Regulations</t>
  </si>
  <si>
    <t>Standard Price</t>
  </si>
  <si>
    <t>Quantity</t>
  </si>
  <si>
    <t>Main Image Url</t>
  </si>
  <si>
    <t>Target Gender</t>
  </si>
  <si>
    <t>Age Range Description</t>
  </si>
  <si>
    <t>Apparel Size System</t>
  </si>
  <si>
    <t>Apparel Size Class</t>
  </si>
  <si>
    <t>Apparel Size Value</t>
  </si>
  <si>
    <t>Apparel Size To Range</t>
  </si>
  <si>
    <t>Apparel Size Body Type</t>
  </si>
  <si>
    <t>Apparel Size Height Type</t>
  </si>
  <si>
    <t>Other Image Url1</t>
  </si>
  <si>
    <t>Other Image Url2</t>
  </si>
  <si>
    <t>Other Image Url3</t>
  </si>
  <si>
    <t>Other Image Url4</t>
  </si>
  <si>
    <t>Other Image Url5</t>
  </si>
  <si>
    <t>Other Image Url6</t>
  </si>
  <si>
    <t>Other Image Url7</t>
  </si>
  <si>
    <t>Other Image Url8</t>
  </si>
  <si>
    <t>Parentage</t>
  </si>
  <si>
    <t>Parent SKU</t>
  </si>
  <si>
    <t>Relationship Type</t>
  </si>
  <si>
    <t>Variation Theme</t>
  </si>
  <si>
    <t>Update Delete</t>
  </si>
  <si>
    <t>Product Description</t>
  </si>
  <si>
    <t>Recommended Browse Nodes</t>
  </si>
  <si>
    <t>Inner Material Type</t>
  </si>
  <si>
    <t>Product Care Instructions</t>
  </si>
  <si>
    <t>Model Name</t>
  </si>
  <si>
    <t>Model Number</t>
  </si>
  <si>
    <t>Manufacturer Part Number</t>
  </si>
  <si>
    <t>Temperature Rating</t>
  </si>
  <si>
    <t>Product Exemption Reason</t>
  </si>
  <si>
    <t>Search Terms</t>
  </si>
  <si>
    <t>Season and collection year</t>
  </si>
  <si>
    <t>Key Product Features</t>
  </si>
  <si>
    <t>size-modifier</t>
  </si>
  <si>
    <t>platinum-keywords1 - platinum-keywords5</t>
  </si>
  <si>
    <t>Is Autographed</t>
  </si>
  <si>
    <t>Season</t>
  </si>
  <si>
    <t>athlete</t>
  </si>
  <si>
    <t>team_name</t>
  </si>
  <si>
    <t>material_type</t>
  </si>
  <si>
    <t>league_name</t>
  </si>
  <si>
    <t>shaft_style_type</t>
  </si>
  <si>
    <t>Sleeve Type</t>
  </si>
  <si>
    <t>Shipping Weight</t>
  </si>
  <si>
    <t>Website Shipping Weight Unit Of Measure</t>
  </si>
  <si>
    <t>item_width</t>
  </si>
  <si>
    <t>item_height</t>
  </si>
  <si>
    <t>Item Shape</t>
  </si>
  <si>
    <t>Item Dimensions Unit Of Measure</t>
  </si>
  <si>
    <t>item_length</t>
  </si>
  <si>
    <t>Fulfillment Centre ID</t>
  </si>
  <si>
    <t>Package Length</t>
  </si>
  <si>
    <t>package-width</t>
  </si>
  <si>
    <t>Package Height</t>
  </si>
  <si>
    <t>Package Weight</t>
  </si>
  <si>
    <t>Package Weight Unit Of Measure</t>
  </si>
  <si>
    <t>Package Dimensions Unit Of Measure</t>
  </si>
  <si>
    <t>Legal Disclaimer Description</t>
  </si>
  <si>
    <t>Safety Warning</t>
  </si>
  <si>
    <t>EU Toys Safety Directive Age-specific warning</t>
  </si>
  <si>
    <t>EU Toys Safety Directive Non-Age-specific warning</t>
  </si>
  <si>
    <t>EU Toys Safety Directive language warning</t>
  </si>
  <si>
    <t>Is this product a battery or does it utilise batteries?</t>
  </si>
  <si>
    <t>Batteries are Included</t>
  </si>
  <si>
    <t>Battery composition</t>
  </si>
  <si>
    <t>Battery type/size</t>
  </si>
  <si>
    <t>Number of batteries</t>
  </si>
  <si>
    <t>Battery weight (grams)</t>
  </si>
  <si>
    <t>battery_weight_unit_of_measure</t>
  </si>
  <si>
    <t>Number of Lithium Metal Cells</t>
  </si>
  <si>
    <t>Number of Lithium-ion Cells</t>
  </si>
  <si>
    <t>Lithium Battery Packaging</t>
  </si>
  <si>
    <t>Watt hours per battery</t>
  </si>
  <si>
    <t>lithium_battery_energy_content_unit_of_measure</t>
  </si>
  <si>
    <t>Lithium content (grams)</t>
  </si>
  <si>
    <t>lithium_battery_weight_unit_of_measure</t>
  </si>
  <si>
    <t>Applicable Dangerous Goods Regulations</t>
  </si>
  <si>
    <t>UN number</t>
  </si>
  <si>
    <t>Safety Data Sheet (SDS) URL</t>
  </si>
  <si>
    <t>Item Weight</t>
  </si>
  <si>
    <t>item_weight_unit_of_measure</t>
  </si>
  <si>
    <t>Volume</t>
  </si>
  <si>
    <t>item_volume_unit_of_measure</t>
  </si>
  <si>
    <t>Flash point (°C)?</t>
  </si>
  <si>
    <t>Categorization/GHS pictograms (select all that apply)</t>
  </si>
  <si>
    <t>Condition Type</t>
  </si>
  <si>
    <t>condition_note</t>
  </si>
  <si>
    <t>Currency</t>
  </si>
  <si>
    <t>Handling Time</t>
  </si>
  <si>
    <t>Sale Price</t>
  </si>
  <si>
    <t>Sale From Date</t>
  </si>
  <si>
    <t>Sale End Date</t>
  </si>
  <si>
    <t>max-aggregate-ship-quantity</t>
  </si>
  <si>
    <t>Package Quantity</t>
  </si>
  <si>
    <t>Number of Items</t>
  </si>
  <si>
    <t>Can Be Gift Messaged</t>
  </si>
  <si>
    <t>Is Gift Wrap Available?</t>
  </si>
  <si>
    <t>Is Discontinued by Manufacturer</t>
  </si>
  <si>
    <t>Launch Date</t>
  </si>
  <si>
    <t>Restock Date</t>
  </si>
  <si>
    <t>Is Product Expirable</t>
  </si>
  <si>
    <t>Release Date</t>
  </si>
  <si>
    <t>Recommended Retail Price</t>
  </si>
  <si>
    <t>Product Expiration Type</t>
  </si>
  <si>
    <t>Fulfillment Center Shelf Life</t>
  </si>
  <si>
    <t>Offer End Date</t>
  </si>
  <si>
    <t>Max Order Quantity</t>
  </si>
  <si>
    <t>Merchant Shipping Group</t>
  </si>
  <si>
    <t>Offer Start Date</t>
  </si>
  <si>
    <t>Sell Remainder</t>
  </si>
  <si>
    <t>Scheduled Delivery SKU List</t>
  </si>
  <si>
    <t>RRP</t>
  </si>
  <si>
    <t>Product Tax Code</t>
  </si>
  <si>
    <t>Minimum Order Quantity</t>
  </si>
  <si>
    <t>List Price with Tax for Display</t>
  </si>
  <si>
    <t>Quantity Price Type</t>
  </si>
  <si>
    <t>Quantity Lower Bound 1</t>
  </si>
  <si>
    <t>Quantity Price 1</t>
  </si>
  <si>
    <t>Quantity Lower Bound 2</t>
  </si>
  <si>
    <t>Quantity Price 2</t>
  </si>
  <si>
    <t>Quantity Lower Bound 3</t>
  </si>
  <si>
    <t>Quantity Price 3</t>
  </si>
  <si>
    <t>Quantity Lower Bound 4</t>
  </si>
  <si>
    <t>Quantity Price 4</t>
  </si>
  <si>
    <t>Quantity Lower Bound 5</t>
  </si>
  <si>
    <t>Quantity Price 5</t>
  </si>
  <si>
    <t>Progressive Discount Type</t>
  </si>
  <si>
    <t>Progressive Discount Lower Bound 1</t>
  </si>
  <si>
    <t>Progressive Discount Value 1</t>
  </si>
  <si>
    <t>Progressive Discount Lower Bound 2</t>
  </si>
  <si>
    <t>Progressive Discount Value 2</t>
  </si>
  <si>
    <t>Progressive Discount Lower Bound 3</t>
  </si>
  <si>
    <t>Progressive Discount Value 3</t>
  </si>
  <si>
    <t>National Stock Number</t>
  </si>
  <si>
    <t>United Nations Standard Products and Services Code</t>
  </si>
  <si>
    <t>Pricing Action</t>
  </si>
  <si>
    <t>feed_product_type</t>
  </si>
  <si>
    <t>item_sku</t>
  </si>
  <si>
    <t>brand_name</t>
  </si>
  <si>
    <t>external_product_id</t>
  </si>
  <si>
    <t>external_product_id_type</t>
  </si>
  <si>
    <t>item_name</t>
  </si>
  <si>
    <t>outer_material_type</t>
  </si>
  <si>
    <t>color_map</t>
  </si>
  <si>
    <t>color_name</t>
  </si>
  <si>
    <t>size_name</t>
  </si>
  <si>
    <t>pattern_type</t>
  </si>
  <si>
    <t>lifestyle</t>
  </si>
  <si>
    <t>style_name</t>
  </si>
  <si>
    <t>neck_style</t>
  </si>
  <si>
    <t>department_name</t>
  </si>
  <si>
    <t>lifecycle_supply_type</t>
  </si>
  <si>
    <t>item_booking_date</t>
  </si>
  <si>
    <t>size_map</t>
  </si>
  <si>
    <t>item_length_description</t>
  </si>
  <si>
    <t>is_adult_product</t>
  </si>
  <si>
    <t>country_of_origin</t>
  </si>
  <si>
    <t>supplier_declared_material_regulation1</t>
  </si>
  <si>
    <t>supplier_declared_material_regulation2</t>
  </si>
  <si>
    <t>supplier_declared_material_regulation3</t>
  </si>
  <si>
    <t>standard_price</t>
  </si>
  <si>
    <t>quantity</t>
  </si>
  <si>
    <t>main_image_url</t>
  </si>
  <si>
    <t>target_gender</t>
  </si>
  <si>
    <t>age_range_description</t>
  </si>
  <si>
    <t>apparel_size_system</t>
  </si>
  <si>
    <t>apparel_size_class</t>
  </si>
  <si>
    <t>apparel_size</t>
  </si>
  <si>
    <t>apparel_size_to</t>
  </si>
  <si>
    <t>apparel_body_type</t>
  </si>
  <si>
    <t>apparel_height_type</t>
  </si>
  <si>
    <t>other_image_url1</t>
  </si>
  <si>
    <t>other_image_url2</t>
  </si>
  <si>
    <t>other_image_url3</t>
  </si>
  <si>
    <t>other_image_url4</t>
  </si>
  <si>
    <t>other_image_url5</t>
  </si>
  <si>
    <t>other_image_url6</t>
  </si>
  <si>
    <t>other_image_url7</t>
  </si>
  <si>
    <t>other_image_url8</t>
  </si>
  <si>
    <t>parent_child</t>
  </si>
  <si>
    <t>parent_sku</t>
  </si>
  <si>
    <t>relationship_type</t>
  </si>
  <si>
    <t>variation_theme</t>
  </si>
  <si>
    <t>update_delete</t>
  </si>
  <si>
    <t>product_description</t>
  </si>
  <si>
    <t>recommended_browse_nodes</t>
  </si>
  <si>
    <t>inner_material_type</t>
  </si>
  <si>
    <t>care_instructions</t>
  </si>
  <si>
    <t>model_name</t>
  </si>
  <si>
    <t>model</t>
  </si>
  <si>
    <t>part_number</t>
  </si>
  <si>
    <t>temperature_rating</t>
  </si>
  <si>
    <t>gtin_exemption_reason</t>
  </si>
  <si>
    <t>language_value1</t>
  </si>
  <si>
    <t>language_value2</t>
  </si>
  <si>
    <t>language_value3</t>
  </si>
  <si>
    <t>language_value4</t>
  </si>
  <si>
    <t>language_value5</t>
  </si>
  <si>
    <t>generic_keywords</t>
  </si>
  <si>
    <t>collection_name</t>
  </si>
  <si>
    <t>bullet_point1</t>
  </si>
  <si>
    <t>bullet_point2</t>
  </si>
  <si>
    <t>bullet_point3</t>
  </si>
  <si>
    <t>bullet_point4</t>
  </si>
  <si>
    <t>bullet_point5</t>
  </si>
  <si>
    <t>special_size_type</t>
  </si>
  <si>
    <t>platinum_keywords1</t>
  </si>
  <si>
    <t>platinum_keywords2</t>
  </si>
  <si>
    <t>platinum_keywords3</t>
  </si>
  <si>
    <t>platinum_keywords4</t>
  </si>
  <si>
    <t>platinum_keywords5</t>
  </si>
  <si>
    <t>is_autographed</t>
  </si>
  <si>
    <t>seasons</t>
  </si>
  <si>
    <t>sleeve_type</t>
  </si>
  <si>
    <t>website_shipping_weight</t>
  </si>
  <si>
    <t>website_shipping_weight_unit_of_measure</t>
  </si>
  <si>
    <t>item_shape</t>
  </si>
  <si>
    <t>item_dimensions_unit_of_measure</t>
  </si>
  <si>
    <t>fulfillment_center_id</t>
  </si>
  <si>
    <t>package_length</t>
  </si>
  <si>
    <t>package_width</t>
  </si>
  <si>
    <t>package_height</t>
  </si>
  <si>
    <t>package_weight</t>
  </si>
  <si>
    <t>package_weight_unit_of_measure</t>
  </si>
  <si>
    <t>package_dimensions_unit_of_measure</t>
  </si>
  <si>
    <t>legal_disclaimer_description</t>
  </si>
  <si>
    <t>safety_warning</t>
  </si>
  <si>
    <t>eu_toys_safety_directive_age_warning</t>
  </si>
  <si>
    <t>eu_toys_safety_directive_warning</t>
  </si>
  <si>
    <t>eu_toys_safety_directive_language</t>
  </si>
  <si>
    <t>batteries_required</t>
  </si>
  <si>
    <t>are_batteries_included</t>
  </si>
  <si>
    <t>battery_cell_composition</t>
  </si>
  <si>
    <t>battery_type1</t>
  </si>
  <si>
    <t>battery_type2</t>
  </si>
  <si>
    <t>battery_type3</t>
  </si>
  <si>
    <t>number_of_batteries1</t>
  </si>
  <si>
    <t>number_of_batteries2</t>
  </si>
  <si>
    <t>number_of_batteries3</t>
  </si>
  <si>
    <t>battery_weight</t>
  </si>
  <si>
    <t>number_of_lithium_metal_cells</t>
  </si>
  <si>
    <t>number_of_lithium_ion_cells</t>
  </si>
  <si>
    <t>lithium_battery_packaging</t>
  </si>
  <si>
    <t>lithium_battery_energy_content</t>
  </si>
  <si>
    <t>lithium_battery_weight</t>
  </si>
  <si>
    <t>supplier_declared_dg_hz_regulation1</t>
  </si>
  <si>
    <t>supplier_declared_dg_hz_regulation2</t>
  </si>
  <si>
    <t>supplier_declared_dg_hz_regulation3</t>
  </si>
  <si>
    <t>supplier_declared_dg_hz_regulation4</t>
  </si>
  <si>
    <t>supplier_declared_dg_hz_regulation5</t>
  </si>
  <si>
    <t>hazmat_united_nations_regulatory_id</t>
  </si>
  <si>
    <t>safety_data_sheet_url</t>
  </si>
  <si>
    <t>item_weight</t>
  </si>
  <si>
    <t>item_volume</t>
  </si>
  <si>
    <t>flash_point</t>
  </si>
  <si>
    <t>ghs_classification_class1</t>
  </si>
  <si>
    <t>ghs_classification_class2</t>
  </si>
  <si>
    <t>ghs_classification_class3</t>
  </si>
  <si>
    <t>currency</t>
  </si>
  <si>
    <t>fulfillment_latency</t>
  </si>
  <si>
    <t>sale_price</t>
  </si>
  <si>
    <t>sale_from_date</t>
  </si>
  <si>
    <t>sale_end_date</t>
  </si>
  <si>
    <t>max_aggregate_ship_quantity</t>
  </si>
  <si>
    <t>item_package_quantity</t>
  </si>
  <si>
    <t>number_of_items</t>
  </si>
  <si>
    <t>offering_can_be_gift_messaged</t>
  </si>
  <si>
    <t>offering_can_be_giftwrapped</t>
  </si>
  <si>
    <t>is_discontinued_by_manufacturer</t>
  </si>
  <si>
    <t>product_site_launch_date</t>
  </si>
  <si>
    <t>restock_date</t>
  </si>
  <si>
    <t>is_expiration_dated_product</t>
  </si>
  <si>
    <t>merchant_release_date</t>
  </si>
  <si>
    <t>list_price</t>
  </si>
  <si>
    <t>product_expiration_type</t>
  </si>
  <si>
    <t>fc_shelf_life</t>
  </si>
  <si>
    <t>offering_end_date</t>
  </si>
  <si>
    <t>max_order_quantity</t>
  </si>
  <si>
    <t>merchant_shipping_group_name</t>
  </si>
  <si>
    <t>offering_start_date</t>
  </si>
  <si>
    <t>liquidate_remainder</t>
  </si>
  <si>
    <t>delivery_schedule_group_id</t>
  </si>
  <si>
    <t>uvp_list_price</t>
  </si>
  <si>
    <t>product_tax_code</t>
  </si>
  <si>
    <t>minimum_order_quantity_minimum</t>
  </si>
  <si>
    <t>list_price_with_tax</t>
  </si>
  <si>
    <t>quantity_price_type</t>
  </si>
  <si>
    <t>quantity_lower_bound1</t>
  </si>
  <si>
    <t>quantity_price1</t>
  </si>
  <si>
    <t>quantity_lower_bound2</t>
  </si>
  <si>
    <t>quantity_price2</t>
  </si>
  <si>
    <t>quantity_lower_bound3</t>
  </si>
  <si>
    <t>quantity_price3</t>
  </si>
  <si>
    <t>quantity_lower_bound4</t>
  </si>
  <si>
    <t>quantity_price4</t>
  </si>
  <si>
    <t>quantity_lower_bound5</t>
  </si>
  <si>
    <t>quantity_price5</t>
  </si>
  <si>
    <t>progressive_discount_type</t>
  </si>
  <si>
    <t>progressive_discount_lower_bound1</t>
  </si>
  <si>
    <t>progressive_discount_value1</t>
  </si>
  <si>
    <t>progressive_discount_lower_bound2</t>
  </si>
  <si>
    <t>progressive_discount_value2</t>
  </si>
  <si>
    <t>progressive_discount_lower_bound3</t>
  </si>
  <si>
    <t>progressive_discount_value3</t>
  </si>
  <si>
    <t>national_stock_number</t>
  </si>
  <si>
    <t>unspsc_code</t>
  </si>
  <si>
    <t>pricing_action</t>
  </si>
  <si>
    <t>dress</t>
  </si>
  <si>
    <t>EG02053AL04-UK1</t>
  </si>
  <si>
    <t>Ever-Pretty</t>
  </si>
  <si>
    <t>Synthetic</t>
  </si>
  <si>
    <t>Green</t>
  </si>
  <si>
    <t>Amber Bloom</t>
  </si>
  <si>
    <t>Evening</t>
  </si>
  <si>
    <t>A-Line</t>
  </si>
  <si>
    <t>round Neck</t>
  </si>
  <si>
    <t>Women</t>
  </si>
  <si>
    <t>Fashion</t>
  </si>
  <si>
    <t>Maxi</t>
  </si>
  <si>
    <t>China</t>
  </si>
  <si>
    <t>Chiffon</t>
  </si>
  <si>
    <t>https://eppic.s3.amazonaws.com/EG02053AL-L6.jpg</t>
  </si>
  <si>
    <t>Female</t>
  </si>
  <si>
    <t>Adult</t>
  </si>
  <si>
    <t>UK</t>
  </si>
  <si>
    <t>Numeric</t>
  </si>
  <si>
    <t>Regular</t>
  </si>
  <si>
    <t>https://eppic.s3.amazonaws.com/EG02053AL-L2.jpg</t>
  </si>
  <si>
    <t>https://eppic.s3.amazonaws.com/EG02053AL-L3.jpg</t>
  </si>
  <si>
    <t>https://eppic.s3.amazonaws.com/EG02053AL-L4.jpg</t>
  </si>
  <si>
    <t>https://eppic.s3.amazonaws.com/EG02053AL-L5.jpg</t>
  </si>
  <si>
    <t>https://eppic.s3.amazonaws.com/EG02053-S-UK.jpg</t>
  </si>
  <si>
    <t>Child</t>
  </si>
  <si>
    <t>SizeName-ColorName</t>
  </si>
  <si>
    <t>&lt;p&gt;&lt;b&gt;EVER PRETTY FASHION CORPORATION. &lt;/b&gt;is a leader in the fashion world with over 14 years of experience and expertise, we have the ability to identify every woman’s need. Our aim is to provide you with stylish and affordable fashion at your fingertips. Whether it’s bridesmaids’ dresses for the big day or the perfect outfit for your new event we can assure that you will find something you love here at Ever-Pretty.&lt;/p&gt;&lt;p&gt;&lt;b&gt;Size Chart&lt;/b&gt;&lt;/p&gt;&lt;p&gt;Our dresses have different sizing measures and might not coincide with your regular size. Before purchasing, please check the &lt;b&gt;SIZE CHART&lt;/b&gt; in the pictures to find out what’s your correct size.&lt;/p&gt;&lt;p&gt;&lt;b&gt;Return Policy&lt;/b&gt;&lt;/p&gt;&lt;p&gt;1. You can return your item within &lt;b&gt;30 days&lt;/b&gt; after receiving it, regardless of the reason.&lt;/p&gt;&lt;p&gt;2. The returned item must be in its original conditions. The item should have no tears, no odors, and shouldn’t have been worn. All the original tags must be still attached properly. The item should be repackaged&lt;b&gt; in the original bag&lt;/b&gt;. These are binding conditions of the return policy. Should the item break any of the conditions listed above, we reserve the right to reject the return.&lt;/p&gt;&lt;p&gt;&lt;b&gt;About chromatic aberration&amp;nbsp;&amp;nbsp;&lt;/b&gt;&lt;/p&gt;&lt;p&gt;Due to the inevitable differences in monitor settings, the colors shown in the pictures may not coincide 112% to those in the items themselves, but we guarantee the style, fabric, and details are exactly as shown in the pictures.&lt;/p&gt;</t>
  </si>
  <si>
    <t>13623308031</t>
  </si>
  <si>
    <t>Dress Care: Hand wash in cold water.</t>
  </si>
  <si>
    <t>wedding dresses uk,wedding guest dresses uk,Ever-Pretty Women's Chiffon Crew Neck Pleated Waist Short Sleeve Knee-Length Wedding Guest Dress - A-Line black prom dress</t>
  </si>
  <si>
    <t>SIZE:To choose the correct size, please refer to our size chart in the pictures. When you select your dress size, the numbers displayed correspond to UK size, so make sure it’s the correct size in the chart.</t>
  </si>
  <si>
    <t>Features:Knee length, short sleeve, no stretch, padded, concealed zipper up the back, a line, glamorous wedding guest dress, bridesmaid dress, evening dress, cocktail dress, formal dresses.</t>
  </si>
  <si>
    <t>This A-line chiffon dress is a timeless piece that combines classic elegance with modern style. With a knee-length hem, short sleeves, and a round neck, it's versatile for any season.</t>
  </si>
  <si>
    <t>Perfect as wedding guest dress, bridesmaid dress, evening dress, evening gowns, formal dress, prom dress, party dress, cocktail dress, ball gowns, banquet dress.etc</t>
  </si>
  <si>
    <t>Ever-Pretty is a fashion brand for women. We provides elegant dresses for all kinds of special occasions, including prom, homecoming, wedding, evening parties and more. With an eye on global fashion trends, Ever-Pretty designs dresses for today while envisioning them to be timeless additions to your closet that you’ll wear for years to come.</t>
  </si>
  <si>
    <t>short sleeve</t>
  </si>
  <si>
    <t>GR</t>
  </si>
  <si>
    <t>IN</t>
  </si>
  <si>
    <t>GBP</t>
  </si>
  <si>
    <t>EG02053AL06-UK1</t>
  </si>
  <si>
    <t>EG02053AL08-UK1</t>
  </si>
  <si>
    <t>EG02053AL10-UK1</t>
  </si>
  <si>
    <t>EG02053AL12-UK1</t>
  </si>
  <si>
    <t>EG02053AL14-UK1</t>
  </si>
  <si>
    <t>EG02053AL16-UK1</t>
  </si>
  <si>
    <t>EG02053AL18-UK1</t>
  </si>
  <si>
    <t>EG02053AL20-UK1</t>
  </si>
  <si>
    <t>EG02053AL22-UK1</t>
  </si>
  <si>
    <t>EG02053AL24-UK1</t>
  </si>
  <si>
    <t>EG02053AL26-UK1</t>
  </si>
  <si>
    <t>CONDITION_LIST_0</t>
  </si>
  <si>
    <t>CONDITION_LIST_1</t>
  </si>
  <si>
    <t>CONDITION_LIST_2</t>
  </si>
  <si>
    <t>CONDITION_LIST_3</t>
  </si>
  <si>
    <t>lithium</t>
  </si>
  <si>
    <t>Transportation</t>
  </si>
  <si>
    <t>GHS</t>
  </si>
  <si>
    <t>Lithium-Air</t>
  </si>
  <si>
    <t>Lithium-Cobalt</t>
  </si>
  <si>
    <t>Lithium Ion</t>
  </si>
  <si>
    <t>lithium_manganese_dioxide</t>
  </si>
  <si>
    <t>lithium_metal</t>
  </si>
  <si>
    <t>Lithium-Nickel Cobalt Aluminium (NCA)</t>
  </si>
  <si>
    <t>Lithium-Nickel Manganese Cobalt (NMC)</t>
  </si>
  <si>
    <t>Lithium-Phosphate</t>
  </si>
  <si>
    <t>Lithium Polymer</t>
  </si>
  <si>
    <t>Lithium-Thionyl Chloride (Li-SOCL2)</t>
  </si>
  <si>
    <t>Lithium-Titanate</t>
  </si>
  <si>
    <t/>
  </si>
  <si>
    <t>Accessory</t>
  </si>
  <si>
    <t>Plus</t>
  </si>
  <si>
    <t>Afghanistan</t>
  </si>
  <si>
    <t>Batteries packed with equipment</t>
  </si>
  <si>
    <t>GTIN</t>
  </si>
  <si>
    <t>ItemPackageQuantity-Material</t>
  </si>
  <si>
    <t>Male</t>
  </si>
  <si>
    <t>JPY</t>
  </si>
  <si>
    <t>lead_acid_agm</t>
  </si>
  <si>
    <t>LB</t>
  </si>
  <si>
    <t>Petite</t>
  </si>
  <si>
    <t>Beige</t>
  </si>
  <si>
    <t>Does Not Expire</t>
  </si>
  <si>
    <t>One Size</t>
  </si>
  <si>
    <t>Room temperature (ambient temperature): 15 C to 25 C</t>
  </si>
  <si>
    <t>Autumn-Winter</t>
  </si>
  <si>
    <t>Tennis</t>
  </si>
  <si>
    <t>Greek</t>
  </si>
  <si>
    <t>Autumn-Winter 12</t>
  </si>
  <si>
    <t>fixed</t>
  </si>
  <si>
    <t>AMAZON_EU</t>
  </si>
  <si>
    <t>Business</t>
  </si>
  <si>
    <t>Knee-Long</t>
  </si>
  <si>
    <t>explosive</t>
  </si>
  <si>
    <t>4</t>
  </si>
  <si>
    <t>Kilowatt Hours</t>
  </si>
  <si>
    <t>battery_type_aa</t>
  </si>
  <si>
    <t>Alpaca</t>
  </si>
  <si>
    <t>Contains fragrances that may cause allergies</t>
  </si>
  <si>
    <t>Age</t>
  </si>
  <si>
    <t>Baby-Boys</t>
  </si>
  <si>
    <t>MLB</t>
  </si>
  <si>
    <t>Collectible - Very Good</t>
  </si>
  <si>
    <t>big</t>
  </si>
  <si>
    <t>default</t>
  </si>
  <si>
    <t>part</t>
  </si>
  <si>
    <t>Wool</t>
  </si>
  <si>
    <t>3/4 Sleeve</t>
  </si>
  <si>
    <t>Unqualified</t>
  </si>
  <si>
    <t>cup</t>
  </si>
  <si>
    <t>delete business_price</t>
  </si>
  <si>
    <t>Not suitable for children under 11 years. For use under adult supervision</t>
  </si>
  <si>
    <t>Parent</t>
  </si>
  <si>
    <t>Perennial</t>
  </si>
  <si>
    <t>A_BABY_BIBCLOTH</t>
  </si>
  <si>
    <t>Dry Clean Only</t>
  </si>
  <si>
    <t>Ever Pretty</t>
  </si>
  <si>
    <t>8.99</t>
  </si>
  <si>
    <t>13623309031</t>
  </si>
  <si>
    <t>Infant</t>
  </si>
  <si>
    <t>Aland Islands</t>
  </si>
  <si>
    <t>Batteries contained in equipment</t>
  </si>
  <si>
    <t>EAN</t>
  </si>
  <si>
    <t>ItemPackageQuantity</t>
  </si>
  <si>
    <t>MXN</t>
  </si>
  <si>
    <t>Unknown</t>
  </si>
  <si>
    <t>lithium_air</t>
  </si>
  <si>
    <t>OZ</t>
  </si>
  <si>
    <t>PartialUpdate</t>
  </si>
  <si>
    <t>Short</t>
  </si>
  <si>
    <t>Black</t>
  </si>
  <si>
    <t>Expiration Date Required</t>
  </si>
  <si>
    <t>6</t>
  </si>
  <si>
    <t>Cold or Cool : 8 C to 15 C</t>
  </si>
  <si>
    <t>Spring-Summer</t>
  </si>
  <si>
    <t>Swedish</t>
  </si>
  <si>
    <t>Autumn-Winter 13</t>
  </si>
  <si>
    <t>FT</t>
  </si>
  <si>
    <t>percent</t>
  </si>
  <si>
    <t>DEFAULT</t>
  </si>
  <si>
    <t>Casual</t>
  </si>
  <si>
    <t>flammable</t>
  </si>
  <si>
    <t>Joules</t>
  </si>
  <si>
    <t>battery_type_aaa</t>
  </si>
  <si>
    <t>Angora</t>
  </si>
  <si>
    <t>Protective equipment should be worn. Not to be used in traffic</t>
  </si>
  <si>
    <t>Alpha</t>
  </si>
  <si>
    <t>Baby-Girls</t>
  </si>
  <si>
    <t>European Basketball</t>
  </si>
  <si>
    <t>Used - Good</t>
  </si>
  <si>
    <t>maternity</t>
  </si>
  <si>
    <t>bundle</t>
  </si>
  <si>
    <t>Fur</t>
  </si>
  <si>
    <t>Long Sleeve</t>
  </si>
  <si>
    <t>Scandinavian</t>
  </si>
  <si>
    <t>microliters</t>
  </si>
  <si>
    <t>delete quantity_price</t>
  </si>
  <si>
    <t>Not suitable for children under 5 years. For use under adult supervision</t>
  </si>
  <si>
    <t>Year Round Replenishable</t>
  </si>
  <si>
    <t>A_BABY_CARSEAT</t>
  </si>
  <si>
    <t>Machine Wash</t>
  </si>
  <si>
    <t>Body Con</t>
  </si>
  <si>
    <t>6.99</t>
  </si>
  <si>
    <t>variation</t>
  </si>
  <si>
    <t>Kid</t>
  </si>
  <si>
    <t>Algeria</t>
  </si>
  <si>
    <t>Batteries only</t>
  </si>
  <si>
    <t>GCID</t>
  </si>
  <si>
    <t>Color</t>
  </si>
  <si>
    <t>Unisex</t>
  </si>
  <si>
    <t>EUR</t>
  </si>
  <si>
    <t>Other</t>
  </si>
  <si>
    <t>lithium_cobalt</t>
  </si>
  <si>
    <t>KG</t>
  </si>
  <si>
    <t>Delete</t>
  </si>
  <si>
    <t>Blue</t>
  </si>
  <si>
    <t>Expiration On Package</t>
  </si>
  <si>
    <t>8</t>
  </si>
  <si>
    <t>Deep-Freeze: &gt;-15 C</t>
  </si>
  <si>
    <t>Autumn-Winter 14</t>
  </si>
  <si>
    <t>CM</t>
  </si>
  <si>
    <t>Ceremony</t>
  </si>
  <si>
    <t>Midi</t>
  </si>
  <si>
    <t>oxidizing</t>
  </si>
  <si>
    <t>Cubic Feet</t>
  </si>
  <si>
    <t>battery_type_lithium_ion</t>
  </si>
  <si>
    <t>Cashmere</t>
  </si>
  <si>
    <t>To prevent possible injury by entanglement, remove this toy when the child starts trying to get up on its hands and knees in a crawling position</t>
  </si>
  <si>
    <t>Boys</t>
  </si>
  <si>
    <t>Indian Soccer League</t>
  </si>
  <si>
    <t>Club</t>
  </si>
  <si>
    <t>short</t>
  </si>
  <si>
    <t>Not Applicable</t>
  </si>
  <si>
    <t>Short Sleeve</t>
  </si>
  <si>
    <t>Belarusian</t>
  </si>
  <si>
    <t>cubic_feet</t>
  </si>
  <si>
    <t>delete progressive_discount</t>
  </si>
  <si>
    <t>Not suitable for children under 36 months</t>
  </si>
  <si>
    <t>Seasonal Basic</t>
  </si>
  <si>
    <t>A_BABY_NAPPIES</t>
  </si>
  <si>
    <t>Hand Wash Only</t>
  </si>
  <si>
    <t>Bubble Hem</t>
  </si>
  <si>
    <t>Toddler</t>
  </si>
  <si>
    <t>American Samoa</t>
  </si>
  <si>
    <t>UPC</t>
  </si>
  <si>
    <t>color-size</t>
  </si>
  <si>
    <t>lithium_nickel_cobalt_aluminum</t>
  </si>
  <si>
    <t>MG</t>
  </si>
  <si>
    <t>Tall</t>
  </si>
  <si>
    <t>Brown</t>
  </si>
  <si>
    <t>Production Date Required</t>
  </si>
  <si>
    <t>10</t>
  </si>
  <si>
    <t>Refrigerator: 2 C to 8 C</t>
  </si>
  <si>
    <t>Autumn-Winter 15</t>
  </si>
  <si>
    <t>MM</t>
  </si>
  <si>
    <t>Mini</t>
  </si>
  <si>
    <t>compressed_gas</t>
  </si>
  <si>
    <t>watt_hours</t>
  </si>
  <si>
    <t>battery_type_a</t>
  </si>
  <si>
    <t>Corduroy</t>
  </si>
  <si>
    <t>To be used under the direct supervision of an adult</t>
  </si>
  <si>
    <t>Girls</t>
  </si>
  <si>
    <t>Japanese Basketball</t>
  </si>
  <si>
    <t>Collectible - Acceptable</t>
  </si>
  <si>
    <t>tall</t>
  </si>
  <si>
    <t>Bamboo</t>
  </si>
  <si>
    <t>Sleeveless</t>
  </si>
  <si>
    <t>Scandinavian Languages</t>
  </si>
  <si>
    <t>centiliters</t>
  </si>
  <si>
    <t>Not suitable for children under 4 years. For use under adult supervision</t>
  </si>
  <si>
    <t>A_BOOK_ATLAS</t>
  </si>
  <si>
    <t>Bustier</t>
  </si>
  <si>
    <t>Albania</t>
  </si>
  <si>
    <t>ASIN</t>
  </si>
  <si>
    <t>USD</t>
  </si>
  <si>
    <t>lithium_nickel_manganese_cobalt</t>
  </si>
  <si>
    <t>Extra Tall</t>
  </si>
  <si>
    <t>Gold</t>
  </si>
  <si>
    <t>Shelf Life</t>
  </si>
  <si>
    <t>12</t>
  </si>
  <si>
    <t>Danish</t>
  </si>
  <si>
    <t>Autumn-Winter 16</t>
  </si>
  <si>
    <t>M</t>
  </si>
  <si>
    <t>corrosive</t>
  </si>
  <si>
    <t>Milliampere Hour (mAh)</t>
  </si>
  <si>
    <t>battery_type_cr2</t>
  </si>
  <si>
    <t>Cotton</t>
  </si>
  <si>
    <t>This toy does not provide protection</t>
  </si>
  <si>
    <t>Men</t>
  </si>
  <si>
    <t>Pro Wrestling League</t>
  </si>
  <si>
    <t>Collectible - Like New</t>
  </si>
  <si>
    <t>Pidgin English</t>
  </si>
  <si>
    <t>gallon</t>
  </si>
  <si>
    <t>Not suitable for children under 9 years. For use under adult supervision</t>
  </si>
  <si>
    <t>A_BOOK_AUDIOBOOK</t>
  </si>
  <si>
    <t>Cocktail</t>
  </si>
  <si>
    <t>Andorra</t>
  </si>
  <si>
    <t>Material</t>
  </si>
  <si>
    <t>CAD</t>
  </si>
  <si>
    <t>Waste</t>
  </si>
  <si>
    <t>lithium_phosphate</t>
  </si>
  <si>
    <t>14</t>
  </si>
  <si>
    <t>Slovak</t>
  </si>
  <si>
    <t>Autumn-Winter 17</t>
  </si>
  <si>
    <t>Yards</t>
  </si>
  <si>
    <t>toxic</t>
  </si>
  <si>
    <t>Cubic Meters</t>
  </si>
  <si>
    <t>battery_type_c</t>
  </si>
  <si>
    <t>Denim</t>
  </si>
  <si>
    <t>Only for domestic use</t>
  </si>
  <si>
    <t>WUSA</t>
  </si>
  <si>
    <t>Used - Like New</t>
  </si>
  <si>
    <t>Maharati</t>
  </si>
  <si>
    <t>quarts</t>
  </si>
  <si>
    <t>Not suitable for children under 7 years. For use under adult supervision</t>
  </si>
  <si>
    <t>A_BOOK_GLOBE</t>
  </si>
  <si>
    <t>Column</t>
  </si>
  <si>
    <t>Angola</t>
  </si>
  <si>
    <t>Size-Material</t>
  </si>
  <si>
    <t>INR</t>
  </si>
  <si>
    <t>Storage</t>
  </si>
  <si>
    <t>lithium_titanate</t>
  </si>
  <si>
    <t>Grey</t>
  </si>
  <si>
    <t>16</t>
  </si>
  <si>
    <t>Autumn-Winter 18</t>
  </si>
  <si>
    <t>irritant</t>
  </si>
  <si>
    <t>Milliamp Hours (mAh)</t>
  </si>
  <si>
    <t>battery_type_d</t>
  </si>
  <si>
    <t>Down</t>
  </si>
  <si>
    <t>No warning applicable</t>
  </si>
  <si>
    <t>Canadian Premier League</t>
  </si>
  <si>
    <t>Collectible - Good</t>
  </si>
  <si>
    <t>Bahasa</t>
  </si>
  <si>
    <t>nanoliters</t>
  </si>
  <si>
    <t>Not suitable for children under 10 years. For use under adult supervision</t>
  </si>
  <si>
    <t>A_BOOK_MAGAZINE</t>
  </si>
  <si>
    <t>Cut-Out</t>
  </si>
  <si>
    <t>Anguilla</t>
  </si>
  <si>
    <t>Color-ItemPackageQuantity</t>
  </si>
  <si>
    <t>CNY</t>
  </si>
  <si>
    <t>nickel_iron</t>
  </si>
  <si>
    <t>Multicoloured</t>
  </si>
  <si>
    <t>18</t>
  </si>
  <si>
    <t>Lithuanian</t>
  </si>
  <si>
    <t>Spring-Summer 12</t>
  </si>
  <si>
    <t>health_hazard</t>
  </si>
  <si>
    <t>Milliampere Second (mAs)</t>
  </si>
  <si>
    <t>battery_type_cr5</t>
  </si>
  <si>
    <t>Faux Fur</t>
  </si>
  <si>
    <t>Only to be used in water in which the child is within its depth and under adult supervision</t>
  </si>
  <si>
    <t>NBA</t>
  </si>
  <si>
    <t>Belgian</t>
  </si>
  <si>
    <t>liter</t>
  </si>
  <si>
    <t>Not suitable for children under 13 years. For use under adult supervision</t>
  </si>
  <si>
    <t>A_BOOK_MAP</t>
  </si>
  <si>
    <t>Empire</t>
  </si>
  <si>
    <t>Antarctica</t>
  </si>
  <si>
    <t>ItemPackageQuantity-Size</t>
  </si>
  <si>
    <t>nickel_zinc</t>
  </si>
  <si>
    <t>Off-White</t>
  </si>
  <si>
    <t>20</t>
  </si>
  <si>
    <t>Hungarian</t>
  </si>
  <si>
    <t>Spring-Summer 13</t>
  </si>
  <si>
    <t>environmentally_damaging</t>
  </si>
  <si>
    <t>British Thermal Units (BTUs)</t>
  </si>
  <si>
    <t>AAAA Battery</t>
  </si>
  <si>
    <t>Felt</t>
  </si>
  <si>
    <t>Toy inside. Adult supervision recommended</t>
  </si>
  <si>
    <t>E-Sports</t>
  </si>
  <si>
    <t>Used - Very Good</t>
  </si>
  <si>
    <t>Nahuatl</t>
  </si>
  <si>
    <t>picoliters</t>
  </si>
  <si>
    <t>Not suitable for children under 3 years. For use under adult supervision</t>
  </si>
  <si>
    <t>A_BOOKS_GEN</t>
  </si>
  <si>
    <t>Halterneck</t>
  </si>
  <si>
    <t>Antigua And Barbuda</t>
  </si>
  <si>
    <t>Color-Material</t>
  </si>
  <si>
    <t>silver_calcium</t>
  </si>
  <si>
    <t>Orange</t>
  </si>
  <si>
    <t>22</t>
  </si>
  <si>
    <t>Dutch</t>
  </si>
  <si>
    <t>Spring-Summer 14</t>
  </si>
  <si>
    <t>amzn_specific_no_label_with_warning</t>
  </si>
  <si>
    <t>battery_type_p76</t>
  </si>
  <si>
    <t>Fleece</t>
  </si>
  <si>
    <t>Japanese Baseball</t>
  </si>
  <si>
    <t>Used - Acceptable</t>
  </si>
  <si>
    <t>Romansh</t>
  </si>
  <si>
    <t>Unknown modifier</t>
  </si>
  <si>
    <t>Not suitable for children under 12 years. For use under adult supervision</t>
  </si>
  <si>
    <t>A_CLTH_BABY</t>
  </si>
  <si>
    <t>Jumper</t>
  </si>
  <si>
    <t>Argentina</t>
  </si>
  <si>
    <t>Material-Size</t>
  </si>
  <si>
    <t>silver_zinc</t>
  </si>
  <si>
    <t>Pink</t>
  </si>
  <si>
    <t>24</t>
  </si>
  <si>
    <t>Finnish</t>
  </si>
  <si>
    <t>Spring-Summer 15</t>
  </si>
  <si>
    <t>battery_type_product_specific</t>
  </si>
  <si>
    <t>Japanese Football</t>
  </si>
  <si>
    <t>Provençal</t>
  </si>
  <si>
    <t>fluid-oz</t>
  </si>
  <si>
    <t>Not suitable for children under 6 years. For use under adult supervision</t>
  </si>
  <si>
    <t>A_CLTH_CHILD</t>
  </si>
  <si>
    <t>Kimono</t>
  </si>
  <si>
    <t>Armenia</t>
  </si>
  <si>
    <t>Material-Color</t>
  </si>
  <si>
    <t>zinc_air</t>
  </si>
  <si>
    <t>Purple</t>
  </si>
  <si>
    <t>26</t>
  </si>
  <si>
    <t>Estonian</t>
  </si>
  <si>
    <t>Spring-Summer 16</t>
  </si>
  <si>
    <t>Lithium-Polymer</t>
  </si>
  <si>
    <t>Hemp</t>
  </si>
  <si>
    <t>MLS</t>
  </si>
  <si>
    <t>Traditional Chinese</t>
  </si>
  <si>
    <t>cubic_meters</t>
  </si>
  <si>
    <t>A_CLTH_PROTECTIVE</t>
  </si>
  <si>
    <t>One-Shoulder</t>
  </si>
  <si>
    <t>Aruba</t>
  </si>
  <si>
    <t>lithium_thionyl_chloride</t>
  </si>
  <si>
    <t>Red</t>
  </si>
  <si>
    <t>28</t>
  </si>
  <si>
    <t>Slovene</t>
  </si>
  <si>
    <t>Spring-Summer 17</t>
  </si>
  <si>
    <t>Leather</t>
  </si>
  <si>
    <t>NFL</t>
  </si>
  <si>
    <t>Simplified Chinese</t>
  </si>
  <si>
    <t>pints</t>
  </si>
  <si>
    <t>Not suitable for children under 14 years. For use under adult supervision</t>
  </si>
  <si>
    <t>A_FOOD_ANIMALFOOD</t>
  </si>
  <si>
    <t>Pencil</t>
  </si>
  <si>
    <t>Ascension Island</t>
  </si>
  <si>
    <t>SizeColor</t>
  </si>
  <si>
    <t>nickel_oxyhydroxide</t>
  </si>
  <si>
    <t>Silver</t>
  </si>
  <si>
    <t>30</t>
  </si>
  <si>
    <t>English</t>
  </si>
  <si>
    <t>Spring-Summer 18</t>
  </si>
  <si>
    <t>Metal Lithium Battery</t>
  </si>
  <si>
    <t>Linen</t>
  </si>
  <si>
    <t>Indian Premier League</t>
  </si>
  <si>
    <t>Valencian</t>
  </si>
  <si>
    <t>cubic_yards</t>
  </si>
  <si>
    <t>Not suitable for children under 8 years. For use under adult supervision</t>
  </si>
  <si>
    <t>A_FOOD_ANIMALMED</t>
  </si>
  <si>
    <t>Peplum</t>
  </si>
  <si>
    <t>Australia</t>
  </si>
  <si>
    <t>SizeName</t>
  </si>
  <si>
    <t>zinc_chloride</t>
  </si>
  <si>
    <t>Turquoise</t>
  </si>
  <si>
    <t>32</t>
  </si>
  <si>
    <t>Portuguese</t>
  </si>
  <si>
    <t>Nonstandard Battery</t>
  </si>
  <si>
    <t>Merino</t>
  </si>
  <si>
    <t>Pro Volleyball League</t>
  </si>
  <si>
    <t>Latin Spanish</t>
  </si>
  <si>
    <t>cubic-in</t>
  </si>
  <si>
    <t>A_FOOD_ANIMALVITAMINS</t>
  </si>
  <si>
    <t>Pleated</t>
  </si>
  <si>
    <t>Austria</t>
  </si>
  <si>
    <t>ItemPackageQuantity-Color</t>
  </si>
  <si>
    <t>White</t>
  </si>
  <si>
    <t>34</t>
  </si>
  <si>
    <t>Bulgarian</t>
  </si>
  <si>
    <t>battery_type_cr123a</t>
  </si>
  <si>
    <t>Mohair</t>
  </si>
  <si>
    <t>Italian Football</t>
  </si>
  <si>
    <t>Gahrwali</t>
  </si>
  <si>
    <t>imperial_gallons</t>
  </si>
  <si>
    <t>A_FOOD_CAKEDECOR</t>
  </si>
  <si>
    <t>Shirt</t>
  </si>
  <si>
    <t>Azerbaijan</t>
  </si>
  <si>
    <t>ColorName</t>
  </si>
  <si>
    <t>zinc_carbon</t>
  </si>
  <si>
    <t>Yellow</t>
  </si>
  <si>
    <t>36</t>
  </si>
  <si>
    <t>Polish</t>
  </si>
  <si>
    <t>LR44</t>
  </si>
  <si>
    <t>Patent Leather</t>
  </si>
  <si>
    <t>International Cricket</t>
  </si>
  <si>
    <t>Tulu</t>
  </si>
  <si>
    <t>milliliter</t>
  </si>
  <si>
    <t>A_FOOD_CANFRUIT</t>
  </si>
  <si>
    <t>Skater</t>
  </si>
  <si>
    <t>Bahamas</t>
  </si>
  <si>
    <t>mercury_oxide</t>
  </si>
  <si>
    <t>38</t>
  </si>
  <si>
    <t>Romanian</t>
  </si>
  <si>
    <t>12v Battery</t>
  </si>
  <si>
    <t>Rubber</t>
  </si>
  <si>
    <t>Mexican Football Federation</t>
  </si>
  <si>
    <t>Kumaoni</t>
  </si>
  <si>
    <t>cubic_centimeters</t>
  </si>
  <si>
    <t>A_FOOD_CEREALBARS</t>
  </si>
  <si>
    <t>Strapless</t>
  </si>
  <si>
    <t>Bahrain</t>
  </si>
  <si>
    <t>sealed_lead_acid</t>
  </si>
  <si>
    <t>40</t>
  </si>
  <si>
    <t>battery_type_9v</t>
  </si>
  <si>
    <t>Satin</t>
  </si>
  <si>
    <t>Spanish Football</t>
  </si>
  <si>
    <t>Haryanvi</t>
  </si>
  <si>
    <t>deciliters</t>
  </si>
  <si>
    <t>A_FOOD_CEREALCHOCBARS</t>
  </si>
  <si>
    <t>Tulip</t>
  </si>
  <si>
    <t>Bangladesh</t>
  </si>
  <si>
    <t>NiMh</t>
  </si>
  <si>
    <t>Czech</t>
  </si>
  <si>
    <t>42</t>
  </si>
  <si>
    <t>Sequined</t>
  </si>
  <si>
    <t>English Football</t>
  </si>
  <si>
    <t>PortugueseBrazilian</t>
  </si>
  <si>
    <t>A_FOOD_CHOCEREAL</t>
  </si>
  <si>
    <t>Tunic</t>
  </si>
  <si>
    <t>Barbados</t>
  </si>
  <si>
    <t>alkaline</t>
  </si>
  <si>
    <t>Latvian</t>
  </si>
  <si>
    <t>44</t>
  </si>
  <si>
    <t>Silk</t>
  </si>
  <si>
    <t>Portuguese Football</t>
  </si>
  <si>
    <t>OldIrish</t>
  </si>
  <si>
    <t>A_FOOD_CNDY</t>
  </si>
  <si>
    <t>Wrap</t>
  </si>
  <si>
    <t>Belarus</t>
  </si>
  <si>
    <t>lithium_polymer</t>
  </si>
  <si>
    <t>46</t>
  </si>
  <si>
    <t>Smooth Leather</t>
  </si>
  <si>
    <t>PGA</t>
  </si>
  <si>
    <t>Egyptian</t>
  </si>
  <si>
    <t>A_FOOD_COFFEE</t>
  </si>
  <si>
    <t>Belgium</t>
  </si>
  <si>
    <t>NiCAD</t>
  </si>
  <si>
    <t>48</t>
  </si>
  <si>
    <t>Suede</t>
  </si>
  <si>
    <t>NCAA</t>
  </si>
  <si>
    <t>Masai</t>
  </si>
  <si>
    <t>A_FOOD_DAIRY</t>
  </si>
  <si>
    <t>Belize</t>
  </si>
  <si>
    <t>silver_oxide</t>
  </si>
  <si>
    <t>50</t>
  </si>
  <si>
    <t>German Football</t>
  </si>
  <si>
    <t>Kongo</t>
  </si>
  <si>
    <t>A_FOOD_DESSERT</t>
  </si>
  <si>
    <t>Benin</t>
  </si>
  <si>
    <t>52</t>
  </si>
  <si>
    <t>Velvet</t>
  </si>
  <si>
    <t>NWSL</t>
  </si>
  <si>
    <t>Rarotongan</t>
  </si>
  <si>
    <t>A_FOOD_DRIEDFRUIT</t>
  </si>
  <si>
    <t>Bermuda</t>
  </si>
  <si>
    <t>lead_calcium</t>
  </si>
  <si>
    <t>54</t>
  </si>
  <si>
    <t>I-League</t>
  </si>
  <si>
    <t>Siksika</t>
  </si>
  <si>
    <t>A_FOOD_FLOUR</t>
  </si>
  <si>
    <t>Bhutan</t>
  </si>
  <si>
    <t>56</t>
  </si>
  <si>
    <t>French Football</t>
  </si>
  <si>
    <t>Pampanga</t>
  </si>
  <si>
    <t>A_FOOD_GEN</t>
  </si>
  <si>
    <t>Bolivia</t>
  </si>
  <si>
    <t>polymer</t>
  </si>
  <si>
    <t>58</t>
  </si>
  <si>
    <t>NHL</t>
  </si>
  <si>
    <t>NorthernFrisian</t>
  </si>
  <si>
    <t>A_FOOD_MEATCHICKEN</t>
  </si>
  <si>
    <t>Bonaire, Saint Eustatius and Saba</t>
  </si>
  <si>
    <t>aluminum_oxygen</t>
  </si>
  <si>
    <t>UFC</t>
  </si>
  <si>
    <t>DravidianLanguages</t>
  </si>
  <si>
    <t>A_FOOD_MISCBEVERAGE</t>
  </si>
  <si>
    <t>Bosnia and Herzegovina</t>
  </si>
  <si>
    <t>lead_acid</t>
  </si>
  <si>
    <t>62</t>
  </si>
  <si>
    <t>Formula 1</t>
  </si>
  <si>
    <t>Lezghian</t>
  </si>
  <si>
    <t>A_FOOD_NAAN</t>
  </si>
  <si>
    <t>Botswana</t>
  </si>
  <si>
    <t>zinc</t>
  </si>
  <si>
    <t>64</t>
  </si>
  <si>
    <t>Minor League Baseball</t>
  </si>
  <si>
    <t>CaucasianLanguages</t>
  </si>
  <si>
    <t>A_FOOD_NCARBWTR</t>
  </si>
  <si>
    <t>Bouvet Island</t>
  </si>
  <si>
    <t>manganese</t>
  </si>
  <si>
    <t>68</t>
  </si>
  <si>
    <t>Dutch Football</t>
  </si>
  <si>
    <t>HiriMotu</t>
  </si>
  <si>
    <t>A_FOOD_OIL</t>
  </si>
  <si>
    <t>Brazil</t>
  </si>
  <si>
    <t>lithium_ion</t>
  </si>
  <si>
    <t>70</t>
  </si>
  <si>
    <t>NASCAR</t>
  </si>
  <si>
    <t>Tuvalu</t>
  </si>
  <si>
    <t>A_FOOD_PASTANOODLE</t>
  </si>
  <si>
    <t>British Indian Ocean Territory</t>
  </si>
  <si>
    <t>74</t>
  </si>
  <si>
    <t>SonghaiLanguages</t>
  </si>
  <si>
    <t>A_FOOD_PASTRYCASE</t>
  </si>
  <si>
    <t>British Virgin Islands</t>
  </si>
  <si>
    <t>80</t>
  </si>
  <si>
    <t>Pro Kabaddi League</t>
  </si>
  <si>
    <t>CelticLanguages</t>
  </si>
  <si>
    <t>A_FOOD_PETFOOD</t>
  </si>
  <si>
    <t>Brunei</t>
  </si>
  <si>
    <t>86</t>
  </si>
  <si>
    <t>WWE</t>
  </si>
  <si>
    <t>UpperSorbian</t>
  </si>
  <si>
    <t>A_FOOD_PLAINBISCUIT</t>
  </si>
  <si>
    <t>Bulgaria</t>
  </si>
  <si>
    <t>90</t>
  </si>
  <si>
    <t>Hockey India League</t>
  </si>
  <si>
    <t>Manchu</t>
  </si>
  <si>
    <t>A_FOOD_PLAINCRACKER</t>
  </si>
  <si>
    <t>Burkina Faso</t>
  </si>
  <si>
    <t>92</t>
  </si>
  <si>
    <t>World Cup Football</t>
  </si>
  <si>
    <t>PapuanLanguages</t>
  </si>
  <si>
    <t>A_FOOD_PLAINNUT</t>
  </si>
  <si>
    <t>Burma (Myanmar)</t>
  </si>
  <si>
    <t>98</t>
  </si>
  <si>
    <t>Canadian Football League</t>
  </si>
  <si>
    <t>NiloSaharanLanguages</t>
  </si>
  <si>
    <t>A_FOOD_RICE</t>
  </si>
  <si>
    <t>Burundi</t>
  </si>
  <si>
    <t>100</t>
  </si>
  <si>
    <t>X-Games</t>
  </si>
  <si>
    <t>KarenLanguages</t>
  </si>
  <si>
    <t>A_FOOD_SEASONINGS</t>
  </si>
  <si>
    <t>Cambodia</t>
  </si>
  <si>
    <t>104</t>
  </si>
  <si>
    <t>National Teams</t>
  </si>
  <si>
    <t>Hittite</t>
  </si>
  <si>
    <t>A_FOOD_SNACK</t>
  </si>
  <si>
    <t>Cameroon</t>
  </si>
  <si>
    <t>110</t>
  </si>
  <si>
    <t>Premier Badminton League</t>
  </si>
  <si>
    <t>MundaLanguages</t>
  </si>
  <si>
    <t>A_FOOD_SODAJUICE</t>
  </si>
  <si>
    <t>Canada</t>
  </si>
  <si>
    <t>116</t>
  </si>
  <si>
    <t>National Lacrosse League</t>
  </si>
  <si>
    <t>Fulah</t>
  </si>
  <si>
    <t>A_FOOD_SPREAD</t>
  </si>
  <si>
    <t>Canary Islands</t>
  </si>
  <si>
    <t>120</t>
  </si>
  <si>
    <t>Scottish Football</t>
  </si>
  <si>
    <t>Lushai</t>
  </si>
  <si>
    <t>A_FOOD_SWEETNER</t>
  </si>
  <si>
    <t>Cape Verde</t>
  </si>
  <si>
    <t>122</t>
  </si>
  <si>
    <t>World Baseball Classic</t>
  </si>
  <si>
    <t>GalibiCarib</t>
  </si>
  <si>
    <t>A_FOOD_TEA</t>
  </si>
  <si>
    <t>Cayman Islands</t>
  </si>
  <si>
    <t>128</t>
  </si>
  <si>
    <t>More Football Leagues</t>
  </si>
  <si>
    <t>Niuean</t>
  </si>
  <si>
    <t>A_FOOD_VEGETABLE</t>
  </si>
  <si>
    <t>Central African Republic</t>
  </si>
  <si>
    <t>130</t>
  </si>
  <si>
    <t>LPGA</t>
  </si>
  <si>
    <t>Ojibwa</t>
  </si>
  <si>
    <t>A_GEN_NOTAX</t>
  </si>
  <si>
    <t>Chad</t>
  </si>
  <si>
    <t>134</t>
  </si>
  <si>
    <t>WNBA</t>
  </si>
  <si>
    <t>Bliss</t>
  </si>
  <si>
    <t>A_GEN_STANDARD</t>
  </si>
  <si>
    <t>Chile</t>
  </si>
  <si>
    <t>140</t>
  </si>
  <si>
    <t>JudeoArabic</t>
  </si>
  <si>
    <t>A_HLTH_NUTRITIONBAR</t>
  </si>
  <si>
    <t>146</t>
  </si>
  <si>
    <t>Komi</t>
  </si>
  <si>
    <t>A_HLTH_NUTRITIONDRINK</t>
  </si>
  <si>
    <t>Christmas Island</t>
  </si>
  <si>
    <t>150</t>
  </si>
  <si>
    <t>BandaLanguages</t>
  </si>
  <si>
    <t>A_HLTH_PILLCAPSULETABLET</t>
  </si>
  <si>
    <t>Cocos (Keeling) Islands</t>
  </si>
  <si>
    <t>152</t>
  </si>
  <si>
    <t>Caddo</t>
  </si>
  <si>
    <t>A_HLTH_SMOKINGCESSATION</t>
  </si>
  <si>
    <t>Colombia</t>
  </si>
  <si>
    <t>158</t>
  </si>
  <si>
    <t>KaraKalpak</t>
  </si>
  <si>
    <t>A_HLTH_SMOKINGGUM</t>
  </si>
  <si>
    <t>Comoros</t>
  </si>
  <si>
    <t>160</t>
  </si>
  <si>
    <t>Sukuma</t>
  </si>
  <si>
    <t>A_HLTH_VITAMINS</t>
  </si>
  <si>
    <t>Cook Islands</t>
  </si>
  <si>
    <t>164</t>
  </si>
  <si>
    <t>Tokelau</t>
  </si>
  <si>
    <t>A_HPC_CONTRACEPTIVE</t>
  </si>
  <si>
    <t>Costa Rica</t>
  </si>
  <si>
    <t>170</t>
  </si>
  <si>
    <t>Kimbundu</t>
  </si>
  <si>
    <t>A_HPC_DIETARYSUPPL</t>
  </si>
  <si>
    <t>Croatia</t>
  </si>
  <si>
    <t>176</t>
  </si>
  <si>
    <t>Mapudungun</t>
  </si>
  <si>
    <t>A_HPC_INCONTINENCE</t>
  </si>
  <si>
    <t>Cuba</t>
  </si>
  <si>
    <t>182</t>
  </si>
  <si>
    <t>Erzya</t>
  </si>
  <si>
    <t>A_HPC_MEDICINE</t>
  </si>
  <si>
    <t>Curaçao</t>
  </si>
  <si>
    <t>188</t>
  </si>
  <si>
    <t>Basa</t>
  </si>
  <si>
    <t>A_HPC_SANITARYPRODUCTS</t>
  </si>
  <si>
    <t>Cyprus</t>
  </si>
  <si>
    <t>Nyoro</t>
  </si>
  <si>
    <t>A_HPC_WALKINGSTICK</t>
  </si>
  <si>
    <t>Czech Republic</t>
  </si>
  <si>
    <t>6XS</t>
  </si>
  <si>
    <t>IroquoianLanguages</t>
  </si>
  <si>
    <t>A_OUTDOOR_FERTILIZER</t>
  </si>
  <si>
    <t>Democratic Republic of the Congo</t>
  </si>
  <si>
    <t>5XS</t>
  </si>
  <si>
    <t>SouthNdebele</t>
  </si>
  <si>
    <t>A_OUTDOOR_LAWNCONTROL</t>
  </si>
  <si>
    <t>Denmark</t>
  </si>
  <si>
    <t>4XS</t>
  </si>
  <si>
    <t>Beja</t>
  </si>
  <si>
    <t>A_OUTDOOR_PLANTFOOD</t>
  </si>
  <si>
    <t>Djibouti</t>
  </si>
  <si>
    <t>3XS</t>
  </si>
  <si>
    <t>Dakota</t>
  </si>
  <si>
    <t>A_OUTDOOR_PLANTS</t>
  </si>
  <si>
    <t>Dominica</t>
  </si>
  <si>
    <t>XXS</t>
  </si>
  <si>
    <t>Tigre</t>
  </si>
  <si>
    <t>A_OUTDOOR_SEEDS</t>
  </si>
  <si>
    <t>Dominican Republic</t>
  </si>
  <si>
    <t>XS</t>
  </si>
  <si>
    <t>ManoboLanguages</t>
  </si>
  <si>
    <t>A_BOOK_ADULT</t>
  </si>
  <si>
    <t>East Timor</t>
  </si>
  <si>
    <t>S</t>
  </si>
  <si>
    <t>Sandawe</t>
  </si>
  <si>
    <t>Ecuador</t>
  </si>
  <si>
    <t>Magahi</t>
  </si>
  <si>
    <t>Egypt</t>
  </si>
  <si>
    <t>L</t>
  </si>
  <si>
    <t>AthapascanLanguages</t>
  </si>
  <si>
    <t>El Salvador</t>
  </si>
  <si>
    <t>XL</t>
  </si>
  <si>
    <t>InariSami</t>
  </si>
  <si>
    <t>Equatorial Guinea</t>
  </si>
  <si>
    <t>XXL</t>
  </si>
  <si>
    <t>AltaicLanguages</t>
  </si>
  <si>
    <t>Eritrea</t>
  </si>
  <si>
    <t>3XL</t>
  </si>
  <si>
    <t>Hupa</t>
  </si>
  <si>
    <t>Estonia</t>
  </si>
  <si>
    <t>4XL</t>
  </si>
  <si>
    <t>Haida</t>
  </si>
  <si>
    <t>Ethiopia</t>
  </si>
  <si>
    <t>5XL</t>
  </si>
  <si>
    <t>WakashanLanguages</t>
  </si>
  <si>
    <t>Falkland Islands</t>
  </si>
  <si>
    <t>6XL</t>
  </si>
  <si>
    <t>Votic</t>
  </si>
  <si>
    <t>Faroe Islands</t>
  </si>
  <si>
    <t>7XL</t>
  </si>
  <si>
    <t>Haitian</t>
  </si>
  <si>
    <t>Fiji</t>
  </si>
  <si>
    <t>8XL</t>
  </si>
  <si>
    <t>OldSlavonic</t>
  </si>
  <si>
    <t>Finland</t>
  </si>
  <si>
    <t>9XL</t>
  </si>
  <si>
    <t>Grebo</t>
  </si>
  <si>
    <t>France</t>
  </si>
  <si>
    <t>10XL</t>
  </si>
  <si>
    <t>FrenchCreole</t>
  </si>
  <si>
    <t>French Guiana</t>
  </si>
  <si>
    <t>11XL</t>
  </si>
  <si>
    <t>Neapolitan</t>
  </si>
  <si>
    <t>French Polynesia</t>
  </si>
  <si>
    <t>12XL</t>
  </si>
  <si>
    <t>Mari</t>
  </si>
  <si>
    <t>French Southern Territories</t>
  </si>
  <si>
    <t>13XL</t>
  </si>
  <si>
    <t>Gondi</t>
  </si>
  <si>
    <t>Gabon</t>
  </si>
  <si>
    <t>14XL</t>
  </si>
  <si>
    <t>OldPersian</t>
  </si>
  <si>
    <t>Gambia</t>
  </si>
  <si>
    <t>15XL</t>
  </si>
  <si>
    <t>BamilekeLanguages</t>
  </si>
  <si>
    <t>Georgia</t>
  </si>
  <si>
    <t>16XL</t>
  </si>
  <si>
    <t>Manx</t>
  </si>
  <si>
    <t>Germany</t>
  </si>
  <si>
    <t>17XL</t>
  </si>
  <si>
    <t>Kanuri</t>
  </si>
  <si>
    <t>Ghana</t>
  </si>
  <si>
    <t>18XL</t>
  </si>
  <si>
    <t>Sasak</t>
  </si>
  <si>
    <t>Gibraltar</t>
  </si>
  <si>
    <t>Premature</t>
  </si>
  <si>
    <t>Zaza</t>
  </si>
  <si>
    <t>Great Britain</t>
  </si>
  <si>
    <t>0 Months</t>
  </si>
  <si>
    <t>OldHighGerman</t>
  </si>
  <si>
    <t>Greece</t>
  </si>
  <si>
    <t>3 Months</t>
  </si>
  <si>
    <t>Vai</t>
  </si>
  <si>
    <t>Greenland</t>
  </si>
  <si>
    <t>6 Months</t>
  </si>
  <si>
    <t>Tsimshian</t>
  </si>
  <si>
    <t>Grenada</t>
  </si>
  <si>
    <t>9 Months</t>
  </si>
  <si>
    <t>Gbaya</t>
  </si>
  <si>
    <t>Guadeloupe</t>
  </si>
  <si>
    <t>12 Months</t>
  </si>
  <si>
    <t>Venda</t>
  </si>
  <si>
    <t>Guam</t>
  </si>
  <si>
    <t>18 Months</t>
  </si>
  <si>
    <t>Nyamwezi</t>
  </si>
  <si>
    <t>Guatemala</t>
  </si>
  <si>
    <t>24 Months</t>
  </si>
  <si>
    <t>Efik</t>
  </si>
  <si>
    <t>Guernsey</t>
  </si>
  <si>
    <t>1 Year</t>
  </si>
  <si>
    <t>Nko</t>
  </si>
  <si>
    <t>Guinea</t>
  </si>
  <si>
    <t>2 Years</t>
  </si>
  <si>
    <t>Gayo</t>
  </si>
  <si>
    <t>Guinea-Bissau</t>
  </si>
  <si>
    <t>3 Years</t>
  </si>
  <si>
    <t>Papiamento</t>
  </si>
  <si>
    <t>Guyana</t>
  </si>
  <si>
    <t>4 Years</t>
  </si>
  <si>
    <t>Serer</t>
  </si>
  <si>
    <t>Haiti</t>
  </si>
  <si>
    <t>5 Years</t>
  </si>
  <si>
    <t>Nzima</t>
  </si>
  <si>
    <t>Heard and McDonald Islands</t>
  </si>
  <si>
    <t>6 Years</t>
  </si>
  <si>
    <t>Adangme</t>
  </si>
  <si>
    <t>Holy See (Vatican City)</t>
  </si>
  <si>
    <t>7 Years</t>
  </si>
  <si>
    <t>Aragonese</t>
  </si>
  <si>
    <t>Honduras</t>
  </si>
  <si>
    <t>8 Years</t>
  </si>
  <si>
    <t>NigerKordofanianLanguages</t>
  </si>
  <si>
    <t>Hong Kong</t>
  </si>
  <si>
    <t>9 Years</t>
  </si>
  <si>
    <t>MiddleIrish</t>
  </si>
  <si>
    <t>Hungary</t>
  </si>
  <si>
    <t>10 Years</t>
  </si>
  <si>
    <t>Soninke</t>
  </si>
  <si>
    <t>Iceland</t>
  </si>
  <si>
    <t>11 Years</t>
  </si>
  <si>
    <t>Rapanui</t>
  </si>
  <si>
    <t>India</t>
  </si>
  <si>
    <t>12 Years</t>
  </si>
  <si>
    <t>Tlingit</t>
  </si>
  <si>
    <t>Indonesia</t>
  </si>
  <si>
    <t>13 Years</t>
  </si>
  <si>
    <t>Kachin</t>
  </si>
  <si>
    <t>Iran</t>
  </si>
  <si>
    <t>14 Years</t>
  </si>
  <si>
    <t>AlgonquianLanguages</t>
  </si>
  <si>
    <t>Iraq</t>
  </si>
  <si>
    <t>15 Years</t>
  </si>
  <si>
    <t>Chuvash</t>
  </si>
  <si>
    <t>Ireland</t>
  </si>
  <si>
    <t>16 Years</t>
  </si>
  <si>
    <t>Fon</t>
  </si>
  <si>
    <t>Isle of Man</t>
  </si>
  <si>
    <t>17 Years</t>
  </si>
  <si>
    <t>Kamba</t>
  </si>
  <si>
    <t>Israel</t>
  </si>
  <si>
    <t>18 Years</t>
  </si>
  <si>
    <t>CushiticLanguages</t>
  </si>
  <si>
    <t>Italy</t>
  </si>
  <si>
    <t>Nias</t>
  </si>
  <si>
    <t>Ivory Coast</t>
  </si>
  <si>
    <t>SouthernSami</t>
  </si>
  <si>
    <t>Jamaica</t>
  </si>
  <si>
    <t>Ewe</t>
  </si>
  <si>
    <t>Japan</t>
  </si>
  <si>
    <t>Choctaw</t>
  </si>
  <si>
    <t>Jersey</t>
  </si>
  <si>
    <t>Luxembourgish</t>
  </si>
  <si>
    <t>Jordan</t>
  </si>
  <si>
    <t>ArtificialLanguages</t>
  </si>
  <si>
    <t>Kazakhstan</t>
  </si>
  <si>
    <t>Fang</t>
  </si>
  <si>
    <t>Kenya</t>
  </si>
  <si>
    <t>Gilbertese</t>
  </si>
  <si>
    <t>Kiribati</t>
  </si>
  <si>
    <t>Achinese</t>
  </si>
  <si>
    <t>Kuwait</t>
  </si>
  <si>
    <t>Arapaho</t>
  </si>
  <si>
    <t>Kyrgyzstan</t>
  </si>
  <si>
    <t>Yapese</t>
  </si>
  <si>
    <t>Laos</t>
  </si>
  <si>
    <t>Pahlavi</t>
  </si>
  <si>
    <t>Latvia</t>
  </si>
  <si>
    <t>Elamite</t>
  </si>
  <si>
    <t>Lebanon</t>
  </si>
  <si>
    <t>AfroAsiaticLanguages</t>
  </si>
  <si>
    <t>Lesotho</t>
  </si>
  <si>
    <t>Sardinian</t>
  </si>
  <si>
    <t>Liberia</t>
  </si>
  <si>
    <t>Chichewa</t>
  </si>
  <si>
    <t>Libya</t>
  </si>
  <si>
    <t>Kabyle</t>
  </si>
  <si>
    <t>Liechtenstein</t>
  </si>
  <si>
    <t>Mandingo</t>
  </si>
  <si>
    <t>Lithuania</t>
  </si>
  <si>
    <t>Angika</t>
  </si>
  <si>
    <t>Luxembourg</t>
  </si>
  <si>
    <t>Aromanian</t>
  </si>
  <si>
    <t>Macau</t>
  </si>
  <si>
    <t>Kumyk</t>
  </si>
  <si>
    <t>Macedonia</t>
  </si>
  <si>
    <t>Bini</t>
  </si>
  <si>
    <t>Madagascar</t>
  </si>
  <si>
    <t>LubaKatanga</t>
  </si>
  <si>
    <t>Malawi</t>
  </si>
  <si>
    <t>OldProvencal</t>
  </si>
  <si>
    <t>Malaysia</t>
  </si>
  <si>
    <t>TupiLanguages</t>
  </si>
  <si>
    <t>Maldives</t>
  </si>
  <si>
    <t>Pangasinan</t>
  </si>
  <si>
    <t>Mali</t>
  </si>
  <si>
    <t>Gwichin</t>
  </si>
  <si>
    <t>Malta</t>
  </si>
  <si>
    <t>Lamba</t>
  </si>
  <si>
    <t>Marshall Islands</t>
  </si>
  <si>
    <t>NepalBhasa</t>
  </si>
  <si>
    <t>Martinique</t>
  </si>
  <si>
    <t>Tiv</t>
  </si>
  <si>
    <t>Mauritania</t>
  </si>
  <si>
    <t>Pedi</t>
  </si>
  <si>
    <t>Mauritius</t>
  </si>
  <si>
    <t>Cree</t>
  </si>
  <si>
    <t>Mayotte</t>
  </si>
  <si>
    <t>Kutenai</t>
  </si>
  <si>
    <t>Mexico</t>
  </si>
  <si>
    <t>Gorontalo</t>
  </si>
  <si>
    <t>Micronesia</t>
  </si>
  <si>
    <t>PhilippineLanguages</t>
  </si>
  <si>
    <t>Moldova</t>
  </si>
  <si>
    <t>Luiseno</t>
  </si>
  <si>
    <t>Monaco</t>
  </si>
  <si>
    <t>OldNorse</t>
  </si>
  <si>
    <t>Mongolia</t>
  </si>
  <si>
    <t>LubaLulua</t>
  </si>
  <si>
    <t>Montenegro</t>
  </si>
  <si>
    <t>Karelian</t>
  </si>
  <si>
    <t>Montserrat</t>
  </si>
  <si>
    <t>Tereno</t>
  </si>
  <si>
    <t>Morocco</t>
  </si>
  <si>
    <t>Ewondo</t>
  </si>
  <si>
    <t>Mozambique</t>
  </si>
  <si>
    <t>Mandar</t>
  </si>
  <si>
    <t>Namibia</t>
  </si>
  <si>
    <t>LandDayakLanguages</t>
  </si>
  <si>
    <t>Nauru</t>
  </si>
  <si>
    <t>Pohnpeian</t>
  </si>
  <si>
    <t>Nepal</t>
  </si>
  <si>
    <t>Duala</t>
  </si>
  <si>
    <t>Netherlands</t>
  </si>
  <si>
    <t>IranianLanguages</t>
  </si>
  <si>
    <t>Netherlands Antilles</t>
  </si>
  <si>
    <t>Zenaga</t>
  </si>
  <si>
    <t>New Caledonia</t>
  </si>
  <si>
    <t>SiouanLanguages</t>
  </si>
  <si>
    <t>New Zealand</t>
  </si>
  <si>
    <t>Umbundu</t>
  </si>
  <si>
    <t>Nicaragua</t>
  </si>
  <si>
    <t>Yao</t>
  </si>
  <si>
    <t>Niger</t>
  </si>
  <si>
    <t>TaiLanguages</t>
  </si>
  <si>
    <t>Nigeria</t>
  </si>
  <si>
    <t>Blin</t>
  </si>
  <si>
    <t>Niue</t>
  </si>
  <si>
    <t>Phoenician</t>
  </si>
  <si>
    <t>Norfolk Island</t>
  </si>
  <si>
    <t>EasternFrisian</t>
  </si>
  <si>
    <t>North Korea</t>
  </si>
  <si>
    <t>TokPisin</t>
  </si>
  <si>
    <t>Northern Mariana Islands</t>
  </si>
  <si>
    <t>Sogdian</t>
  </si>
  <si>
    <t>Norway</t>
  </si>
  <si>
    <t>Chipewyan</t>
  </si>
  <si>
    <t>Oman</t>
  </si>
  <si>
    <t>Buginese</t>
  </si>
  <si>
    <t>Pakistan</t>
  </si>
  <si>
    <t>PrakritLanguages</t>
  </si>
  <si>
    <t>Palau</t>
  </si>
  <si>
    <t>Ugaritic</t>
  </si>
  <si>
    <t>Palestinian Territory</t>
  </si>
  <si>
    <t>Palauan</t>
  </si>
  <si>
    <t>Panama</t>
  </si>
  <si>
    <t>Lozi</t>
  </si>
  <si>
    <t>Papua New Guinea</t>
  </si>
  <si>
    <t>Ossetian</t>
  </si>
  <si>
    <t>Paraguay</t>
  </si>
  <si>
    <t>IjoLanguages</t>
  </si>
  <si>
    <t>Peru</t>
  </si>
  <si>
    <t>Aleut</t>
  </si>
  <si>
    <t>Philippines</t>
  </si>
  <si>
    <t>Mossi</t>
  </si>
  <si>
    <t>Pitcairn Islands</t>
  </si>
  <si>
    <t>Dhivehi</t>
  </si>
  <si>
    <t>Poland</t>
  </si>
  <si>
    <t>Kosraean</t>
  </si>
  <si>
    <t>Portugal</t>
  </si>
  <si>
    <t>Kpelle</t>
  </si>
  <si>
    <t>Puerto Rico</t>
  </si>
  <si>
    <t>Fanti</t>
  </si>
  <si>
    <t>Qatar</t>
  </si>
  <si>
    <t>LowGerman</t>
  </si>
  <si>
    <t>Republic of the Congo</t>
  </si>
  <si>
    <t>Kawi</t>
  </si>
  <si>
    <t>Reunion</t>
  </si>
  <si>
    <t>SrananTongo</t>
  </si>
  <si>
    <t>Romania</t>
  </si>
  <si>
    <t>Lahnda</t>
  </si>
  <si>
    <t>Russia</t>
  </si>
  <si>
    <t>NorthernSami</t>
  </si>
  <si>
    <t>Rwanda</t>
  </si>
  <si>
    <t>Afrihili</t>
  </si>
  <si>
    <t>S. Georgia and S. Sandwich Isls.</t>
  </si>
  <si>
    <t>Asturian</t>
  </si>
  <si>
    <t>Saint Barthelemy</t>
  </si>
  <si>
    <t>Cebuano</t>
  </si>
  <si>
    <t>Saint Helena</t>
  </si>
  <si>
    <t>Nyankole</t>
  </si>
  <si>
    <t>Saint Kitts And Nevis</t>
  </si>
  <si>
    <t>Tamashek</t>
  </si>
  <si>
    <t>Saint Lucia</t>
  </si>
  <si>
    <t>Ekajuk</t>
  </si>
  <si>
    <t>Saint Martin</t>
  </si>
  <si>
    <t>OtomianLanguages</t>
  </si>
  <si>
    <t>Saint Pierre and Miquelon</t>
  </si>
  <si>
    <t>Madurese</t>
  </si>
  <si>
    <t>Saint Vincent And The Grenadines</t>
  </si>
  <si>
    <t>Bemba</t>
  </si>
  <si>
    <t>Saint-Martin</t>
  </si>
  <si>
    <t>Sidamo</t>
  </si>
  <si>
    <t>Samoa</t>
  </si>
  <si>
    <t>Kabardian</t>
  </si>
  <si>
    <t>San Marino</t>
  </si>
  <si>
    <t>Osage</t>
  </si>
  <si>
    <t>Sao Tome And Principe</t>
  </si>
  <si>
    <t>Walloon</t>
  </si>
  <si>
    <t>Saudi Arabia</t>
  </si>
  <si>
    <t>Walamo</t>
  </si>
  <si>
    <t>Senegal</t>
  </si>
  <si>
    <t>YupikLanguages</t>
  </si>
  <si>
    <t>Serbia</t>
  </si>
  <si>
    <t>Minangkabau</t>
  </si>
  <si>
    <t>Serbia and Montenegro</t>
  </si>
  <si>
    <t>CentralAmericanIndianLanguages</t>
  </si>
  <si>
    <t>Seychelles</t>
  </si>
  <si>
    <t>SalishanLanguages</t>
  </si>
  <si>
    <t>Sierra Leone</t>
  </si>
  <si>
    <t>PortugueseCreole</t>
  </si>
  <si>
    <t>Singapore</t>
  </si>
  <si>
    <t>Friulian</t>
  </si>
  <si>
    <t>Slovakia</t>
  </si>
  <si>
    <t>Washo</t>
  </si>
  <si>
    <t>Slovenia</t>
  </si>
  <si>
    <t>Micmac</t>
  </si>
  <si>
    <t>Solomon Islands</t>
  </si>
  <si>
    <t>Chamorro</t>
  </si>
  <si>
    <t>Somalia</t>
  </si>
  <si>
    <t>Akkadian</t>
  </si>
  <si>
    <t>South Africa</t>
  </si>
  <si>
    <t>Avestan</t>
  </si>
  <si>
    <t>South Korea</t>
  </si>
  <si>
    <t>Dogrib</t>
  </si>
  <si>
    <t>South Sudan</t>
  </si>
  <si>
    <t>ClassicalSyriac</t>
  </si>
  <si>
    <t>Spain</t>
  </si>
  <si>
    <t>Chibcha</t>
  </si>
  <si>
    <t>Sri Lanka</t>
  </si>
  <si>
    <t>Tumbuka</t>
  </si>
  <si>
    <t>Sudan</t>
  </si>
  <si>
    <t>Kurukh</t>
  </si>
  <si>
    <t>Suriname</t>
  </si>
  <si>
    <t>JudeoPersian</t>
  </si>
  <si>
    <t>Svalbard</t>
  </si>
  <si>
    <t>Baluchi</t>
  </si>
  <si>
    <t>Swaziland</t>
  </si>
  <si>
    <t>TongaNyasa</t>
  </si>
  <si>
    <t>Sweden</t>
  </si>
  <si>
    <t>MiddleDutch</t>
  </si>
  <si>
    <t>Switzerland</t>
  </si>
  <si>
    <t>Avaric</t>
  </si>
  <si>
    <t>Syria</t>
  </si>
  <si>
    <t>BalticLanguages</t>
  </si>
  <si>
    <t>Taiwan</t>
  </si>
  <si>
    <t>Hiligaynon</t>
  </si>
  <si>
    <t>Tajikistan</t>
  </si>
  <si>
    <t>Gothic</t>
  </si>
  <si>
    <t>Tanzania</t>
  </si>
  <si>
    <t>Selkup</t>
  </si>
  <si>
    <t>Thailand</t>
  </si>
  <si>
    <t>Delaware</t>
  </si>
  <si>
    <t>Timor-Leste</t>
  </si>
  <si>
    <t>SkoltSami</t>
  </si>
  <si>
    <t>Togo</t>
  </si>
  <si>
    <t>LuleSami</t>
  </si>
  <si>
    <t>Cherokee</t>
  </si>
  <si>
    <t>Tonga</t>
  </si>
  <si>
    <t>Herero</t>
  </si>
  <si>
    <t>Trinidad And Tobago</t>
  </si>
  <si>
    <t>NorwegianBokmal</t>
  </si>
  <si>
    <t>Tristan da Cunha</t>
  </si>
  <si>
    <t>Timne</t>
  </si>
  <si>
    <t>Tunisia</t>
  </si>
  <si>
    <t>Ga</t>
  </si>
  <si>
    <t>Turkey</t>
  </si>
  <si>
    <t>NorwegianNynorsk</t>
  </si>
  <si>
    <t>Turkmenistan</t>
  </si>
  <si>
    <t>SlaveAthapascan</t>
  </si>
  <si>
    <t>Turks And Caicos Islands</t>
  </si>
  <si>
    <t>Arawak</t>
  </si>
  <si>
    <t>HimachaliLanguages</t>
  </si>
  <si>
    <t>Uganda</t>
  </si>
  <si>
    <t>Shan</t>
  </si>
  <si>
    <t>Ukraine</t>
  </si>
  <si>
    <t>Bikol</t>
  </si>
  <si>
    <t>United Arab Emirates</t>
  </si>
  <si>
    <t>ApacheLanguages</t>
  </si>
  <si>
    <t>United States</t>
  </si>
  <si>
    <t>SouthAmericanIndian</t>
  </si>
  <si>
    <t>Uruguay</t>
  </si>
  <si>
    <t>Acoli</t>
  </si>
  <si>
    <t>US Minor Outlying Islands</t>
  </si>
  <si>
    <t>Limburgan</t>
  </si>
  <si>
    <t>US Virgin Islands</t>
  </si>
  <si>
    <t>Ainu</t>
  </si>
  <si>
    <t>Uzbekistan</t>
  </si>
  <si>
    <t>Zuni</t>
  </si>
  <si>
    <t>Vanuatu</t>
  </si>
  <si>
    <t>Susu</t>
  </si>
  <si>
    <t>Venezuela</t>
  </si>
  <si>
    <t>NorthAmericanIndianLanguages</t>
  </si>
  <si>
    <t>Vietnam</t>
  </si>
  <si>
    <t>Chuukese</t>
  </si>
  <si>
    <t>Wallis and Futuna</t>
  </si>
  <si>
    <t>Khotanese</t>
  </si>
  <si>
    <t>WD</t>
  </si>
  <si>
    <t>AustralianLanguages</t>
  </si>
  <si>
    <t>Western Sahara</t>
  </si>
  <si>
    <t>Tetum</t>
  </si>
  <si>
    <t>WZ</t>
  </si>
  <si>
    <t>ChinookJargon</t>
  </si>
  <si>
    <t>XB</t>
  </si>
  <si>
    <t>Iloko</t>
  </si>
  <si>
    <t>XC</t>
  </si>
  <si>
    <t>Akan</t>
  </si>
  <si>
    <t>XE</t>
  </si>
  <si>
    <t>ZandeLanguages</t>
  </si>
  <si>
    <t>XK</t>
  </si>
  <si>
    <t>Waray</t>
  </si>
  <si>
    <t>XM</t>
  </si>
  <si>
    <t>Zapotec</t>
  </si>
  <si>
    <t>XN</t>
  </si>
  <si>
    <t>Ganda</t>
  </si>
  <si>
    <t>XY</t>
  </si>
  <si>
    <t>Ido</t>
  </si>
  <si>
    <t>Yemen</t>
  </si>
  <si>
    <t>SemiticLanguages</t>
  </si>
  <si>
    <t>Yugoslavia</t>
  </si>
  <si>
    <t>Iban</t>
  </si>
  <si>
    <t>Zaire</t>
  </si>
  <si>
    <t>MonKhmerLanguages</t>
  </si>
  <si>
    <t>Zambia</t>
  </si>
  <si>
    <t>KhoisanLanguages</t>
  </si>
  <si>
    <t>Zimbabwe</t>
  </si>
  <si>
    <t>Coptic</t>
  </si>
  <si>
    <t>SouthernAltai</t>
  </si>
  <si>
    <t>Makasar</t>
  </si>
  <si>
    <t>NubianLanguages</t>
  </si>
  <si>
    <t>ChamicLanguages</t>
  </si>
  <si>
    <t>OttomanTurkish</t>
  </si>
  <si>
    <t>KruLanguages</t>
  </si>
  <si>
    <t>GermanicLanguages</t>
  </si>
  <si>
    <t>Geez</t>
  </si>
  <si>
    <t>Lunda</t>
  </si>
  <si>
    <t>Konkani</t>
  </si>
  <si>
    <t>Mizo</t>
  </si>
  <si>
    <t>Igbo</t>
  </si>
  <si>
    <t>Sami</t>
  </si>
  <si>
    <t>Khasi</t>
  </si>
  <si>
    <t>Chhattisgarhi</t>
  </si>
  <si>
    <t>Santali</t>
  </si>
  <si>
    <t>Bodo</t>
  </si>
  <si>
    <t>Garo</t>
  </si>
  <si>
    <t>Kokborok</t>
  </si>
  <si>
    <t>Manipuri</t>
  </si>
  <si>
    <t>None</t>
  </si>
  <si>
    <t>AmericanSignLanguage</t>
  </si>
  <si>
    <t>Yugoslavian</t>
  </si>
  <si>
    <t>AfghanPashtu</t>
  </si>
  <si>
    <t>GaelicScots</t>
  </si>
  <si>
    <t>Pali</t>
  </si>
  <si>
    <t>Scots</t>
  </si>
  <si>
    <t>ScotsGaelic</t>
  </si>
  <si>
    <t>Bashkir</t>
  </si>
  <si>
    <t>Sicilian</t>
  </si>
  <si>
    <t>Greenlandic</t>
  </si>
  <si>
    <t>Buryat</t>
  </si>
  <si>
    <t>Cayuga</t>
  </si>
  <si>
    <t>Sundanese</t>
  </si>
  <si>
    <t>AncientGreek</t>
  </si>
  <si>
    <t>KarachayBalkar</t>
  </si>
  <si>
    <t>Amharic</t>
  </si>
  <si>
    <t>Kikuyu</t>
  </si>
  <si>
    <t>Uzbek</t>
  </si>
  <si>
    <t>Punjabi</t>
  </si>
  <si>
    <t>Chiricahua</t>
  </si>
  <si>
    <t>Lojban</t>
  </si>
  <si>
    <t>Mirandese</t>
  </si>
  <si>
    <t>Byelorussian</t>
  </si>
  <si>
    <t>Lingala</t>
  </si>
  <si>
    <t>Xhosa</t>
  </si>
  <si>
    <t>Afar</t>
  </si>
  <si>
    <t>Chechen</t>
  </si>
  <si>
    <t>Romany</t>
  </si>
  <si>
    <t>Multilingual</t>
  </si>
  <si>
    <t>Sesotho</t>
  </si>
  <si>
    <t>Kalmyk</t>
  </si>
  <si>
    <t>Bhutani</t>
  </si>
  <si>
    <t>Azerbaijani</t>
  </si>
  <si>
    <t>Mohawk</t>
  </si>
  <si>
    <t>Faroese</t>
  </si>
  <si>
    <t>Kirundi</t>
  </si>
  <si>
    <t>Vietnamese</t>
  </si>
  <si>
    <t>Zhuang</t>
  </si>
  <si>
    <t>Bantu</t>
  </si>
  <si>
    <t>Bhojpuri</t>
  </si>
  <si>
    <t>Oriya</t>
  </si>
  <si>
    <t>Albanian</t>
  </si>
  <si>
    <t>IndoEuropean</t>
  </si>
  <si>
    <t>Kannada</t>
  </si>
  <si>
    <t>Quechua</t>
  </si>
  <si>
    <t>Catalan</t>
  </si>
  <si>
    <t>Indic</t>
  </si>
  <si>
    <t>Syriac</t>
  </si>
  <si>
    <t>Tamil</t>
  </si>
  <si>
    <t>Kinyarwanda</t>
  </si>
  <si>
    <t>Kalaallisut</t>
  </si>
  <si>
    <t>Arabic</t>
  </si>
  <si>
    <t>Javanese</t>
  </si>
  <si>
    <t>Dari</t>
  </si>
  <si>
    <t>Esperanto</t>
  </si>
  <si>
    <t>SwissGerman</t>
  </si>
  <si>
    <t>Hausa</t>
  </si>
  <si>
    <t>CantoneseChinese</t>
  </si>
  <si>
    <t>Irish</t>
  </si>
  <si>
    <t>PigLatin</t>
  </si>
  <si>
    <t>Udmurt</t>
  </si>
  <si>
    <t>Hokkien</t>
  </si>
  <si>
    <t>Chagatai</t>
  </si>
  <si>
    <t>Tatar</t>
  </si>
  <si>
    <t>Turkish</t>
  </si>
  <si>
    <t>Burmese</t>
  </si>
  <si>
    <t>Russian</t>
  </si>
  <si>
    <t>Tahitian</t>
  </si>
  <si>
    <t>Norwegian</t>
  </si>
  <si>
    <t>Sinhalese</t>
  </si>
  <si>
    <t>Croatian</t>
  </si>
  <si>
    <t>OldEnglish</t>
  </si>
  <si>
    <t>FrenchCanadian</t>
  </si>
  <si>
    <t>Maori</t>
  </si>
  <si>
    <t>Romansch</t>
  </si>
  <si>
    <t>Kazakh</t>
  </si>
  <si>
    <t>Mayan</t>
  </si>
  <si>
    <t>Volapuk</t>
  </si>
  <si>
    <t>Moksha</t>
  </si>
  <si>
    <t>Kashmiri</t>
  </si>
  <si>
    <t>SignLanguage</t>
  </si>
  <si>
    <t>Persian</t>
  </si>
  <si>
    <t>Filipino</t>
  </si>
  <si>
    <t>Malayalam</t>
  </si>
  <si>
    <t>Cambodian</t>
  </si>
  <si>
    <t>Wolof</t>
  </si>
  <si>
    <t>Malagasy</t>
  </si>
  <si>
    <t>Austronesian</t>
  </si>
  <si>
    <t>Armenian</t>
  </si>
  <si>
    <t>Twi</t>
  </si>
  <si>
    <t>Samoan</t>
  </si>
  <si>
    <t>Mongo</t>
  </si>
  <si>
    <t>Alsatian</t>
  </si>
  <si>
    <t>Moldavian</t>
  </si>
  <si>
    <t>NorthNdebele</t>
  </si>
  <si>
    <t>Inuktitun</t>
  </si>
  <si>
    <t>Balinese</t>
  </si>
  <si>
    <t>Latin</t>
  </si>
  <si>
    <t>Dinka</t>
  </si>
  <si>
    <t>Interlingue</t>
  </si>
  <si>
    <t>Gibberish</t>
  </si>
  <si>
    <t>Awadhi</t>
  </si>
  <si>
    <t>Ndonga</t>
  </si>
  <si>
    <t>Aymara</t>
  </si>
  <si>
    <t>ClassicalNewari</t>
  </si>
  <si>
    <t>Tsonga</t>
  </si>
  <si>
    <t>Kashubian</t>
  </si>
  <si>
    <t>Flemish</t>
  </si>
  <si>
    <t>Turkmen</t>
  </si>
  <si>
    <t>Hebrew</t>
  </si>
  <si>
    <t>Bribri</t>
  </si>
  <si>
    <t>Creek</t>
  </si>
  <si>
    <t>Tagalog</t>
  </si>
  <si>
    <t>Dzongkha</t>
  </si>
  <si>
    <t>Dogri</t>
  </si>
  <si>
    <t>Occitan</t>
  </si>
  <si>
    <t>Tzeltal</t>
  </si>
  <si>
    <t>Uighur</t>
  </si>
  <si>
    <t>Tibetan</t>
  </si>
  <si>
    <t>Bambara</t>
  </si>
  <si>
    <t>Slavic</t>
  </si>
  <si>
    <t>Tuvinian</t>
  </si>
  <si>
    <t>Gallegan</t>
  </si>
  <si>
    <t>Ladino</t>
  </si>
  <si>
    <t>Cornish</t>
  </si>
  <si>
    <t>Interlingua</t>
  </si>
  <si>
    <t>Bislama</t>
  </si>
  <si>
    <t>Dargwa</t>
  </si>
  <si>
    <t>SichuanYi</t>
  </si>
  <si>
    <t>Tigrinya</t>
  </si>
  <si>
    <t>Creole</t>
  </si>
  <si>
    <t>Inupiaq</t>
  </si>
  <si>
    <t>Lao</t>
  </si>
  <si>
    <t>Aramaic</t>
  </si>
  <si>
    <t>Khmer</t>
  </si>
  <si>
    <t>Telugu</t>
  </si>
  <si>
    <t>Icelandic</t>
  </si>
  <si>
    <t>Gujarati</t>
  </si>
  <si>
    <t>Inupiak</t>
  </si>
  <si>
    <t>Sindhi</t>
  </si>
  <si>
    <t>LowerSorbian</t>
  </si>
  <si>
    <t>MiddleEnglish</t>
  </si>
  <si>
    <t>Batak</t>
  </si>
  <si>
    <t>MiddleFrench</t>
  </si>
  <si>
    <t>Romance</t>
  </si>
  <si>
    <t>Marwari</t>
  </si>
  <si>
    <t>Kirghiz</t>
  </si>
  <si>
    <t>Shona</t>
  </si>
  <si>
    <t>Adygei</t>
  </si>
  <si>
    <t>Assyrian</t>
  </si>
  <si>
    <t>Breton</t>
  </si>
  <si>
    <t>Macedonian</t>
  </si>
  <si>
    <t>Kurdish</t>
  </si>
  <si>
    <t>Klingon</t>
  </si>
  <si>
    <t>Rajasthani</t>
  </si>
  <si>
    <t>Maithili</t>
  </si>
  <si>
    <t>Pashto</t>
  </si>
  <si>
    <t>Ukrainian</t>
  </si>
  <si>
    <t>Frisian</t>
  </si>
  <si>
    <t>Tajik</t>
  </si>
  <si>
    <t>Yakut</t>
  </si>
  <si>
    <t>Zulu</t>
  </si>
  <si>
    <t>Jula</t>
  </si>
  <si>
    <t>Bengali</t>
  </si>
  <si>
    <t>Braj</t>
  </si>
  <si>
    <t>Castillian</t>
  </si>
  <si>
    <t>Korean</t>
  </si>
  <si>
    <t>Guarani</t>
  </si>
  <si>
    <t>Corsican</t>
  </si>
  <si>
    <t>Serbo-Croatian</t>
  </si>
  <si>
    <t>Ukranian</t>
  </si>
  <si>
    <t>MiddleHighGerman</t>
  </si>
  <si>
    <t>Somali</t>
  </si>
  <si>
    <t>Nogai</t>
  </si>
  <si>
    <t>Oromo</t>
  </si>
  <si>
    <t>SorbianLanguages</t>
  </si>
  <si>
    <t>Sumerian</t>
  </si>
  <si>
    <t>SinoTibetan</t>
  </si>
  <si>
    <t>Sangho</t>
  </si>
  <si>
    <t>SouthernSotho</t>
  </si>
  <si>
    <t>Nepali</t>
  </si>
  <si>
    <t>Mende</t>
  </si>
  <si>
    <t>Lapp</t>
  </si>
  <si>
    <t>Ingush</t>
  </si>
  <si>
    <t>Marathi</t>
  </si>
  <si>
    <t>Assamese</t>
  </si>
  <si>
    <t>Indonesian</t>
  </si>
  <si>
    <t>Slovakian</t>
  </si>
  <si>
    <t>Swahili</t>
  </si>
  <si>
    <t>Samaritan</t>
  </si>
  <si>
    <t>Setswana</t>
  </si>
  <si>
    <t>Abkhazian</t>
  </si>
  <si>
    <t>Yoruba</t>
  </si>
  <si>
    <t>Luo</t>
  </si>
  <si>
    <t>MandarinChinese</t>
  </si>
  <si>
    <t>Hindi</t>
  </si>
  <si>
    <t>Sanskrit</t>
  </si>
  <si>
    <t>Siswati</t>
  </si>
  <si>
    <t>Thai</t>
  </si>
  <si>
    <t>Galician</t>
  </si>
  <si>
    <t>OldFrench</t>
  </si>
  <si>
    <t>FinnoUgrian</t>
  </si>
  <si>
    <t>Bosnian</t>
  </si>
  <si>
    <t>Hmong</t>
  </si>
  <si>
    <t>Maltese</t>
  </si>
  <si>
    <t>Welsh</t>
  </si>
  <si>
    <t>Navaho</t>
  </si>
  <si>
    <t>Mongolian</t>
  </si>
  <si>
    <t>Bihari</t>
  </si>
  <si>
    <t>Yiddish</t>
  </si>
  <si>
    <t>Georgian</t>
  </si>
  <si>
    <t>Farsi</t>
  </si>
  <si>
    <t>Kuanyama</t>
  </si>
  <si>
    <t>Malay</t>
  </si>
  <si>
    <t>CrimeanTatar</t>
  </si>
  <si>
    <t>Afrikaans</t>
  </si>
  <si>
    <t>Serbian</t>
  </si>
  <si>
    <t>Urdu</t>
  </si>
  <si>
    <t>Inuktitut</t>
  </si>
  <si>
    <t>Berber</t>
  </si>
  <si>
    <t>Gullah</t>
  </si>
  <si>
    <t>TaiwaneseChinese</t>
  </si>
  <si>
    <t>Basque</t>
  </si>
  <si>
    <t>Marshallese</t>
  </si>
  <si>
    <t>Hawaiian</t>
  </si>
  <si>
    <t>Cheyenne</t>
  </si>
  <si>
    <t>business_price</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</si>
</sst>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 numFmtId="177" formatCode="mmmm\ d\,\ yyyy\ \-\ h:mm:ss\ AM/PM;@"/>
    <numFmt numFmtId="178" formatCode="mmmm\ d\,\ yyyy\ h:mmAM/PM"/>
  </numFmts>
  <fonts count="58">
    <font>
      <sz val="11"/>
      <color indexed="8"/>
      <name val="DengXian"/>
      <charset val="134"/>
      <scheme val="minor"/>
    </font>
    <font>
      <sz val="11"/>
      <color indexed="8"/>
      <name val="Calibri"/>
      <charset val="134"/>
    </font>
    <font>
      <sz val="10"/>
      <name val="Arial"/>
      <charset val="134"/>
    </font>
    <font>
      <b/>
      <sz val="11"/>
      <color rgb="FF000000"/>
      <name val="Calibri"/>
      <charset val="134"/>
    </font>
    <font>
      <sz val="11"/>
      <color rgb="FF000000"/>
      <name val="Calibri"/>
      <charset val="134"/>
    </font>
    <font>
      <sz val="11"/>
      <color theme="1"/>
      <name val="DengXian"/>
      <charset val="134"/>
      <scheme val="minor"/>
    </font>
    <font>
      <u/>
      <sz val="11"/>
      <color rgb="FF800080"/>
      <name val="DengXian"/>
      <charset val="134"/>
      <scheme val="minor"/>
    </font>
    <font>
      <u/>
      <sz val="11"/>
      <color theme="10"/>
      <name val="DengXian"/>
      <charset val="134"/>
      <scheme val="minor"/>
    </font>
    <font>
      <sz val="10"/>
      <color indexed="8"/>
      <name val="Arial"/>
      <charset val="134"/>
    </font>
    <font>
      <sz val="10.5"/>
      <color rgb="FF111F2C"/>
      <name val="Segoe UI"/>
      <charset val="134"/>
    </font>
    <font>
      <sz val="11"/>
      <name val="DengXian"/>
      <charset val="134"/>
      <scheme val="minor"/>
    </font>
    <font>
      <sz val="18"/>
      <color theme="1"/>
      <name val="Verdana"/>
      <charset val="134"/>
    </font>
    <font>
      <b/>
      <sz val="11"/>
      <color theme="1"/>
      <name val="Verdana"/>
      <charset val="134"/>
    </font>
    <font>
      <sz val="11"/>
      <color theme="1"/>
      <name val="Verdana"/>
      <charset val="134"/>
    </font>
    <font>
      <sz val="10"/>
      <name val="Verdana"/>
      <charset val="134"/>
    </font>
    <font>
      <b/>
      <sz val="10"/>
      <color indexed="30"/>
      <name val="Verdana"/>
      <charset val="134"/>
    </font>
    <font>
      <b/>
      <sz val="10"/>
      <color indexed="10"/>
      <name val="Verdana"/>
      <charset val="134"/>
    </font>
    <font>
      <sz val="10"/>
      <color indexed="10"/>
      <name val="Arial"/>
      <charset val="134"/>
    </font>
    <font>
      <b/>
      <sz val="10"/>
      <name val="Verdana"/>
      <charset val="134"/>
    </font>
    <font>
      <sz val="10"/>
      <color indexed="30"/>
      <name val="Arial"/>
      <charset val="134"/>
    </font>
    <font>
      <u/>
      <sz val="11"/>
      <color rgb="FF800080"/>
      <name val="DengXian"/>
      <charset val="0"/>
      <scheme val="minor"/>
    </font>
    <font>
      <sz val="11"/>
      <color rgb="FFFF0000"/>
      <name val="DengXian"/>
      <charset val="0"/>
      <scheme val="minor"/>
    </font>
    <font>
      <b/>
      <sz val="18"/>
      <color theme="3"/>
      <name val="DengXian"/>
      <charset val="134"/>
      <scheme val="minor"/>
    </font>
    <font>
      <i/>
      <sz val="11"/>
      <color rgb="FF7F7F7F"/>
      <name val="DengXian"/>
      <charset val="0"/>
      <scheme val="minor"/>
    </font>
    <font>
      <b/>
      <sz val="15"/>
      <color theme="3"/>
      <name val="DengXian"/>
      <charset val="134"/>
      <scheme val="minor"/>
    </font>
    <font>
      <b/>
      <sz val="13"/>
      <color theme="3"/>
      <name val="DengXian"/>
      <charset val="134"/>
      <scheme val="minor"/>
    </font>
    <font>
      <b/>
      <sz val="11"/>
      <color theme="3"/>
      <name val="DengXian"/>
      <charset val="134"/>
      <scheme val="minor"/>
    </font>
    <font>
      <sz val="11"/>
      <color rgb="FF3F3F76"/>
      <name val="DengXian"/>
      <charset val="0"/>
      <scheme val="minor"/>
    </font>
    <font>
      <b/>
      <sz val="11"/>
      <color rgb="FF3F3F3F"/>
      <name val="DengXian"/>
      <charset val="0"/>
      <scheme val="minor"/>
    </font>
    <font>
      <b/>
      <sz val="11"/>
      <color rgb="FFFA7D00"/>
      <name val="DengXian"/>
      <charset val="0"/>
      <scheme val="minor"/>
    </font>
    <font>
      <b/>
      <sz val="11"/>
      <color rgb="FFFFFFFF"/>
      <name val="DengXian"/>
      <charset val="0"/>
      <scheme val="minor"/>
    </font>
    <font>
      <sz val="11"/>
      <color rgb="FFFA7D00"/>
      <name val="DengXian"/>
      <charset val="0"/>
      <scheme val="minor"/>
    </font>
    <font>
      <b/>
      <sz val="11"/>
      <color theme="1"/>
      <name val="DengXian"/>
      <charset val="0"/>
      <scheme val="minor"/>
    </font>
    <font>
      <sz val="11"/>
      <color rgb="FF006100"/>
      <name val="DengXian"/>
      <charset val="0"/>
      <scheme val="minor"/>
    </font>
    <font>
      <sz val="11"/>
      <color rgb="FF9C0006"/>
      <name val="DengXian"/>
      <charset val="0"/>
      <scheme val="minor"/>
    </font>
    <font>
      <sz val="11"/>
      <color rgb="FF9C6500"/>
      <name val="DengXian"/>
      <charset val="0"/>
      <scheme val="minor"/>
    </font>
    <font>
      <sz val="11"/>
      <color theme="0"/>
      <name val="DengXian"/>
      <charset val="0"/>
      <scheme val="minor"/>
    </font>
    <font>
      <sz val="11"/>
      <color theme="1"/>
      <name val="DengXian"/>
      <charset val="0"/>
      <scheme val="minor"/>
    </font>
    <font>
      <i/>
      <sz val="11"/>
      <color theme="1"/>
      <name val="Verdana"/>
      <charset val="134"/>
    </font>
    <font>
      <b/>
      <i/>
      <sz val="9"/>
      <name val="Arial"/>
      <charset val="134"/>
    </font>
    <font>
      <i/>
      <sz val="8"/>
      <color indexed="24"/>
      <name val="Arial"/>
      <charset val="134"/>
    </font>
    <font>
      <b/>
      <u/>
      <sz val="12"/>
      <color indexed="10"/>
      <name val="Arial"/>
      <charset val="134"/>
    </font>
    <font>
      <i/>
      <sz val="8"/>
      <color indexed="39"/>
      <name val="Verdana"/>
      <charset val="134"/>
    </font>
    <font>
      <sz val="8"/>
      <name val="Arial"/>
      <charset val="134"/>
    </font>
    <font>
      <b/>
      <sz val="9"/>
      <color indexed="24"/>
      <name val="Arial"/>
      <charset val="134"/>
    </font>
    <font>
      <i/>
      <sz val="8"/>
      <name val="Verdana"/>
      <charset val="134"/>
    </font>
    <font>
      <b/>
      <i/>
      <sz val="8"/>
      <name val="Verdana"/>
      <charset val="134"/>
    </font>
    <font>
      <sz val="10"/>
      <name val="宋体"/>
      <charset val="134"/>
    </font>
    <font>
      <sz val="1"/>
      <name val="Verdana"/>
      <charset val="134"/>
    </font>
    <font>
      <b/>
      <sz val="9"/>
      <name val="Arial"/>
      <charset val="134"/>
    </font>
    <font>
      <b/>
      <sz val="8"/>
      <color indexed="10"/>
      <name val="Verdana"/>
      <charset val="134"/>
    </font>
    <font>
      <b/>
      <sz val="8"/>
      <color indexed="63"/>
      <name val="Verdana"/>
      <charset val="134"/>
    </font>
    <font>
      <b/>
      <sz val="8"/>
      <color indexed="37"/>
      <name val="Tahoma"/>
      <charset val="134"/>
    </font>
    <font>
      <b/>
      <sz val="8"/>
      <name val="Verdana"/>
      <charset val="134"/>
    </font>
    <font>
      <sz val="8"/>
      <color indexed="39"/>
      <name val="Verdana"/>
      <charset val="134"/>
    </font>
    <font>
      <b/>
      <sz val="8"/>
      <name val="Tahoma"/>
      <charset val="134"/>
    </font>
    <font>
      <sz val="8"/>
      <name val="Verdana"/>
      <charset val="134"/>
    </font>
    <font>
      <i/>
      <sz val="8"/>
      <color indexed="63"/>
      <name val="Verdana"/>
      <charset val="134"/>
    </font>
  </fonts>
  <fills count="50">
    <fill>
      <patternFill patternType="none"/>
    </fill>
    <fill>
      <patternFill patternType="gray125"/>
    </fill>
    <fill>
      <patternFill patternType="solid">
        <fgColor theme="6" tint="0.399884029663991"/>
        <bgColor indexed="64"/>
      </patternFill>
    </fill>
    <fill>
      <patternFill patternType="solid">
        <fgColor theme="6" tint="0.599993896298105"/>
        <bgColor indexed="64"/>
      </patternFill>
    </fill>
    <fill>
      <patternFill patternType="solid">
        <fgColor rgb="FFFCD5B4"/>
        <bgColor indexed="64"/>
      </patternFill>
    </fill>
    <fill>
      <patternFill patternType="solid">
        <fgColor rgb="FFFFFF00"/>
        <bgColor indexed="64"/>
      </patternFill>
    </fill>
    <fill>
      <patternFill patternType="solid">
        <fgColor theme="9" tint="0.599993896298105"/>
        <bgColor indexed="64"/>
      </patternFill>
    </fill>
    <fill>
      <patternFill patternType="solid">
        <fgColor rgb="FFFF8080"/>
        <bgColor indexed="64"/>
      </patternFill>
    </fill>
    <fill>
      <patternFill patternType="solid">
        <fgColor rgb="FFF8A45E"/>
        <bgColor indexed="64"/>
      </patternFill>
    </fill>
    <fill>
      <patternFill patternType="solid">
        <fgColor rgb="FF92D050"/>
        <bgColor indexed="64"/>
      </patternFill>
    </fill>
    <fill>
      <patternFill patternType="solid">
        <fgColor rgb="FFBBA680"/>
        <bgColor indexed="64"/>
      </patternFill>
    </fill>
    <fill>
      <patternFill patternType="solid">
        <fgColor rgb="FF8DB4E2"/>
        <bgColor indexed="64"/>
      </patternFill>
    </fill>
    <fill>
      <patternFill patternType="solid">
        <fgColor rgb="FFB7DEE8"/>
        <bgColor indexed="64"/>
      </patternFill>
    </fill>
    <fill>
      <patternFill patternType="solid">
        <fgColor rgb="FFCC9999"/>
        <bgColor indexed="64"/>
      </patternFill>
    </fill>
    <fill>
      <patternFill patternType="solid">
        <fgColor rgb="FFFF0000"/>
        <bgColor indexed="64"/>
      </patternFill>
    </fill>
    <fill>
      <patternFill patternType="solid">
        <fgColor rgb="FF96C8BE"/>
        <bgColor indexed="64"/>
      </patternFill>
    </fill>
    <fill>
      <patternFill patternType="solid">
        <fgColor rgb="FF00B0F0"/>
        <bgColor indexed="64"/>
      </patternFill>
    </fill>
    <fill>
      <patternFill patternType="solid">
        <fgColor rgb="FFC0C0C0"/>
        <bgColor indexed="64"/>
      </patternFill>
    </fill>
    <fill>
      <patternFill patternType="solid">
        <fgColor rgb="FFFFFFFF"/>
        <bgColor indexed="64"/>
      </patternFill>
    </fill>
    <fill>
      <patternFill patternType="solid">
        <fgColor rgb="FFC4BC96"/>
        <bgColor indexed="64"/>
      </patternFill>
    </fill>
    <fill>
      <patternFill patternType="solid">
        <fgColor indexed="4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399975585192419"/>
        <bgColor indexed="64"/>
      </patternFill>
    </fill>
  </fills>
  <borders count="15">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medium">
        <color auto="1"/>
      </left>
      <right style="medium">
        <color auto="1"/>
      </right>
      <top style="medium">
        <color auto="1"/>
      </top>
      <bottom/>
      <diagonal/>
    </border>
    <border>
      <left style="medium">
        <color auto="1"/>
      </left>
      <right style="medium">
        <color auto="1"/>
      </right>
      <top style="medium">
        <color auto="1"/>
      </top>
      <bottom style="medium">
        <color auto="1"/>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2">
    <xf numFmtId="0" fontId="0" fillId="0" borderId="0">
      <alignment vertical="center"/>
    </xf>
    <xf numFmtId="43"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41" fontId="5" fillId="0" borderId="0" applyFont="0" applyFill="0" applyBorder="0" applyAlignment="0" applyProtection="0">
      <alignment vertical="center"/>
    </xf>
    <xf numFmtId="42" fontId="5" fillId="0" borderId="0" applyFont="0" applyFill="0" applyBorder="0" applyAlignment="0" applyProtection="0">
      <alignment vertical="center"/>
    </xf>
    <xf numFmtId="0" fontId="7"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5" fillId="21" borderId="7" applyNumberFormat="0" applyFont="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8" applyNumberFormat="0" applyFill="0" applyAlignment="0" applyProtection="0">
      <alignment vertical="center"/>
    </xf>
    <xf numFmtId="0" fontId="25" fillId="0" borderId="8" applyNumberFormat="0" applyFill="0" applyAlignment="0" applyProtection="0">
      <alignment vertical="center"/>
    </xf>
    <xf numFmtId="0" fontId="26" fillId="0" borderId="9" applyNumberFormat="0" applyFill="0" applyAlignment="0" applyProtection="0">
      <alignment vertical="center"/>
    </xf>
    <xf numFmtId="0" fontId="26" fillId="0" borderId="0" applyNumberFormat="0" applyFill="0" applyBorder="0" applyAlignment="0" applyProtection="0">
      <alignment vertical="center"/>
    </xf>
    <xf numFmtId="0" fontId="27" fillId="22" borderId="10" applyNumberFormat="0" applyAlignment="0" applyProtection="0">
      <alignment vertical="center"/>
    </xf>
    <xf numFmtId="0" fontId="28" fillId="23" borderId="11" applyNumberFormat="0" applyAlignment="0" applyProtection="0">
      <alignment vertical="center"/>
    </xf>
    <xf numFmtId="0" fontId="29" fillId="23" borderId="10" applyNumberFormat="0" applyAlignment="0" applyProtection="0">
      <alignment vertical="center"/>
    </xf>
    <xf numFmtId="0" fontId="30" fillId="24" borderId="12" applyNumberFormat="0" applyAlignment="0" applyProtection="0">
      <alignment vertical="center"/>
    </xf>
    <xf numFmtId="0" fontId="31" fillId="0" borderId="13" applyNumberFormat="0" applyFill="0" applyAlignment="0" applyProtection="0">
      <alignment vertical="center"/>
    </xf>
    <xf numFmtId="0" fontId="32" fillId="0" borderId="14" applyNumberFormat="0" applyFill="0" applyAlignment="0" applyProtection="0">
      <alignment vertical="center"/>
    </xf>
    <xf numFmtId="0" fontId="33" fillId="25" borderId="0" applyNumberFormat="0" applyBorder="0" applyAlignment="0" applyProtection="0">
      <alignment vertical="center"/>
    </xf>
    <xf numFmtId="0" fontId="34" fillId="26" borderId="0" applyNumberFormat="0" applyBorder="0" applyAlignment="0" applyProtection="0">
      <alignment vertical="center"/>
    </xf>
    <xf numFmtId="0" fontId="35" fillId="27" borderId="0" applyNumberFormat="0" applyBorder="0" applyAlignment="0" applyProtection="0">
      <alignment vertical="center"/>
    </xf>
    <xf numFmtId="0" fontId="36" fillId="28" borderId="0" applyNumberFormat="0" applyBorder="0" applyAlignment="0" applyProtection="0">
      <alignment vertical="center"/>
    </xf>
    <xf numFmtId="0" fontId="37" fillId="29" borderId="0" applyNumberFormat="0" applyBorder="0" applyAlignment="0" applyProtection="0">
      <alignment vertical="center"/>
    </xf>
    <xf numFmtId="0" fontId="37" fillId="30" borderId="0" applyNumberFormat="0" applyBorder="0" applyAlignment="0" applyProtection="0">
      <alignment vertical="center"/>
    </xf>
    <xf numFmtId="0" fontId="36" fillId="31" borderId="0" applyNumberFormat="0" applyBorder="0" applyAlignment="0" applyProtection="0">
      <alignment vertical="center"/>
    </xf>
    <xf numFmtId="0" fontId="36" fillId="32" borderId="0" applyNumberFormat="0" applyBorder="0" applyAlignment="0" applyProtection="0">
      <alignment vertical="center"/>
    </xf>
    <xf numFmtId="0" fontId="37" fillId="33" borderId="0" applyNumberFormat="0" applyBorder="0" applyAlignment="0" applyProtection="0">
      <alignment vertical="center"/>
    </xf>
    <xf numFmtId="0" fontId="37" fillId="34" borderId="0" applyNumberFormat="0" applyBorder="0" applyAlignment="0" applyProtection="0">
      <alignment vertical="center"/>
    </xf>
    <xf numFmtId="0" fontId="36" fillId="35" borderId="0" applyNumberFormat="0" applyBorder="0" applyAlignment="0" applyProtection="0">
      <alignment vertical="center"/>
    </xf>
    <xf numFmtId="0" fontId="36" fillId="36" borderId="0" applyNumberFormat="0" applyBorder="0" applyAlignment="0" applyProtection="0">
      <alignment vertical="center"/>
    </xf>
    <xf numFmtId="0" fontId="37" fillId="37" borderId="0" applyNumberFormat="0" applyBorder="0" applyAlignment="0" applyProtection="0">
      <alignment vertical="center"/>
    </xf>
    <xf numFmtId="0" fontId="37" fillId="3" borderId="0" applyNumberFormat="0" applyBorder="0" applyAlignment="0" applyProtection="0">
      <alignment vertical="center"/>
    </xf>
    <xf numFmtId="0" fontId="36" fillId="38" borderId="0" applyNumberFormat="0" applyBorder="0" applyAlignment="0" applyProtection="0">
      <alignment vertical="center"/>
    </xf>
    <xf numFmtId="0" fontId="36" fillId="39"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6" fillId="42" borderId="0" applyNumberFormat="0" applyBorder="0" applyAlignment="0" applyProtection="0">
      <alignment vertical="center"/>
    </xf>
    <xf numFmtId="0" fontId="36" fillId="43"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6" fillId="46" borderId="0" applyNumberFormat="0" applyBorder="0" applyAlignment="0" applyProtection="0">
      <alignment vertical="center"/>
    </xf>
    <xf numFmtId="0" fontId="36" fillId="47" borderId="0" applyNumberFormat="0" applyBorder="0" applyAlignment="0" applyProtection="0">
      <alignment vertical="center"/>
    </xf>
    <xf numFmtId="0" fontId="37" fillId="48" borderId="0" applyNumberFormat="0" applyBorder="0" applyAlignment="0" applyProtection="0">
      <alignment vertical="center"/>
    </xf>
    <xf numFmtId="0" fontId="37" fillId="6" borderId="0" applyNumberFormat="0" applyBorder="0" applyAlignment="0" applyProtection="0">
      <alignment vertical="center"/>
    </xf>
    <xf numFmtId="0" fontId="36" fillId="49" borderId="0" applyNumberFormat="0" applyBorder="0" applyAlignment="0" applyProtection="0">
      <alignment vertical="center"/>
    </xf>
    <xf numFmtId="43" fontId="2" fillId="0" borderId="0" applyFont="0" applyFill="0" applyBorder="0" applyAlignment="0" applyProtection="0"/>
    <xf numFmtId="41" fontId="2" fillId="0" borderId="0" applyFont="0" applyFill="0" applyBorder="0" applyAlignment="0" applyProtection="0"/>
    <xf numFmtId="44" fontId="2" fillId="0" borderId="0" applyFont="0" applyFill="0" applyBorder="0" applyAlignment="0" applyProtection="0"/>
    <xf numFmtId="42" fontId="2" fillId="0" borderId="0" applyFont="0" applyFill="0" applyBorder="0" applyAlignment="0" applyProtection="0"/>
    <xf numFmtId="0" fontId="7" fillId="0" borderId="0" applyNumberFormat="0" applyFill="0" applyBorder="0" applyAlignment="0" applyProtection="0"/>
    <xf numFmtId="0" fontId="0" fillId="0" borderId="0"/>
    <xf numFmtId="0" fontId="2" fillId="0" borderId="0"/>
    <xf numFmtId="0" fontId="2" fillId="0" borderId="0"/>
    <xf numFmtId="0" fontId="2" fillId="0" borderId="0"/>
    <xf numFmtId="0" fontId="2" fillId="0" borderId="0"/>
    <xf numFmtId="0" fontId="5" fillId="0" borderId="0"/>
    <xf numFmtId="0" fontId="14" fillId="0" borderId="0"/>
    <xf numFmtId="9" fontId="2" fillId="0" borderId="0" applyFont="0" applyFill="0" applyBorder="0" applyAlignment="0" applyProtection="0"/>
  </cellStyleXfs>
  <cellXfs count="120">
    <xf numFmtId="0" fontId="0" fillId="0" borderId="0" xfId="0" applyAlignment="1"/>
    <xf numFmtId="0" fontId="1" fillId="0" borderId="0" xfId="54" applyFont="1"/>
    <xf numFmtId="0" fontId="0" fillId="2" borderId="0" xfId="54" applyFill="1" applyProtection="1">
      <protection locked="0"/>
    </xf>
    <xf numFmtId="0" fontId="0" fillId="3" borderId="0" xfId="54" applyFill="1" applyProtection="1">
      <protection locked="0"/>
    </xf>
    <xf numFmtId="49" fontId="0" fillId="0" borderId="0" xfId="54" applyNumberFormat="1" applyProtection="1">
      <protection locked="0"/>
    </xf>
    <xf numFmtId="14" fontId="0" fillId="0" borderId="0" xfId="54" applyNumberFormat="1" applyProtection="1">
      <protection locked="0"/>
    </xf>
    <xf numFmtId="2" fontId="0" fillId="0" borderId="0" xfId="54" applyNumberFormat="1" applyProtection="1">
      <protection locked="0"/>
    </xf>
    <xf numFmtId="1" fontId="0" fillId="0" borderId="0" xfId="54" applyNumberFormat="1" applyProtection="1">
      <protection locked="0"/>
    </xf>
    <xf numFmtId="176" fontId="2" fillId="0" borderId="0" xfId="54" applyNumberFormat="1" applyFont="1" applyProtection="1">
      <protection locked="0"/>
    </xf>
    <xf numFmtId="0" fontId="0" fillId="0" borderId="0" xfId="54" applyProtection="1">
      <protection locked="0"/>
    </xf>
    <xf numFmtId="49" fontId="3" fillId="4" borderId="1" xfId="54" applyNumberFormat="1" applyFont="1" applyFill="1" applyBorder="1" applyAlignment="1">
      <alignment horizontal="left" vertical="center"/>
    </xf>
    <xf numFmtId="14" fontId="3" fillId="4" borderId="1" xfId="54" applyNumberFormat="1" applyFont="1" applyFill="1" applyBorder="1" applyAlignment="1">
      <alignment horizontal="left" vertical="center"/>
    </xf>
    <xf numFmtId="2" fontId="3" fillId="4" borderId="1" xfId="54" applyNumberFormat="1" applyFont="1" applyFill="1" applyBorder="1" applyAlignment="1">
      <alignment horizontal="left" vertical="center"/>
    </xf>
    <xf numFmtId="1" fontId="3" fillId="4" borderId="1" xfId="54" applyNumberFormat="1" applyFont="1" applyFill="1" applyBorder="1" applyAlignment="1">
      <alignment horizontal="left" vertical="center"/>
    </xf>
    <xf numFmtId="49" fontId="3" fillId="5" borderId="1" xfId="54" applyNumberFormat="1" applyFont="1" applyFill="1" applyBorder="1" applyAlignment="1">
      <alignment horizontal="left" vertical="center"/>
    </xf>
    <xf numFmtId="49" fontId="3" fillId="6" borderId="1" xfId="54" applyNumberFormat="1" applyFont="1" applyFill="1" applyBorder="1" applyAlignment="1">
      <alignment horizontal="left" vertical="center"/>
    </xf>
    <xf numFmtId="49" fontId="3" fillId="7" borderId="1" xfId="54" applyNumberFormat="1" applyFont="1" applyFill="1" applyBorder="1" applyAlignment="1">
      <alignment horizontal="left" vertical="center"/>
    </xf>
    <xf numFmtId="49" fontId="3" fillId="8" borderId="1" xfId="54" applyNumberFormat="1" applyFont="1" applyFill="1" applyBorder="1" applyAlignment="1">
      <alignment horizontal="left" vertical="center"/>
    </xf>
    <xf numFmtId="49" fontId="3" fillId="9" borderId="1" xfId="54" applyNumberFormat="1" applyFont="1" applyFill="1" applyBorder="1" applyAlignment="1">
      <alignment horizontal="left" vertical="center"/>
    </xf>
    <xf numFmtId="49" fontId="3" fillId="10" borderId="1" xfId="54" applyNumberFormat="1" applyFont="1" applyFill="1" applyBorder="1" applyAlignment="1">
      <alignment horizontal="left" vertical="center"/>
    </xf>
    <xf numFmtId="2" fontId="3" fillId="11" borderId="1" xfId="54" applyNumberFormat="1" applyFont="1" applyFill="1" applyBorder="1" applyAlignment="1">
      <alignment horizontal="left" vertical="center"/>
    </xf>
    <xf numFmtId="49" fontId="3" fillId="11" borderId="1" xfId="54" applyNumberFormat="1" applyFont="1" applyFill="1" applyBorder="1" applyAlignment="1">
      <alignment horizontal="left" vertical="center"/>
    </xf>
    <xf numFmtId="49" fontId="3" fillId="12" borderId="1" xfId="54" applyNumberFormat="1" applyFont="1" applyFill="1" applyBorder="1" applyAlignment="1">
      <alignment horizontal="left" vertical="center"/>
    </xf>
    <xf numFmtId="2" fontId="3" fillId="12" borderId="1" xfId="54" applyNumberFormat="1" applyFont="1" applyFill="1" applyBorder="1" applyAlignment="1">
      <alignment horizontal="left" vertical="center"/>
    </xf>
    <xf numFmtId="49" fontId="3" fillId="13" borderId="1" xfId="54" applyNumberFormat="1" applyFont="1" applyFill="1" applyBorder="1" applyAlignment="1">
      <alignment horizontal="left" vertical="center"/>
    </xf>
    <xf numFmtId="1" fontId="3" fillId="13" borderId="1" xfId="54" applyNumberFormat="1" applyFont="1" applyFill="1" applyBorder="1" applyAlignment="1">
      <alignment horizontal="left" vertical="center"/>
    </xf>
    <xf numFmtId="2" fontId="3" fillId="13" borderId="1" xfId="54" applyNumberFormat="1" applyFont="1" applyFill="1" applyBorder="1" applyAlignment="1">
      <alignment horizontal="left" vertical="center"/>
    </xf>
    <xf numFmtId="49" fontId="3" fillId="14" borderId="1" xfId="54" applyNumberFormat="1" applyFont="1" applyFill="1" applyBorder="1" applyAlignment="1">
      <alignment horizontal="left" vertical="center"/>
    </xf>
    <xf numFmtId="1" fontId="3" fillId="14" borderId="1" xfId="54" applyNumberFormat="1" applyFont="1" applyFill="1" applyBorder="1" applyAlignment="1">
      <alignment horizontal="left" vertical="center"/>
    </xf>
    <xf numFmtId="2" fontId="3" fillId="14" borderId="1" xfId="54" applyNumberFormat="1" applyFont="1" applyFill="1" applyBorder="1" applyAlignment="1">
      <alignment horizontal="left" vertical="center"/>
    </xf>
    <xf numFmtId="14" fontId="3" fillId="14" borderId="1" xfId="54" applyNumberFormat="1" applyFont="1" applyFill="1" applyBorder="1" applyAlignment="1">
      <alignment horizontal="left" vertical="center"/>
    </xf>
    <xf numFmtId="176" fontId="3" fillId="14" borderId="0" xfId="54" applyNumberFormat="1" applyFont="1" applyFill="1" applyAlignment="1">
      <alignment horizontal="left" vertical="center"/>
    </xf>
    <xf numFmtId="49" fontId="3" fillId="15" borderId="1" xfId="54" applyNumberFormat="1" applyFont="1" applyFill="1" applyBorder="1" applyAlignment="1">
      <alignment horizontal="left" vertical="center"/>
    </xf>
    <xf numFmtId="1" fontId="3" fillId="15" borderId="1" xfId="54" applyNumberFormat="1" applyFont="1" applyFill="1" applyBorder="1" applyAlignment="1">
      <alignment horizontal="left" vertical="center"/>
    </xf>
    <xf numFmtId="2" fontId="3" fillId="15" borderId="1" xfId="54" applyNumberFormat="1" applyFont="1" applyFill="1" applyBorder="1" applyAlignment="1">
      <alignment horizontal="left" vertical="center"/>
    </xf>
    <xf numFmtId="49" fontId="4" fillId="4" borderId="2" xfId="54" applyNumberFormat="1" applyFont="1" applyFill="1" applyBorder="1" applyAlignment="1">
      <alignment horizontal="left" vertical="center"/>
    </xf>
    <xf numFmtId="14" fontId="4" fillId="4" borderId="2" xfId="54" applyNumberFormat="1" applyFont="1" applyFill="1" applyBorder="1" applyAlignment="1">
      <alignment horizontal="left" vertical="center"/>
    </xf>
    <xf numFmtId="2" fontId="4" fillId="4" borderId="2" xfId="54" applyNumberFormat="1" applyFont="1" applyFill="1" applyBorder="1" applyAlignment="1">
      <alignment horizontal="left" vertical="center"/>
    </xf>
    <xf numFmtId="1" fontId="4" fillId="4" borderId="2" xfId="54" applyNumberFormat="1" applyFont="1" applyFill="1" applyBorder="1" applyAlignment="1">
      <alignment horizontal="left" vertical="center"/>
    </xf>
    <xf numFmtId="49" fontId="4" fillId="5" borderId="2" xfId="54" applyNumberFormat="1" applyFont="1" applyFill="1" applyBorder="1" applyAlignment="1">
      <alignment horizontal="left" vertical="center"/>
    </xf>
    <xf numFmtId="49" fontId="4" fillId="16" borderId="2" xfId="54" applyNumberFormat="1" applyFont="1" applyFill="1" applyBorder="1" applyAlignment="1">
      <alignment horizontal="left" vertical="center"/>
    </xf>
    <xf numFmtId="49" fontId="4" fillId="6" borderId="2" xfId="54" applyNumberFormat="1" applyFont="1" applyFill="1" applyBorder="1" applyAlignment="1">
      <alignment horizontal="left" vertical="center"/>
    </xf>
    <xf numFmtId="49" fontId="4" fillId="7" borderId="2" xfId="54" applyNumberFormat="1" applyFont="1" applyFill="1" applyBorder="1" applyAlignment="1">
      <alignment horizontal="left" vertical="center"/>
    </xf>
    <xf numFmtId="49" fontId="4" fillId="8" borderId="2" xfId="54" applyNumberFormat="1" applyFont="1" applyFill="1" applyBorder="1" applyAlignment="1">
      <alignment horizontal="left" vertical="center"/>
    </xf>
    <xf numFmtId="49" fontId="4" fillId="9" borderId="2" xfId="54" applyNumberFormat="1" applyFont="1" applyFill="1" applyBorder="1" applyAlignment="1">
      <alignment horizontal="left" vertical="center"/>
    </xf>
    <xf numFmtId="49" fontId="4" fillId="10" borderId="2" xfId="54" applyNumberFormat="1" applyFont="1" applyFill="1" applyBorder="1" applyAlignment="1">
      <alignment horizontal="left" vertical="center"/>
    </xf>
    <xf numFmtId="2" fontId="4" fillId="11" borderId="2" xfId="54" applyNumberFormat="1" applyFont="1" applyFill="1" applyBorder="1" applyAlignment="1">
      <alignment horizontal="left" vertical="center"/>
    </xf>
    <xf numFmtId="49" fontId="4" fillId="11" borderId="2" xfId="54" applyNumberFormat="1" applyFont="1" applyFill="1" applyBorder="1" applyAlignment="1">
      <alignment horizontal="left" vertical="center"/>
    </xf>
    <xf numFmtId="49" fontId="4" fillId="12" borderId="2" xfId="54" applyNumberFormat="1" applyFont="1" applyFill="1" applyBorder="1" applyAlignment="1">
      <alignment horizontal="left" vertical="center"/>
    </xf>
    <xf numFmtId="2" fontId="4" fillId="12" borderId="2" xfId="54" applyNumberFormat="1" applyFont="1" applyFill="1" applyBorder="1" applyAlignment="1">
      <alignment horizontal="left" vertical="center"/>
    </xf>
    <xf numFmtId="49" fontId="4" fillId="13" borderId="2" xfId="54" applyNumberFormat="1" applyFont="1" applyFill="1" applyBorder="1" applyAlignment="1">
      <alignment horizontal="left" vertical="center"/>
    </xf>
    <xf numFmtId="1" fontId="4" fillId="13" borderId="2" xfId="54" applyNumberFormat="1" applyFont="1" applyFill="1" applyBorder="1" applyAlignment="1">
      <alignment horizontal="left" vertical="center"/>
    </xf>
    <xf numFmtId="2" fontId="4" fillId="13" borderId="2" xfId="54" applyNumberFormat="1" applyFont="1" applyFill="1" applyBorder="1" applyAlignment="1">
      <alignment horizontal="left" vertical="center"/>
    </xf>
    <xf numFmtId="49" fontId="4" fillId="14" borderId="2" xfId="54" applyNumberFormat="1" applyFont="1" applyFill="1" applyBorder="1" applyAlignment="1">
      <alignment horizontal="left" vertical="center"/>
    </xf>
    <xf numFmtId="1" fontId="4" fillId="14" borderId="2" xfId="54" applyNumberFormat="1" applyFont="1" applyFill="1" applyBorder="1" applyAlignment="1">
      <alignment horizontal="left" vertical="center"/>
    </xf>
    <xf numFmtId="2" fontId="4" fillId="14" borderId="2" xfId="54" applyNumberFormat="1" applyFont="1" applyFill="1" applyBorder="1" applyAlignment="1">
      <alignment horizontal="left" vertical="center"/>
    </xf>
    <xf numFmtId="14" fontId="4" fillId="14" borderId="2" xfId="54" applyNumberFormat="1" applyFont="1" applyFill="1" applyBorder="1" applyAlignment="1">
      <alignment horizontal="left" vertical="center"/>
    </xf>
    <xf numFmtId="176" fontId="4" fillId="14" borderId="2" xfId="54" applyNumberFormat="1" applyFont="1" applyFill="1" applyBorder="1" applyAlignment="1">
      <alignment horizontal="left" vertical="center"/>
    </xf>
    <xf numFmtId="49" fontId="4" fillId="15" borderId="2" xfId="54" applyNumberFormat="1" applyFont="1" applyFill="1" applyBorder="1" applyAlignment="1">
      <alignment horizontal="left" vertical="center"/>
    </xf>
    <xf numFmtId="1" fontId="4" fillId="15" borderId="2" xfId="54" applyNumberFormat="1" applyFont="1" applyFill="1" applyBorder="1" applyAlignment="1">
      <alignment horizontal="left" vertical="center"/>
    </xf>
    <xf numFmtId="2" fontId="4" fillId="15" borderId="2" xfId="54" applyNumberFormat="1" applyFont="1" applyFill="1" applyBorder="1" applyAlignment="1">
      <alignment horizontal="left" vertical="center"/>
    </xf>
    <xf numFmtId="2" fontId="4" fillId="16" borderId="2" xfId="54" applyNumberFormat="1" applyFont="1" applyFill="1" applyBorder="1" applyAlignment="1">
      <alignment horizontal="left" vertical="center"/>
    </xf>
    <xf numFmtId="49" fontId="0" fillId="2" borderId="0" xfId="54" applyNumberFormat="1" applyFill="1" applyProtection="1">
      <protection locked="0"/>
    </xf>
    <xf numFmtId="0" fontId="5" fillId="0" borderId="0" xfId="0" applyFont="1" applyFill="1" applyAlignment="1">
      <alignment horizontal="center" vertical="center"/>
    </xf>
    <xf numFmtId="0" fontId="0" fillId="0" borderId="0" xfId="0">
      <alignment vertical="center"/>
    </xf>
    <xf numFmtId="49" fontId="0" fillId="3" borderId="0" xfId="54" applyNumberFormat="1" applyFill="1" applyProtection="1">
      <protection locked="0"/>
    </xf>
    <xf numFmtId="14" fontId="0" fillId="2" borderId="0" xfId="54" applyNumberFormat="1" applyFill="1" applyProtection="1">
      <protection locked="0"/>
    </xf>
    <xf numFmtId="2" fontId="0" fillId="3" borderId="0" xfId="54" applyNumberFormat="1" applyFill="1" applyAlignment="1" applyProtection="1">
      <alignment horizontal="center"/>
      <protection locked="0"/>
    </xf>
    <xf numFmtId="1" fontId="0" fillId="3" borderId="0" xfId="54" applyNumberFormat="1" applyFill="1" applyProtection="1">
      <protection locked="0"/>
    </xf>
    <xf numFmtId="0" fontId="6" fillId="2" borderId="0" xfId="6" applyNumberFormat="1" applyFont="1" applyFill="1" applyAlignment="1" applyProtection="1">
      <protection locked="0"/>
    </xf>
    <xf numFmtId="49" fontId="7" fillId="2" borderId="0" xfId="6" applyNumberFormat="1" applyFill="1" applyBorder="1" applyAlignment="1" applyProtection="1">
      <protection locked="0"/>
    </xf>
    <xf numFmtId="0" fontId="2" fillId="3" borderId="0" xfId="54" applyFont="1" applyFill="1" applyProtection="1">
      <protection locked="0"/>
    </xf>
    <xf numFmtId="0" fontId="8" fillId="3" borderId="0" xfId="0" applyFont="1" applyFill="1" applyAlignment="1"/>
    <xf numFmtId="0" fontId="0" fillId="2" borderId="0" xfId="54" applyFill="1" applyAlignment="1">
      <alignment horizontal="fill"/>
    </xf>
    <xf numFmtId="0" fontId="9" fillId="2" borderId="0" xfId="0" applyFont="1" applyFill="1" applyAlignment="1">
      <alignment horizontal="fill" vertical="center"/>
    </xf>
    <xf numFmtId="2" fontId="0" fillId="2" borderId="0" xfId="54" applyNumberFormat="1" applyFill="1" applyProtection="1">
      <protection locked="0"/>
    </xf>
    <xf numFmtId="0" fontId="0" fillId="2" borderId="0" xfId="54" applyFill="1"/>
    <xf numFmtId="0" fontId="0" fillId="3" borderId="0" xfId="54" applyFill="1"/>
    <xf numFmtId="1" fontId="0" fillId="2" borderId="0" xfId="54" applyNumberFormat="1" applyFill="1" applyProtection="1">
      <protection locked="0"/>
    </xf>
    <xf numFmtId="14" fontId="2" fillId="0" borderId="0" xfId="54" applyNumberFormat="1" applyFont="1" applyProtection="1">
      <protection locked="0"/>
    </xf>
    <xf numFmtId="14" fontId="0" fillId="3" borderId="0" xfId="54" applyNumberFormat="1" applyFill="1" applyProtection="1">
      <protection locked="0"/>
    </xf>
    <xf numFmtId="2" fontId="0" fillId="3" borderId="0" xfId="54" applyNumberFormat="1" applyFill="1" applyProtection="1">
      <protection locked="0"/>
    </xf>
    <xf numFmtId="14" fontId="2" fillId="3" borderId="0" xfId="54" applyNumberFormat="1" applyFont="1" applyFill="1" applyProtection="1">
      <protection locked="0"/>
    </xf>
    <xf numFmtId="49" fontId="0" fillId="0" borderId="0" xfId="54" applyNumberFormat="1" applyAlignment="1" applyProtection="1">
      <alignment horizontal="center"/>
      <protection locked="0"/>
    </xf>
    <xf numFmtId="49" fontId="0" fillId="0" borderId="0" xfId="54" applyNumberFormat="1"/>
    <xf numFmtId="0" fontId="0" fillId="0" borderId="0" xfId="54"/>
    <xf numFmtId="0" fontId="0" fillId="0" borderId="0" xfId="54" applyAlignment="1">
      <alignment horizontal="center" vertical="center"/>
    </xf>
    <xf numFmtId="0" fontId="10" fillId="0" borderId="0" xfId="54" applyFont="1"/>
    <xf numFmtId="49" fontId="10" fillId="0" borderId="0" xfId="54" applyNumberFormat="1" applyFont="1" applyAlignment="1">
      <alignment horizontal="center" vertical="center"/>
    </xf>
    <xf numFmtId="49" fontId="0" fillId="0" borderId="0" xfId="54" applyNumberFormat="1" applyAlignment="1">
      <alignment horizontal="center" vertical="center"/>
    </xf>
    <xf numFmtId="0" fontId="5" fillId="0" borderId="0" xfId="59" applyAlignment="1">
      <alignment wrapText="1"/>
    </xf>
    <xf numFmtId="0" fontId="5" fillId="0" borderId="0" xfId="59"/>
    <xf numFmtId="0" fontId="11" fillId="0" borderId="3" xfId="59" applyFont="1" applyBorder="1" applyAlignment="1">
      <alignment vertical="center" wrapText="1"/>
    </xf>
    <xf numFmtId="0" fontId="12" fillId="17" borderId="4" xfId="59" applyFont="1" applyFill="1" applyBorder="1" applyAlignment="1">
      <alignment vertical="center" wrapText="1"/>
    </xf>
    <xf numFmtId="0" fontId="13" fillId="18" borderId="5" xfId="59" applyFont="1" applyFill="1" applyBorder="1" applyAlignment="1">
      <alignment vertical="center" wrapText="1"/>
    </xf>
    <xf numFmtId="0" fontId="12" fillId="18" borderId="5" xfId="59" applyFont="1" applyFill="1" applyBorder="1" applyAlignment="1">
      <alignment vertical="center" wrapText="1"/>
    </xf>
    <xf numFmtId="0" fontId="13" fillId="18" borderId="6" xfId="59" applyFont="1" applyFill="1" applyBorder="1" applyAlignment="1">
      <alignment vertical="center" wrapText="1"/>
    </xf>
    <xf numFmtId="0" fontId="12" fillId="17" borderId="6" xfId="59" applyFont="1" applyFill="1" applyBorder="1" applyAlignment="1">
      <alignment vertical="center" wrapText="1"/>
    </xf>
    <xf numFmtId="0" fontId="12" fillId="19" borderId="5" xfId="59" applyFont="1" applyFill="1" applyBorder="1" applyAlignment="1">
      <alignment vertical="center" wrapText="1"/>
    </xf>
    <xf numFmtId="0" fontId="14" fillId="0" borderId="0" xfId="57" applyFont="1"/>
    <xf numFmtId="0" fontId="15" fillId="0" borderId="0" xfId="57" applyFont="1"/>
    <xf numFmtId="0" fontId="14" fillId="20" borderId="0" xfId="57" applyFont="1" applyFill="1" applyAlignment="1">
      <alignment horizontal="center"/>
    </xf>
    <xf numFmtId="0" fontId="14" fillId="0" borderId="0" xfId="57" applyFont="1" applyAlignment="1">
      <alignment horizontal="center"/>
    </xf>
    <xf numFmtId="0" fontId="14" fillId="20" borderId="0" xfId="55" applyFont="1" applyFill="1" applyAlignment="1">
      <alignment horizontal="center"/>
    </xf>
    <xf numFmtId="0" fontId="15" fillId="0" borderId="0" xfId="55" applyFont="1"/>
    <xf numFmtId="177" fontId="2" fillId="20" borderId="0" xfId="57" applyNumberFormat="1" applyFill="1"/>
    <xf numFmtId="0" fontId="2" fillId="0" borderId="0" xfId="57"/>
    <xf numFmtId="0" fontId="16" fillId="0" borderId="0" xfId="55" applyFont="1"/>
    <xf numFmtId="0" fontId="7" fillId="0" borderId="0" xfId="53" applyAlignment="1" applyProtection="1"/>
    <xf numFmtId="0" fontId="17" fillId="0" borderId="0" xfId="57" applyFont="1"/>
    <xf numFmtId="0" fontId="14" fillId="0" borderId="0" xfId="54" applyFont="1"/>
    <xf numFmtId="178" fontId="14" fillId="0" borderId="0" xfId="57" applyNumberFormat="1" applyFont="1" applyAlignment="1">
      <alignment horizontal="center"/>
    </xf>
    <xf numFmtId="49" fontId="14" fillId="0" borderId="0" xfId="57" applyNumberFormat="1" applyFont="1" applyAlignment="1">
      <alignment horizontal="center"/>
    </xf>
    <xf numFmtId="0" fontId="14" fillId="0" borderId="0" xfId="57" applyFont="1" applyAlignment="1">
      <alignment wrapText="1"/>
    </xf>
    <xf numFmtId="49" fontId="2" fillId="0" borderId="0" xfId="57" applyNumberFormat="1"/>
    <xf numFmtId="49" fontId="18" fillId="0" borderId="0" xfId="57" applyNumberFormat="1" applyFont="1"/>
    <xf numFmtId="49" fontId="14" fillId="0" borderId="0" xfId="57" applyNumberFormat="1" applyFont="1"/>
    <xf numFmtId="49" fontId="19" fillId="0" borderId="0" xfId="57" applyNumberFormat="1" applyFont="1"/>
    <xf numFmtId="0" fontId="14" fillId="0" borderId="0" xfId="60"/>
    <xf numFmtId="0" fontId="14" fillId="0" borderId="0" xfId="54" applyFont="1" applyAlignment="1">
      <alignment horizontal="left"/>
    </xf>
  </cellXfs>
  <cellStyles count="62">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Comma" xfId="49"/>
    <cellStyle name="Comma [0]" xfId="50"/>
    <cellStyle name="Currency" xfId="51"/>
    <cellStyle name="Currency [0]" xfId="52"/>
    <cellStyle name="Hyperlink" xfId="53"/>
    <cellStyle name="Normal" xfId="54"/>
    <cellStyle name="Normal 10 2" xfId="55"/>
    <cellStyle name="Normal 2" xfId="56"/>
    <cellStyle name="Normal 2 2" xfId="57"/>
    <cellStyle name="Normal 2 3" xfId="58"/>
    <cellStyle name="Normal 3" xfId="59"/>
    <cellStyle name="Normal 7" xfId="60"/>
    <cellStyle name="Percent" xfId="61"/>
  </cellStyles>
  <dxfs count="10">
    <dxf>
      <font>
        <name val="Calibri"/>
        <scheme val="none"/>
        <family val="2"/>
        <i val="0"/>
        <sz val="11"/>
        <color indexed="8"/>
      </font>
      <fill>
        <patternFill patternType="solid">
          <fgColor rgb="FFFFFFFF"/>
        </patternFill>
      </fill>
      <border>
        <left style="thin">
          <color rgb="FFFF0000"/>
        </left>
        <right style="thin">
          <color rgb="FFFF0000"/>
        </right>
        <top style="thin">
          <color rgb="FFFF0000"/>
        </top>
        <bottom style="thin">
          <color rgb="FFFF0000"/>
        </bottom>
      </border>
    </dxf>
    <dxf>
      <font>
        <name val="Calibri"/>
        <scheme val="none"/>
        <family val="2"/>
        <i val="0"/>
        <sz val="11"/>
        <color indexed="8"/>
      </font>
      <fill>
        <patternFill patternType="solid">
          <fgColor rgb="FFFFFFFF"/>
        </patternFill>
      </fill>
      <border>
        <left style="thin">
          <color rgb="FFB8B8B8"/>
        </left>
        <right style="thin">
          <color rgb="FFB8B8B8"/>
        </right>
        <top style="thin">
          <color rgb="FFB8B8B8"/>
        </top>
        <bottom style="thin">
          <color rgb="FFB8B8B8"/>
        </bottom>
      </border>
    </dxf>
    <dxf>
      <font>
        <name val="Calibri"/>
        <scheme val="none"/>
        <family val="2"/>
        <i val="0"/>
        <sz val="11"/>
        <color indexed="8"/>
      </font>
      <fill>
        <patternFill patternType="solid">
          <fgColor rgb="FFFFFFFF"/>
        </patternFill>
      </fill>
      <border>
        <left style="thin">
          <color rgb="FFFFA500"/>
        </left>
        <right style="thin">
          <color rgb="FFFFA500"/>
        </right>
        <top style="thin">
          <color rgb="FFFFA500"/>
        </top>
        <bottom style="thin">
          <color rgb="FFFFA500"/>
        </bottom>
      </border>
    </dxf>
    <dxf>
      <font>
        <name val="Calibri"/>
        <scheme val="none"/>
        <family val="2"/>
        <i val="0"/>
        <sz val="11"/>
        <color indexed="8"/>
      </font>
      <fill>
        <patternFill patternType="solid">
          <fgColor rgb="FFFFFFFF"/>
          <bgColor rgb="FF808080"/>
        </patternFill>
      </fill>
      <border>
        <left/>
        <right/>
        <top/>
        <bottom/>
      </border>
    </dxf>
    <dxf>
      <font>
        <name val="Calibri"/>
        <scheme val="none"/>
        <family val="2"/>
        <i val="0"/>
        <sz val="11"/>
        <color indexed="8"/>
      </font>
      <fill>
        <patternFill patternType="solid">
          <fgColor rgb="FFFFFFFF"/>
        </patternFill>
      </fill>
      <border>
        <left style="thin">
          <color rgb="FF008000"/>
        </left>
        <right style="thin">
          <color rgb="FF008000"/>
        </right>
        <top style="thin">
          <color rgb="FF008000"/>
        </top>
        <bottom style="thin">
          <color rgb="FF008000"/>
        </bottom>
      </border>
    </dxf>
    <dxf>
      <fill>
        <patternFill patternType="solid">
          <fgColor rgb="FFFFFFFF"/>
        </patternFill>
      </fill>
      <border>
        <left style="thin">
          <color rgb="FF008000"/>
        </left>
        <right style="thin">
          <color rgb="FF008000"/>
        </right>
        <top style="thin">
          <color rgb="FF008000"/>
        </top>
        <bottom style="thin">
          <color rgb="FF008000"/>
        </bottom>
      </border>
    </dxf>
    <dxf>
      <fill>
        <patternFill patternType="solid">
          <fgColor rgb="FFFFFFFF"/>
        </patternFill>
      </fill>
      <border>
        <left style="thin">
          <color rgb="FFFF0000"/>
        </left>
        <right style="thin">
          <color rgb="FFFF0000"/>
        </right>
        <top style="thin">
          <color rgb="FFFF0000"/>
        </top>
        <bottom style="thin">
          <color rgb="FFFF0000"/>
        </bottom>
      </border>
    </dxf>
    <dxf>
      <fill>
        <patternFill patternType="solid">
          <fgColor rgb="FFFFFFFF"/>
        </patternFill>
      </fill>
      <border>
        <left style="thin">
          <color rgb="FFB8B8B8"/>
        </left>
        <right style="thin">
          <color rgb="FFB8B8B8"/>
        </right>
        <top style="thin">
          <color rgb="FFB8B8B8"/>
        </top>
        <bottom style="thin">
          <color rgb="FFB8B8B8"/>
        </bottom>
      </border>
    </dxf>
    <dxf>
      <fill>
        <patternFill patternType="solid">
          <fgColor rgb="FFFFFFFF"/>
        </patternFill>
      </fill>
      <border>
        <left style="thin">
          <color rgb="FFFFA500"/>
        </left>
        <right style="thin">
          <color rgb="FFFFA500"/>
        </right>
        <top style="thin">
          <color rgb="FFFFA500"/>
        </top>
        <bottom style="thin">
          <color rgb="FFFFA500"/>
        </bottom>
      </border>
    </dxf>
    <dxf>
      <fill>
        <patternFill patternType="solid">
          <fgColor rgb="FFFFFFFF"/>
          <bgColor rgb="FF808080"/>
        </patternFill>
      </fill>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7" Type="http://schemas.openxmlformats.org/officeDocument/2006/relationships/styles" Target="styles.xml"/><Relationship Id="rId16" Type="http://schemas.openxmlformats.org/officeDocument/2006/relationships/sharedStrings" Target="sharedStrings.xml"/><Relationship Id="rId15" Type="http://schemas.openxmlformats.org/officeDocument/2006/relationships/theme" Target="theme/theme1.xml"/><Relationship Id="rId14" Type="http://schemas.openxmlformats.org/officeDocument/2006/relationships/externalLink" Target="externalLinks/externalLink2.xml"/><Relationship Id="rId13" Type="http://schemas.openxmlformats.org/officeDocument/2006/relationships/externalLink" Target="externalLinks/externalLink1.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2.GIF"/></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12</xdr:col>
      <xdr:colOff>251460</xdr:colOff>
      <xdr:row>1</xdr:row>
      <xdr:rowOff>30480</xdr:rowOff>
    </xdr:from>
    <xdr:to>
      <xdr:col>12</xdr:col>
      <xdr:colOff>388620</xdr:colOff>
      <xdr:row>2</xdr:row>
      <xdr:rowOff>15240</xdr:rowOff>
    </xdr:to>
    <xdr:pic>
      <xdr:nvPicPr>
        <xdr:cNvPr id="2" name="icon_amazon_logo" descr="amazon_logo_14x14p.gif"/>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8023860" y="223520"/>
          <a:ext cx="137160" cy="177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1</xdr:row>
      <xdr:rowOff>1</xdr:rowOff>
    </xdr:from>
    <xdr:to>
      <xdr:col>12</xdr:col>
      <xdr:colOff>114300</xdr:colOff>
      <xdr:row>9</xdr:row>
      <xdr:rowOff>104775</xdr:rowOff>
    </xdr:to>
    <xdr:sp>
      <xdr:nvSpPr>
        <xdr:cNvPr id="2" name="TextBox 1"/>
        <xdr:cNvSpPr txBox="1">
          <a:spLocks noChangeArrowheads="1"/>
        </xdr:cNvSpPr>
      </xdr:nvSpPr>
      <xdr:spPr>
        <a:xfrm>
          <a:off x="0" y="193040"/>
          <a:ext cx="10226675" cy="1649095"/>
        </a:xfrm>
        <a:prstGeom prst="rect">
          <a:avLst/>
        </a:prstGeom>
        <a:solidFill>
          <a:srgbClr val="DBEEF4"/>
        </a:solidFill>
        <a:ln w="9525">
          <a:solidFill>
            <a:srgbClr val="BCBCBC"/>
          </a:solidFill>
          <a:miter lim="800000"/>
        </a:ln>
      </xdr:spPr>
      <xdr:txBody>
        <a:bodyPr vertOverflow="clip" wrap="square" lIns="91440" tIns="45720" rIns="91440" bIns="45720" anchor="t" upright="1"/>
        <a:lstStyle/>
        <a:p>
          <a:pPr algn="l" rtl="0">
            <a:defRPr sz="1000"/>
          </a:pPr>
          <a:r>
            <a:rPr lang="en-US" sz="1100" b="0" i="0" strike="noStrike">
              <a:solidFill>
                <a:srgbClr val="000000"/>
              </a:solidFill>
              <a:latin typeface="Calibri" panose="020F0502020204030204"/>
            </a:rPr>
            <a:t>This table determines the localized URLs</a:t>
          </a:r>
          <a:r>
            <a:rPr lang="en-US" sz="1100" b="0" i="0" strike="noStrike" baseline="0">
              <a:solidFill>
                <a:srgbClr val="000000"/>
              </a:solidFill>
              <a:latin typeface="Calibri" panose="020F0502020204030204"/>
            </a:rPr>
            <a:t> to which to upload</a:t>
          </a:r>
          <a:r>
            <a:rPr lang="en-US" sz="1100" b="0" i="0" strike="noStrike">
              <a:solidFill>
                <a:srgbClr val="000000"/>
              </a:solidFill>
              <a:latin typeface="Calibri" panose="020F0502020204030204"/>
            </a:rPr>
            <a:t>. For Listingloader, this table also determines the</a:t>
          </a:r>
          <a:r>
            <a:rPr lang="en-US" sz="1100" b="0" i="0" strike="noStrike" baseline="0">
              <a:solidFill>
                <a:srgbClr val="000000"/>
              </a:solidFill>
              <a:latin typeface="Calibri" panose="020F0502020204030204"/>
            </a:rPr>
            <a:t> localized URLs to use for category search, category lookup, and checking status.</a:t>
          </a:r>
          <a:endParaRPr lang="en-US" sz="1100" b="0" i="0" strike="noStrike" baseline="0">
            <a:solidFill>
              <a:srgbClr val="000000"/>
            </a:solidFill>
            <a:latin typeface="Calibri" panose="020F0502020204030204"/>
          </a:endParaRPr>
        </a:p>
        <a:p>
          <a:pPr algn="l" rtl="0">
            <a:defRPr sz="1000"/>
          </a:pPr>
          <a:endParaRPr lang="en-US" sz="1100" b="0" i="0" strike="noStrike" baseline="0">
            <a:solidFill>
              <a:srgbClr val="000000"/>
            </a:solidFill>
            <a:latin typeface="Calibri" panose="020F0502020204030204"/>
          </a:endParaRPr>
        </a:p>
        <a:p>
          <a:pPr algn="l" rtl="0">
            <a:defRPr sz="1000"/>
          </a:pPr>
          <a:r>
            <a:rPr lang="en-US" sz="1100" b="0" i="0" strike="noStrike">
              <a:solidFill>
                <a:srgbClr val="000000"/>
              </a:solidFill>
              <a:latin typeface="Calibri" panose="020F0502020204030204"/>
            </a:rPr>
            <a:t>Below </a:t>
          </a:r>
          <a:r>
            <a:rPr lang="en-US" sz="1100" b="0" i="0" strike="noStrike" baseline="0">
              <a:solidFill>
                <a:srgbClr val="000000"/>
              </a:solidFill>
              <a:latin typeface="Calibri" panose="020F0502020204030204"/>
            </a:rPr>
            <a:t>each section of all local URLs for a given URL category, and above the next section, there must be a cell with the text "ENDSECTION". </a:t>
          </a:r>
          <a:endParaRPr lang="en-US" sz="1100" b="0" i="0" strike="noStrike">
            <a:solidFill>
              <a:srgbClr val="000000"/>
            </a:solidFill>
            <a:latin typeface="Calibri" panose="020F0502020204030204"/>
          </a:endParaRPr>
        </a:p>
        <a:p>
          <a:pPr algn="l" rtl="0">
            <a:defRPr sz="1000"/>
          </a:pPr>
          <a:endParaRPr lang="en-US" sz="1100" b="0" i="0" strike="noStrike">
            <a:solidFill>
              <a:srgbClr val="000000"/>
            </a:solidFill>
            <a:latin typeface="Calibri" panose="020F0502020204030204"/>
          </a:endParaRPr>
        </a:p>
        <a:p>
          <a:pPr algn="l" rtl="0">
            <a:lnSpc>
              <a:spcPts val="1200"/>
            </a:lnSpc>
            <a:defRPr sz="1000"/>
          </a:pPr>
          <a:r>
            <a:rPr lang="en-US" sz="1100" b="0" i="0" strike="noStrike">
              <a:solidFill>
                <a:srgbClr val="000000"/>
              </a:solidFill>
              <a:latin typeface="Calibri" panose="020F0502020204030204"/>
            </a:rPr>
            <a:t>For each localized</a:t>
          </a:r>
          <a:r>
            <a:rPr lang="en-US" sz="1100" b="0" i="0" strike="noStrike" baseline="0">
              <a:solidFill>
                <a:srgbClr val="000000"/>
              </a:solidFill>
              <a:latin typeface="Calibri" panose="020F0502020204030204"/>
            </a:rPr>
            <a:t> template, t</a:t>
          </a:r>
          <a:r>
            <a:rPr lang="en-US" sz="1100" b="0" i="0" strike="noStrike">
              <a:solidFill>
                <a:srgbClr val="000000"/>
              </a:solidFill>
              <a:latin typeface="Calibri" panose="020F0502020204030204"/>
            </a:rPr>
            <a:t>he entry in the "Local URL</a:t>
          </a:r>
          <a:r>
            <a:rPr lang="en-US" sz="1100" b="0" i="0" strike="noStrike" baseline="0">
              <a:solidFill>
                <a:srgbClr val="000000"/>
              </a:solidFill>
              <a:latin typeface="Calibri" panose="020F0502020204030204"/>
            </a:rPr>
            <a:t>" setting here will be used for uploading.</a:t>
          </a:r>
          <a:endParaRPr lang="en-US" sz="1100" b="0" i="0" strike="noStrike">
            <a:solidFill>
              <a:srgbClr val="000000"/>
            </a:solidFill>
            <a:latin typeface="Calibri" panose="020F0502020204030204"/>
          </a:endParaRPr>
        </a:p>
      </xdr:txBody>
    </xdr: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63</xdr:col>
      <xdr:colOff>0</xdr:colOff>
      <xdr:row>3</xdr:row>
      <xdr:rowOff>0</xdr:rowOff>
    </xdr:from>
    <xdr:to>
      <xdr:col>63</xdr:col>
      <xdr:colOff>7620</xdr:colOff>
      <xdr:row>3</xdr:row>
      <xdr:rowOff>7620</xdr:rowOff>
    </xdr:to>
    <xdr:pic>
      <xdr:nvPicPr>
        <xdr:cNvPr id="12" name="图片 11"/>
        <xdr:cNvPicPr>
          <a:picLocks noChangeAspect="1"/>
        </xdr:cNvPicPr>
      </xdr:nvPicPr>
      <xdr:blipFill>
        <a:blip r:embed="rId1" r:link="rId2"/>
        <a:stretch>
          <a:fillRect/>
        </a:stretch>
      </xdr:blipFill>
      <xdr:spPr>
        <a:xfrm>
          <a:off x="85642450" y="782955"/>
          <a:ext cx="7620" cy="7620"/>
        </a:xfrm>
        <a:prstGeom prst="rect">
          <a:avLst/>
        </a:prstGeom>
      </xdr:spPr>
    </xdr:pic>
    <xdr:clientData/>
  </xdr:twoCellAnchor>
  <xdr:twoCellAnchor editAs="oneCell">
    <xdr:from>
      <xdr:col>63</xdr:col>
      <xdr:colOff>0</xdr:colOff>
      <xdr:row>3</xdr:row>
      <xdr:rowOff>0</xdr:rowOff>
    </xdr:from>
    <xdr:to>
      <xdr:col>63</xdr:col>
      <xdr:colOff>7620</xdr:colOff>
      <xdr:row>3</xdr:row>
      <xdr:rowOff>7620</xdr:rowOff>
    </xdr:to>
    <xdr:pic>
      <xdr:nvPicPr>
        <xdr:cNvPr id="81" name="图片 80"/>
        <xdr:cNvPicPr>
          <a:picLocks noChangeAspect="1"/>
        </xdr:cNvPicPr>
      </xdr:nvPicPr>
      <xdr:blipFill>
        <a:blip r:embed="rId1" r:link="rId2"/>
        <a:stretch>
          <a:fillRect/>
        </a:stretch>
      </xdr:blipFill>
      <xdr:spPr>
        <a:xfrm>
          <a:off x="85642450" y="782955"/>
          <a:ext cx="7620" cy="7620"/>
        </a:xfrm>
        <a:prstGeom prst="rect">
          <a:avLst/>
        </a:prstGeom>
      </xdr:spPr>
    </xdr:pic>
    <xdr:clientData/>
  </xdr:twoCellAnchor>
  <xdr:twoCellAnchor editAs="oneCell">
    <xdr:from>
      <xdr:col>63</xdr:col>
      <xdr:colOff>0</xdr:colOff>
      <xdr:row>7</xdr:row>
      <xdr:rowOff>0</xdr:rowOff>
    </xdr:from>
    <xdr:to>
      <xdr:col>63</xdr:col>
      <xdr:colOff>7620</xdr:colOff>
      <xdr:row>7</xdr:row>
      <xdr:rowOff>7620</xdr:rowOff>
    </xdr:to>
    <xdr:pic>
      <xdr:nvPicPr>
        <xdr:cNvPr id="150" name="图片 149"/>
        <xdr:cNvPicPr>
          <a:picLocks noChangeAspect="1"/>
        </xdr:cNvPicPr>
      </xdr:nvPicPr>
      <xdr:blipFill>
        <a:blip r:embed="rId1" r:link="rId2"/>
        <a:stretch>
          <a:fillRect/>
        </a:stretch>
      </xdr:blipFill>
      <xdr:spPr>
        <a:xfrm>
          <a:off x="85642450" y="1567815"/>
          <a:ext cx="7620" cy="7620"/>
        </a:xfrm>
        <a:prstGeom prst="rect">
          <a:avLst/>
        </a:prstGeom>
      </xdr:spPr>
    </xdr:pic>
    <xdr:clientData/>
  </xdr:twoCellAnchor>
  <xdr:twoCellAnchor editAs="oneCell">
    <xdr:from>
      <xdr:col>63</xdr:col>
      <xdr:colOff>0</xdr:colOff>
      <xdr:row>7</xdr:row>
      <xdr:rowOff>0</xdr:rowOff>
    </xdr:from>
    <xdr:to>
      <xdr:col>63</xdr:col>
      <xdr:colOff>7620</xdr:colOff>
      <xdr:row>7</xdr:row>
      <xdr:rowOff>7620</xdr:rowOff>
    </xdr:to>
    <xdr:pic>
      <xdr:nvPicPr>
        <xdr:cNvPr id="219" name="图片 218"/>
        <xdr:cNvPicPr>
          <a:picLocks noChangeAspect="1"/>
        </xdr:cNvPicPr>
      </xdr:nvPicPr>
      <xdr:blipFill>
        <a:blip r:embed="rId1" r:link="rId2"/>
        <a:stretch>
          <a:fillRect/>
        </a:stretch>
      </xdr:blipFill>
      <xdr:spPr>
        <a:xfrm>
          <a:off x="85642450" y="1567815"/>
          <a:ext cx="7620" cy="7620"/>
        </a:xfrm>
        <a:prstGeom prst="rect">
          <a:avLst/>
        </a:prstGeom>
      </xdr:spPr>
    </xdr:pic>
    <xdr:clientData/>
  </xdr:twoCellAnchor>
  <xdr:twoCellAnchor editAs="oneCell">
    <xdr:from>
      <xdr:col>63</xdr:col>
      <xdr:colOff>0</xdr:colOff>
      <xdr:row>7</xdr:row>
      <xdr:rowOff>0</xdr:rowOff>
    </xdr:from>
    <xdr:to>
      <xdr:col>63</xdr:col>
      <xdr:colOff>7620</xdr:colOff>
      <xdr:row>7</xdr:row>
      <xdr:rowOff>7620</xdr:rowOff>
    </xdr:to>
    <xdr:pic>
      <xdr:nvPicPr>
        <xdr:cNvPr id="284" name="图片 283"/>
        <xdr:cNvPicPr>
          <a:picLocks noChangeAspect="1"/>
        </xdr:cNvPicPr>
      </xdr:nvPicPr>
      <xdr:blipFill>
        <a:blip r:embed="rId1" r:link="rId2"/>
        <a:stretch>
          <a:fillRect/>
        </a:stretch>
      </xdr:blipFill>
      <xdr:spPr>
        <a:xfrm>
          <a:off x="85642450" y="1567815"/>
          <a:ext cx="7620" cy="7620"/>
        </a:xfrm>
        <a:prstGeom prst="rect">
          <a:avLst/>
        </a:prstGeom>
      </xdr:spPr>
    </xdr:pic>
    <xdr:clientData/>
  </xdr:twoCellAnchor>
  <xdr:twoCellAnchor editAs="oneCell">
    <xdr:from>
      <xdr:col>63</xdr:col>
      <xdr:colOff>0</xdr:colOff>
      <xdr:row>7</xdr:row>
      <xdr:rowOff>0</xdr:rowOff>
    </xdr:from>
    <xdr:to>
      <xdr:col>63</xdr:col>
      <xdr:colOff>7620</xdr:colOff>
      <xdr:row>7</xdr:row>
      <xdr:rowOff>7620</xdr:rowOff>
    </xdr:to>
    <xdr:pic>
      <xdr:nvPicPr>
        <xdr:cNvPr id="353" name="图片 352"/>
        <xdr:cNvPicPr>
          <a:picLocks noChangeAspect="1"/>
        </xdr:cNvPicPr>
      </xdr:nvPicPr>
      <xdr:blipFill>
        <a:blip r:embed="rId1" r:link="rId2"/>
        <a:stretch>
          <a:fillRect/>
        </a:stretch>
      </xdr:blipFill>
      <xdr:spPr>
        <a:xfrm>
          <a:off x="85642450" y="1567815"/>
          <a:ext cx="7620" cy="7620"/>
        </a:xfrm>
        <a:prstGeom prst="rect">
          <a:avLst/>
        </a:prstGeom>
      </xdr:spPr>
    </xdr:pic>
    <xdr:clientData/>
  </xdr:twoCellAnchor>
  <xdr:twoCellAnchor editAs="oneCell">
    <xdr:from>
      <xdr:col>63</xdr:col>
      <xdr:colOff>0</xdr:colOff>
      <xdr:row>7</xdr:row>
      <xdr:rowOff>0</xdr:rowOff>
    </xdr:from>
    <xdr:to>
      <xdr:col>63</xdr:col>
      <xdr:colOff>7620</xdr:colOff>
      <xdr:row>7</xdr:row>
      <xdr:rowOff>7620</xdr:rowOff>
    </xdr:to>
    <xdr:pic>
      <xdr:nvPicPr>
        <xdr:cNvPr id="558" name="图片 557"/>
        <xdr:cNvPicPr>
          <a:picLocks noChangeAspect="1"/>
        </xdr:cNvPicPr>
      </xdr:nvPicPr>
      <xdr:blipFill>
        <a:blip r:embed="rId1" r:link="rId2"/>
        <a:stretch>
          <a:fillRect/>
        </a:stretch>
      </xdr:blipFill>
      <xdr:spPr>
        <a:xfrm>
          <a:off x="85642450" y="1567815"/>
          <a:ext cx="7620" cy="7620"/>
        </a:xfrm>
        <a:prstGeom prst="rect">
          <a:avLst/>
        </a:prstGeom>
      </xdr:spPr>
    </xdr:pic>
    <xdr:clientData/>
  </xdr:twoCellAnchor>
  <xdr:twoCellAnchor editAs="oneCell">
    <xdr:from>
      <xdr:col>63</xdr:col>
      <xdr:colOff>0</xdr:colOff>
      <xdr:row>7</xdr:row>
      <xdr:rowOff>0</xdr:rowOff>
    </xdr:from>
    <xdr:to>
      <xdr:col>63</xdr:col>
      <xdr:colOff>7620</xdr:colOff>
      <xdr:row>7</xdr:row>
      <xdr:rowOff>7620</xdr:rowOff>
    </xdr:to>
    <xdr:pic>
      <xdr:nvPicPr>
        <xdr:cNvPr id="627" name="图片 626"/>
        <xdr:cNvPicPr>
          <a:picLocks noChangeAspect="1"/>
        </xdr:cNvPicPr>
      </xdr:nvPicPr>
      <xdr:blipFill>
        <a:blip r:embed="rId1" r:link="rId2"/>
        <a:stretch>
          <a:fillRect/>
        </a:stretch>
      </xdr:blipFill>
      <xdr:spPr>
        <a:xfrm>
          <a:off x="85642450" y="1567815"/>
          <a:ext cx="7620" cy="7620"/>
        </a:xfrm>
        <a:prstGeom prst="rect">
          <a:avLst/>
        </a:prstGeom>
      </xdr:spPr>
    </xdr:pic>
    <xdr:clientData/>
  </xdr:twoCellAnchor>
  <xdr:twoCellAnchor editAs="oneCell">
    <xdr:from>
      <xdr:col>63</xdr:col>
      <xdr:colOff>0</xdr:colOff>
      <xdr:row>7</xdr:row>
      <xdr:rowOff>0</xdr:rowOff>
    </xdr:from>
    <xdr:to>
      <xdr:col>63</xdr:col>
      <xdr:colOff>7620</xdr:colOff>
      <xdr:row>7</xdr:row>
      <xdr:rowOff>7620</xdr:rowOff>
    </xdr:to>
    <xdr:pic>
      <xdr:nvPicPr>
        <xdr:cNvPr id="1104" name="图片 1103"/>
        <xdr:cNvPicPr>
          <a:picLocks noChangeAspect="1"/>
        </xdr:cNvPicPr>
      </xdr:nvPicPr>
      <xdr:blipFill>
        <a:blip r:embed="rId1" r:link="rId2"/>
        <a:stretch>
          <a:fillRect/>
        </a:stretch>
      </xdr:blipFill>
      <xdr:spPr>
        <a:xfrm>
          <a:off x="85642450" y="1567815"/>
          <a:ext cx="7620" cy="7620"/>
        </a:xfrm>
        <a:prstGeom prst="rect">
          <a:avLst/>
        </a:prstGeom>
      </xdr:spPr>
    </xdr:pic>
    <xdr:clientData/>
  </xdr:twoCellAnchor>
  <xdr:twoCellAnchor editAs="oneCell">
    <xdr:from>
      <xdr:col>63</xdr:col>
      <xdr:colOff>0</xdr:colOff>
      <xdr:row>7</xdr:row>
      <xdr:rowOff>0</xdr:rowOff>
    </xdr:from>
    <xdr:to>
      <xdr:col>63</xdr:col>
      <xdr:colOff>7620</xdr:colOff>
      <xdr:row>7</xdr:row>
      <xdr:rowOff>7620</xdr:rowOff>
    </xdr:to>
    <xdr:pic>
      <xdr:nvPicPr>
        <xdr:cNvPr id="1173" name="图片 1172"/>
        <xdr:cNvPicPr>
          <a:picLocks noChangeAspect="1"/>
        </xdr:cNvPicPr>
      </xdr:nvPicPr>
      <xdr:blipFill>
        <a:blip r:embed="rId1" r:link="rId2"/>
        <a:stretch>
          <a:fillRect/>
        </a:stretch>
      </xdr:blipFill>
      <xdr:spPr>
        <a:xfrm>
          <a:off x="85642450" y="1567815"/>
          <a:ext cx="7620" cy="7620"/>
        </a:xfrm>
        <a:prstGeom prst="rect">
          <a:avLst/>
        </a:prstGeom>
      </xdr:spPr>
    </xdr:pic>
    <xdr:clientData/>
  </xdr:twoCellAnchor>
  <xdr:twoCellAnchor editAs="oneCell">
    <xdr:from>
      <xdr:col>63</xdr:col>
      <xdr:colOff>0</xdr:colOff>
      <xdr:row>7</xdr:row>
      <xdr:rowOff>0</xdr:rowOff>
    </xdr:from>
    <xdr:to>
      <xdr:col>63</xdr:col>
      <xdr:colOff>7620</xdr:colOff>
      <xdr:row>7</xdr:row>
      <xdr:rowOff>7620</xdr:rowOff>
    </xdr:to>
    <xdr:pic>
      <xdr:nvPicPr>
        <xdr:cNvPr id="1242" name="图片 1241"/>
        <xdr:cNvPicPr>
          <a:picLocks noChangeAspect="1"/>
        </xdr:cNvPicPr>
      </xdr:nvPicPr>
      <xdr:blipFill>
        <a:blip r:embed="rId1" r:link="rId2"/>
        <a:stretch>
          <a:fillRect/>
        </a:stretch>
      </xdr:blipFill>
      <xdr:spPr>
        <a:xfrm>
          <a:off x="85642450" y="1567815"/>
          <a:ext cx="7620" cy="7620"/>
        </a:xfrm>
        <a:prstGeom prst="rect">
          <a:avLst/>
        </a:prstGeom>
      </xdr:spPr>
    </xdr:pic>
    <xdr:clientData/>
  </xdr:twoCellAnchor>
  <xdr:twoCellAnchor editAs="oneCell">
    <xdr:from>
      <xdr:col>63</xdr:col>
      <xdr:colOff>0</xdr:colOff>
      <xdr:row>7</xdr:row>
      <xdr:rowOff>0</xdr:rowOff>
    </xdr:from>
    <xdr:to>
      <xdr:col>63</xdr:col>
      <xdr:colOff>7620</xdr:colOff>
      <xdr:row>7</xdr:row>
      <xdr:rowOff>7620</xdr:rowOff>
    </xdr:to>
    <xdr:pic>
      <xdr:nvPicPr>
        <xdr:cNvPr id="1311" name="图片 1310"/>
        <xdr:cNvPicPr>
          <a:picLocks noChangeAspect="1"/>
        </xdr:cNvPicPr>
      </xdr:nvPicPr>
      <xdr:blipFill>
        <a:blip r:embed="rId1" r:link="rId2"/>
        <a:stretch>
          <a:fillRect/>
        </a:stretch>
      </xdr:blipFill>
      <xdr:spPr>
        <a:xfrm>
          <a:off x="85642450" y="1567815"/>
          <a:ext cx="7620" cy="7620"/>
        </a:xfrm>
        <a:prstGeom prst="rect">
          <a:avLst/>
        </a:prstGeom>
      </xdr:spPr>
    </xdr:pic>
    <xdr:clientData/>
  </xdr:twoCellAnchor>
  <xdr:twoCellAnchor editAs="oneCell">
    <xdr:from>
      <xdr:col>63</xdr:col>
      <xdr:colOff>0</xdr:colOff>
      <xdr:row>7</xdr:row>
      <xdr:rowOff>0</xdr:rowOff>
    </xdr:from>
    <xdr:to>
      <xdr:col>63</xdr:col>
      <xdr:colOff>7620</xdr:colOff>
      <xdr:row>7</xdr:row>
      <xdr:rowOff>7620</xdr:rowOff>
    </xdr:to>
    <xdr:pic>
      <xdr:nvPicPr>
        <xdr:cNvPr id="1380" name="图片 1379"/>
        <xdr:cNvPicPr>
          <a:picLocks noChangeAspect="1"/>
        </xdr:cNvPicPr>
      </xdr:nvPicPr>
      <xdr:blipFill>
        <a:blip r:embed="rId1" r:link="rId2"/>
        <a:stretch>
          <a:fillRect/>
        </a:stretch>
      </xdr:blipFill>
      <xdr:spPr>
        <a:xfrm>
          <a:off x="85642450" y="1567815"/>
          <a:ext cx="7620" cy="7620"/>
        </a:xfrm>
        <a:prstGeom prst="rect">
          <a:avLst/>
        </a:prstGeom>
      </xdr:spPr>
    </xdr:pic>
    <xdr:clientData/>
  </xdr:twoCellAnchor>
  <xdr:twoCellAnchor editAs="oneCell">
    <xdr:from>
      <xdr:col>63</xdr:col>
      <xdr:colOff>0</xdr:colOff>
      <xdr:row>7</xdr:row>
      <xdr:rowOff>0</xdr:rowOff>
    </xdr:from>
    <xdr:to>
      <xdr:col>63</xdr:col>
      <xdr:colOff>7620</xdr:colOff>
      <xdr:row>7</xdr:row>
      <xdr:rowOff>7620</xdr:rowOff>
    </xdr:to>
    <xdr:pic>
      <xdr:nvPicPr>
        <xdr:cNvPr id="1449" name="图片 1448"/>
        <xdr:cNvPicPr>
          <a:picLocks noChangeAspect="1"/>
        </xdr:cNvPicPr>
      </xdr:nvPicPr>
      <xdr:blipFill>
        <a:blip r:embed="rId1" r:link="rId2"/>
        <a:stretch>
          <a:fillRect/>
        </a:stretch>
      </xdr:blipFill>
      <xdr:spPr>
        <a:xfrm>
          <a:off x="85642450" y="1567815"/>
          <a:ext cx="7620" cy="7620"/>
        </a:xfrm>
        <a:prstGeom prst="rect">
          <a:avLst/>
        </a:prstGeom>
      </xdr:spPr>
    </xdr:pic>
    <xdr:clientData/>
  </xdr:twoCellAnchor>
  <xdr:twoCellAnchor editAs="oneCell">
    <xdr:from>
      <xdr:col>63</xdr:col>
      <xdr:colOff>0</xdr:colOff>
      <xdr:row>7</xdr:row>
      <xdr:rowOff>0</xdr:rowOff>
    </xdr:from>
    <xdr:to>
      <xdr:col>63</xdr:col>
      <xdr:colOff>7620</xdr:colOff>
      <xdr:row>7</xdr:row>
      <xdr:rowOff>7620</xdr:rowOff>
    </xdr:to>
    <xdr:pic>
      <xdr:nvPicPr>
        <xdr:cNvPr id="1926" name="图片 1925"/>
        <xdr:cNvPicPr>
          <a:picLocks noChangeAspect="1"/>
        </xdr:cNvPicPr>
      </xdr:nvPicPr>
      <xdr:blipFill>
        <a:blip r:embed="rId1" r:link="rId2"/>
        <a:stretch>
          <a:fillRect/>
        </a:stretch>
      </xdr:blipFill>
      <xdr:spPr>
        <a:xfrm>
          <a:off x="85642450" y="1567815"/>
          <a:ext cx="7620" cy="7620"/>
        </a:xfrm>
        <a:prstGeom prst="rect">
          <a:avLst/>
        </a:prstGeom>
      </xdr:spPr>
    </xdr:pic>
    <xdr:clientData/>
  </xdr:twoCellAnchor>
  <xdr:twoCellAnchor editAs="oneCell">
    <xdr:from>
      <xdr:col>63</xdr:col>
      <xdr:colOff>0</xdr:colOff>
      <xdr:row>7</xdr:row>
      <xdr:rowOff>0</xdr:rowOff>
    </xdr:from>
    <xdr:to>
      <xdr:col>63</xdr:col>
      <xdr:colOff>7620</xdr:colOff>
      <xdr:row>7</xdr:row>
      <xdr:rowOff>7620</xdr:rowOff>
    </xdr:to>
    <xdr:pic>
      <xdr:nvPicPr>
        <xdr:cNvPr id="1995" name="图片 1994"/>
        <xdr:cNvPicPr>
          <a:picLocks noChangeAspect="1"/>
        </xdr:cNvPicPr>
      </xdr:nvPicPr>
      <xdr:blipFill>
        <a:blip r:embed="rId1" r:link="rId2"/>
        <a:stretch>
          <a:fillRect/>
        </a:stretch>
      </xdr:blipFill>
      <xdr:spPr>
        <a:xfrm>
          <a:off x="85642450" y="1567815"/>
          <a:ext cx="7620" cy="7620"/>
        </a:xfrm>
        <a:prstGeom prst="rect">
          <a:avLst/>
        </a:prstGeom>
      </xdr:spPr>
    </xdr:pic>
    <xdr:clientData/>
  </xdr:twoCellAnchor>
  <xdr:twoCellAnchor editAs="oneCell">
    <xdr:from>
      <xdr:col>63</xdr:col>
      <xdr:colOff>0</xdr:colOff>
      <xdr:row>7</xdr:row>
      <xdr:rowOff>0</xdr:rowOff>
    </xdr:from>
    <xdr:to>
      <xdr:col>63</xdr:col>
      <xdr:colOff>7620</xdr:colOff>
      <xdr:row>7</xdr:row>
      <xdr:rowOff>7620</xdr:rowOff>
    </xdr:to>
    <xdr:pic>
      <xdr:nvPicPr>
        <xdr:cNvPr id="2064" name="图片 2063"/>
        <xdr:cNvPicPr>
          <a:picLocks noChangeAspect="1"/>
        </xdr:cNvPicPr>
      </xdr:nvPicPr>
      <xdr:blipFill>
        <a:blip r:embed="rId1" r:link="rId2"/>
        <a:stretch>
          <a:fillRect/>
        </a:stretch>
      </xdr:blipFill>
      <xdr:spPr>
        <a:xfrm>
          <a:off x="85642450" y="1567815"/>
          <a:ext cx="7620" cy="7620"/>
        </a:xfrm>
        <a:prstGeom prst="rect">
          <a:avLst/>
        </a:prstGeom>
      </xdr:spPr>
    </xdr:pic>
    <xdr:clientData/>
  </xdr:twoCellAnchor>
  <xdr:twoCellAnchor editAs="oneCell">
    <xdr:from>
      <xdr:col>63</xdr:col>
      <xdr:colOff>0</xdr:colOff>
      <xdr:row>7</xdr:row>
      <xdr:rowOff>0</xdr:rowOff>
    </xdr:from>
    <xdr:to>
      <xdr:col>63</xdr:col>
      <xdr:colOff>7620</xdr:colOff>
      <xdr:row>7</xdr:row>
      <xdr:rowOff>7620</xdr:rowOff>
    </xdr:to>
    <xdr:pic>
      <xdr:nvPicPr>
        <xdr:cNvPr id="2133" name="图片 2132"/>
        <xdr:cNvPicPr>
          <a:picLocks noChangeAspect="1"/>
        </xdr:cNvPicPr>
      </xdr:nvPicPr>
      <xdr:blipFill>
        <a:blip r:embed="rId1" r:link="rId2"/>
        <a:stretch>
          <a:fillRect/>
        </a:stretch>
      </xdr:blipFill>
      <xdr:spPr>
        <a:xfrm>
          <a:off x="85642450" y="1567815"/>
          <a:ext cx="7620" cy="7620"/>
        </a:xfrm>
        <a:prstGeom prst="rect">
          <a:avLst/>
        </a:prstGeom>
      </xdr:spPr>
    </xdr:pic>
    <xdr:clientData/>
  </xdr:twoCellAnchor>
  <xdr:twoCellAnchor editAs="oneCell">
    <xdr:from>
      <xdr:col>63</xdr:col>
      <xdr:colOff>0</xdr:colOff>
      <xdr:row>7</xdr:row>
      <xdr:rowOff>0</xdr:rowOff>
    </xdr:from>
    <xdr:to>
      <xdr:col>63</xdr:col>
      <xdr:colOff>7620</xdr:colOff>
      <xdr:row>7</xdr:row>
      <xdr:rowOff>7620</xdr:rowOff>
    </xdr:to>
    <xdr:pic>
      <xdr:nvPicPr>
        <xdr:cNvPr id="2202" name="图片 2201"/>
        <xdr:cNvPicPr>
          <a:picLocks noChangeAspect="1"/>
        </xdr:cNvPicPr>
      </xdr:nvPicPr>
      <xdr:blipFill>
        <a:blip r:embed="rId1" r:link="rId2"/>
        <a:stretch>
          <a:fillRect/>
        </a:stretch>
      </xdr:blipFill>
      <xdr:spPr>
        <a:xfrm>
          <a:off x="85642450" y="1567815"/>
          <a:ext cx="7620" cy="7620"/>
        </a:xfrm>
        <a:prstGeom prst="rect">
          <a:avLst/>
        </a:prstGeom>
      </xdr:spPr>
    </xdr:pic>
    <xdr:clientData/>
  </xdr:twoCellAnchor>
  <xdr:twoCellAnchor editAs="oneCell">
    <xdr:from>
      <xdr:col>63</xdr:col>
      <xdr:colOff>0</xdr:colOff>
      <xdr:row>7</xdr:row>
      <xdr:rowOff>0</xdr:rowOff>
    </xdr:from>
    <xdr:to>
      <xdr:col>63</xdr:col>
      <xdr:colOff>7620</xdr:colOff>
      <xdr:row>7</xdr:row>
      <xdr:rowOff>7620</xdr:rowOff>
    </xdr:to>
    <xdr:pic>
      <xdr:nvPicPr>
        <xdr:cNvPr id="2271" name="图片 2270"/>
        <xdr:cNvPicPr>
          <a:picLocks noChangeAspect="1"/>
        </xdr:cNvPicPr>
      </xdr:nvPicPr>
      <xdr:blipFill>
        <a:blip r:embed="rId1" r:link="rId2"/>
        <a:stretch>
          <a:fillRect/>
        </a:stretch>
      </xdr:blipFill>
      <xdr:spPr>
        <a:xfrm>
          <a:off x="85642450" y="1567815"/>
          <a:ext cx="7620" cy="762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melodylu/Downloads//Users/luceym/Documents/SEDIT-77856_Updated%20instructions%20in%20bulk%20listing%20template_WW/Template%20Instructions%20update%20v2.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melodylu/Downloads//Users/Everpretty/Desktop/&#19978;&#26032;sookie/CG40414-UK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icons"/>
      <sheetName val="International URLs"/>
      <sheetName val="International Settings"/>
      <sheetName val="DropdownSizer"/>
      <sheetName val="Instructions"/>
      <sheetName val="Images"/>
      <sheetName val="International Translations"/>
      <sheetName val="Data Validation"/>
      <sheetName val="International Data"/>
      <sheetName val="Example"/>
      <sheetName val="Data Definitions"/>
      <sheetName val="Template"/>
      <sheetName val="Browse Data"/>
      <sheetName val="Valid Values"/>
      <sheetName val="Dropdown Lists"/>
      <sheetName val="AttributePTDMAP"/>
    </sheetNames>
    <sheetDataSet>
      <sheetData sheetId="0"/>
      <sheetData sheetId="1"/>
      <sheetData sheetId="2">
        <row r="9">
          <cell r="A9" t="str">
            <v>http://g-ecx.images-amazon.com/images/G/01/rainier/help/ff/</v>
          </cell>
        </row>
        <row r="10">
          <cell r="A10" t="str">
            <v>http://g-ecx.images-amazon.com/images/G/01/rainier/help/ff/</v>
          </cell>
        </row>
        <row r="11">
          <cell r="A11" t="str">
            <v>http://g-ecx.images-amazon.com/images/G/01/rainier/help/ff/</v>
          </cell>
        </row>
        <row r="12">
          <cell r="A12" t="str">
            <v>http://g-ecx.images-amazon.com/images/G/01/rainier/help/ff/beta/</v>
          </cell>
        </row>
        <row r="13">
          <cell r="A13" t="str">
            <v>http://g-ecx.images-amazon.com/images/G/01/rainier/help/ff/beta/</v>
          </cell>
        </row>
        <row r="14">
          <cell r="A14" t="str">
            <v>http://g-ecx.images-amazon.com/images/G/01/rainier/help/ff/beta/</v>
          </cell>
        </row>
        <row r="15">
          <cell r="A15" t="str">
            <v>IntMiscData.txt</v>
          </cell>
        </row>
        <row r="16">
          <cell r="A16" t="str">
            <v>IntDataValidation.txt</v>
          </cell>
        </row>
        <row r="17">
          <cell r="A17" t="str">
            <v>IntDropdownLists.txt</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Instructions"/>
      <sheetName val="Images"/>
      <sheetName val="Example"/>
      <sheetName val="Data Definitions"/>
      <sheetName val="Dropdown Lists"/>
      <sheetName val="AttributePTDMAP"/>
      <sheetName val="Template"/>
      <sheetName val="Browse Data"/>
      <sheetName val="Conditions List"/>
      <sheetName val="Valid Values"/>
    </sheetNames>
    <sheetDataSet>
      <sheetData sheetId="0"/>
      <sheetData sheetId="1"/>
      <sheetData sheetId="2"/>
      <sheetData sheetId="3"/>
      <sheetData sheetId="4"/>
      <sheetData sheetId="5"/>
      <sheetData sheetId="6"/>
      <sheetData sheetId="7"/>
      <sheetData sheetId="8"/>
      <sheetData sheetId="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5" Type="http://schemas.openxmlformats.org/officeDocument/2006/relationships/hyperlink" Target="https://mws.amazonservices.es/?Version=2009-01-01&amp;SignatureVersion=2&amp;SignatureMethod=HmacSHA256" TargetMode="External"/><Relationship Id="rId4" Type="http://schemas.openxmlformats.org/officeDocument/2006/relationships/hyperlink" Target="https://mws.amazonservices.it/?Version=2009-01-01&amp;SignatureVersion=2&amp;SignatureMethod=HmacSHA256" TargetMode="External"/><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
  <sheetViews>
    <sheetView workbookViewId="0">
      <selection activeCell="E25" sqref="E25"/>
    </sheetView>
  </sheetViews>
  <sheetFormatPr defaultColWidth="9.10714285714286" defaultRowHeight="15.2"/>
  <cols>
    <col min="1" max="1" width="9.10714285714286" style="106" customWidth="1"/>
    <col min="2" max="16384" width="9.10714285714286" style="106"/>
  </cols>
  <sheetData/>
  <pageMargins left="0.7" right="0.7" top="0.75" bottom="0.75" header="0.3" footer="0.3"/>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3:B94"/>
  <sheetViews>
    <sheetView workbookViewId="0">
      <selection activeCell="D23" sqref="D23"/>
    </sheetView>
  </sheetViews>
  <sheetFormatPr defaultColWidth="9.10714285714286" defaultRowHeight="15.2" outlineLevelCol="1"/>
  <cols>
    <col min="1" max="1" width="17.8928571428571" style="114" customWidth="1"/>
    <col min="2" max="2" width="33.2232142857143" style="114" customWidth="1"/>
    <col min="3" max="256" width="9.10714285714286" style="114" customWidth="1"/>
    <col min="257" max="257" width="17.8928571428571" style="114" customWidth="1"/>
    <col min="258" max="258" width="33.2232142857143" style="114" customWidth="1"/>
    <col min="259" max="512" width="9.10714285714286" style="114" customWidth="1"/>
    <col min="513" max="513" width="17.8928571428571" style="114" customWidth="1"/>
    <col min="514" max="514" width="33.2232142857143" style="114" customWidth="1"/>
    <col min="515" max="768" width="9.10714285714286" style="114" customWidth="1"/>
    <col min="769" max="769" width="17.8928571428571" style="114" customWidth="1"/>
    <col min="770" max="770" width="33.2232142857143" style="114" customWidth="1"/>
    <col min="771" max="1024" width="9.10714285714286" style="114" customWidth="1"/>
    <col min="1025" max="1025" width="17.8928571428571" style="114" customWidth="1"/>
    <col min="1026" max="1026" width="33.2232142857143" style="114" customWidth="1"/>
    <col min="1027" max="1280" width="9.10714285714286" style="114" customWidth="1"/>
    <col min="1281" max="1281" width="17.8928571428571" style="114" customWidth="1"/>
    <col min="1282" max="1282" width="33.2232142857143" style="114" customWidth="1"/>
    <col min="1283" max="1536" width="9.10714285714286" style="114" customWidth="1"/>
    <col min="1537" max="1537" width="17.8928571428571" style="114" customWidth="1"/>
    <col min="1538" max="1538" width="33.2232142857143" style="114" customWidth="1"/>
    <col min="1539" max="1792" width="9.10714285714286" style="114" customWidth="1"/>
    <col min="1793" max="1793" width="17.8928571428571" style="114" customWidth="1"/>
    <col min="1794" max="1794" width="33.2232142857143" style="114" customWidth="1"/>
    <col min="1795" max="2048" width="9.10714285714286" style="114" customWidth="1"/>
    <col min="2049" max="2049" width="17.8928571428571" style="114" customWidth="1"/>
    <col min="2050" max="2050" width="33.2232142857143" style="114" customWidth="1"/>
    <col min="2051" max="2304" width="9.10714285714286" style="114" customWidth="1"/>
    <col min="2305" max="2305" width="17.8928571428571" style="114" customWidth="1"/>
    <col min="2306" max="2306" width="33.2232142857143" style="114" customWidth="1"/>
    <col min="2307" max="2560" width="9.10714285714286" style="114" customWidth="1"/>
    <col min="2561" max="2561" width="17.8928571428571" style="114" customWidth="1"/>
    <col min="2562" max="2562" width="33.2232142857143" style="114" customWidth="1"/>
    <col min="2563" max="2816" width="9.10714285714286" style="114" customWidth="1"/>
    <col min="2817" max="2817" width="17.8928571428571" style="114" customWidth="1"/>
    <col min="2818" max="2818" width="33.2232142857143" style="114" customWidth="1"/>
    <col min="2819" max="3072" width="9.10714285714286" style="114" customWidth="1"/>
    <col min="3073" max="3073" width="17.8928571428571" style="114" customWidth="1"/>
    <col min="3074" max="3074" width="33.2232142857143" style="114" customWidth="1"/>
    <col min="3075" max="3328" width="9.10714285714286" style="114" customWidth="1"/>
    <col min="3329" max="3329" width="17.8928571428571" style="114" customWidth="1"/>
    <col min="3330" max="3330" width="33.2232142857143" style="114" customWidth="1"/>
    <col min="3331" max="3584" width="9.10714285714286" style="114" customWidth="1"/>
    <col min="3585" max="3585" width="17.8928571428571" style="114" customWidth="1"/>
    <col min="3586" max="3586" width="33.2232142857143" style="114" customWidth="1"/>
    <col min="3587" max="3840" width="9.10714285714286" style="114" customWidth="1"/>
    <col min="3841" max="3841" width="17.8928571428571" style="114" customWidth="1"/>
    <col min="3842" max="3842" width="33.2232142857143" style="114" customWidth="1"/>
    <col min="3843" max="4096" width="9.10714285714286" style="114" customWidth="1"/>
    <col min="4097" max="4097" width="17.8928571428571" style="114" customWidth="1"/>
    <col min="4098" max="4098" width="33.2232142857143" style="114" customWidth="1"/>
    <col min="4099" max="4352" width="9.10714285714286" style="114" customWidth="1"/>
    <col min="4353" max="4353" width="17.8928571428571" style="114" customWidth="1"/>
    <col min="4354" max="4354" width="33.2232142857143" style="114" customWidth="1"/>
    <col min="4355" max="4608" width="9.10714285714286" style="114" customWidth="1"/>
    <col min="4609" max="4609" width="17.8928571428571" style="114" customWidth="1"/>
    <col min="4610" max="4610" width="33.2232142857143" style="114" customWidth="1"/>
    <col min="4611" max="4864" width="9.10714285714286" style="114" customWidth="1"/>
    <col min="4865" max="4865" width="17.8928571428571" style="114" customWidth="1"/>
    <col min="4866" max="4866" width="33.2232142857143" style="114" customWidth="1"/>
    <col min="4867" max="5120" width="9.10714285714286" style="114" customWidth="1"/>
    <col min="5121" max="5121" width="17.8928571428571" style="114" customWidth="1"/>
    <col min="5122" max="5122" width="33.2232142857143" style="114" customWidth="1"/>
    <col min="5123" max="5376" width="9.10714285714286" style="114" customWidth="1"/>
    <col min="5377" max="5377" width="17.8928571428571" style="114" customWidth="1"/>
    <col min="5378" max="5378" width="33.2232142857143" style="114" customWidth="1"/>
    <col min="5379" max="5632" width="9.10714285714286" style="114" customWidth="1"/>
    <col min="5633" max="5633" width="17.8928571428571" style="114" customWidth="1"/>
    <col min="5634" max="5634" width="33.2232142857143" style="114" customWidth="1"/>
    <col min="5635" max="5888" width="9.10714285714286" style="114" customWidth="1"/>
    <col min="5889" max="5889" width="17.8928571428571" style="114" customWidth="1"/>
    <col min="5890" max="5890" width="33.2232142857143" style="114" customWidth="1"/>
    <col min="5891" max="6144" width="9.10714285714286" style="114" customWidth="1"/>
    <col min="6145" max="6145" width="17.8928571428571" style="114" customWidth="1"/>
    <col min="6146" max="6146" width="33.2232142857143" style="114" customWidth="1"/>
    <col min="6147" max="6400" width="9.10714285714286" style="114" customWidth="1"/>
    <col min="6401" max="6401" width="17.8928571428571" style="114" customWidth="1"/>
    <col min="6402" max="6402" width="33.2232142857143" style="114" customWidth="1"/>
    <col min="6403" max="6656" width="9.10714285714286" style="114" customWidth="1"/>
    <col min="6657" max="6657" width="17.8928571428571" style="114" customWidth="1"/>
    <col min="6658" max="6658" width="33.2232142857143" style="114" customWidth="1"/>
    <col min="6659" max="6912" width="9.10714285714286" style="114" customWidth="1"/>
    <col min="6913" max="6913" width="17.8928571428571" style="114" customWidth="1"/>
    <col min="6914" max="6914" width="33.2232142857143" style="114" customWidth="1"/>
    <col min="6915" max="7168" width="9.10714285714286" style="114" customWidth="1"/>
    <col min="7169" max="7169" width="17.8928571428571" style="114" customWidth="1"/>
    <col min="7170" max="7170" width="33.2232142857143" style="114" customWidth="1"/>
    <col min="7171" max="7424" width="9.10714285714286" style="114" customWidth="1"/>
    <col min="7425" max="7425" width="17.8928571428571" style="114" customWidth="1"/>
    <col min="7426" max="7426" width="33.2232142857143" style="114" customWidth="1"/>
    <col min="7427" max="7680" width="9.10714285714286" style="114" customWidth="1"/>
    <col min="7681" max="7681" width="17.8928571428571" style="114" customWidth="1"/>
    <col min="7682" max="7682" width="33.2232142857143" style="114" customWidth="1"/>
    <col min="7683" max="7936" width="9.10714285714286" style="114" customWidth="1"/>
    <col min="7937" max="7937" width="17.8928571428571" style="114" customWidth="1"/>
    <col min="7938" max="7938" width="33.2232142857143" style="114" customWidth="1"/>
    <col min="7939" max="8192" width="9.10714285714286" style="114" customWidth="1"/>
    <col min="8193" max="8193" width="17.8928571428571" style="114" customWidth="1"/>
    <col min="8194" max="8194" width="33.2232142857143" style="114" customWidth="1"/>
    <col min="8195" max="8448" width="9.10714285714286" style="114" customWidth="1"/>
    <col min="8449" max="8449" width="17.8928571428571" style="114" customWidth="1"/>
    <col min="8450" max="8450" width="33.2232142857143" style="114" customWidth="1"/>
    <col min="8451" max="8704" width="9.10714285714286" style="114" customWidth="1"/>
    <col min="8705" max="8705" width="17.8928571428571" style="114" customWidth="1"/>
    <col min="8706" max="8706" width="33.2232142857143" style="114" customWidth="1"/>
    <col min="8707" max="8960" width="9.10714285714286" style="114" customWidth="1"/>
    <col min="8961" max="8961" width="17.8928571428571" style="114" customWidth="1"/>
    <col min="8962" max="8962" width="33.2232142857143" style="114" customWidth="1"/>
    <col min="8963" max="9216" width="9.10714285714286" style="114" customWidth="1"/>
    <col min="9217" max="9217" width="17.8928571428571" style="114" customWidth="1"/>
    <col min="9218" max="9218" width="33.2232142857143" style="114" customWidth="1"/>
    <col min="9219" max="9472" width="9.10714285714286" style="114" customWidth="1"/>
    <col min="9473" max="9473" width="17.8928571428571" style="114" customWidth="1"/>
    <col min="9474" max="9474" width="33.2232142857143" style="114" customWidth="1"/>
    <col min="9475" max="9728" width="9.10714285714286" style="114" customWidth="1"/>
    <col min="9729" max="9729" width="17.8928571428571" style="114" customWidth="1"/>
    <col min="9730" max="9730" width="33.2232142857143" style="114" customWidth="1"/>
    <col min="9731" max="9984" width="9.10714285714286" style="114" customWidth="1"/>
    <col min="9985" max="9985" width="17.8928571428571" style="114" customWidth="1"/>
    <col min="9986" max="9986" width="33.2232142857143" style="114" customWidth="1"/>
    <col min="9987" max="10240" width="9.10714285714286" style="114" customWidth="1"/>
    <col min="10241" max="10241" width="17.8928571428571" style="114" customWidth="1"/>
    <col min="10242" max="10242" width="33.2232142857143" style="114" customWidth="1"/>
    <col min="10243" max="10496" width="9.10714285714286" style="114" customWidth="1"/>
    <col min="10497" max="10497" width="17.8928571428571" style="114" customWidth="1"/>
    <col min="10498" max="10498" width="33.2232142857143" style="114" customWidth="1"/>
    <col min="10499" max="10752" width="9.10714285714286" style="114" customWidth="1"/>
    <col min="10753" max="10753" width="17.8928571428571" style="114" customWidth="1"/>
    <col min="10754" max="10754" width="33.2232142857143" style="114" customWidth="1"/>
    <col min="10755" max="11008" width="9.10714285714286" style="114" customWidth="1"/>
    <col min="11009" max="11009" width="17.8928571428571" style="114" customWidth="1"/>
    <col min="11010" max="11010" width="33.2232142857143" style="114" customWidth="1"/>
    <col min="11011" max="11264" width="9.10714285714286" style="114" customWidth="1"/>
    <col min="11265" max="11265" width="17.8928571428571" style="114" customWidth="1"/>
    <col min="11266" max="11266" width="33.2232142857143" style="114" customWidth="1"/>
    <col min="11267" max="11520" width="9.10714285714286" style="114" customWidth="1"/>
    <col min="11521" max="11521" width="17.8928571428571" style="114" customWidth="1"/>
    <col min="11522" max="11522" width="33.2232142857143" style="114" customWidth="1"/>
    <col min="11523" max="11776" width="9.10714285714286" style="114" customWidth="1"/>
    <col min="11777" max="11777" width="17.8928571428571" style="114" customWidth="1"/>
    <col min="11778" max="11778" width="33.2232142857143" style="114" customWidth="1"/>
    <col min="11779" max="12032" width="9.10714285714286" style="114" customWidth="1"/>
    <col min="12033" max="12033" width="17.8928571428571" style="114" customWidth="1"/>
    <col min="12034" max="12034" width="33.2232142857143" style="114" customWidth="1"/>
    <col min="12035" max="12288" width="9.10714285714286" style="114" customWidth="1"/>
    <col min="12289" max="12289" width="17.8928571428571" style="114" customWidth="1"/>
    <col min="12290" max="12290" width="33.2232142857143" style="114" customWidth="1"/>
    <col min="12291" max="12544" width="9.10714285714286" style="114" customWidth="1"/>
    <col min="12545" max="12545" width="17.8928571428571" style="114" customWidth="1"/>
    <col min="12546" max="12546" width="33.2232142857143" style="114" customWidth="1"/>
    <col min="12547" max="12800" width="9.10714285714286" style="114" customWidth="1"/>
    <col min="12801" max="12801" width="17.8928571428571" style="114" customWidth="1"/>
    <col min="12802" max="12802" width="33.2232142857143" style="114" customWidth="1"/>
    <col min="12803" max="13056" width="9.10714285714286" style="114" customWidth="1"/>
    <col min="13057" max="13057" width="17.8928571428571" style="114" customWidth="1"/>
    <col min="13058" max="13058" width="33.2232142857143" style="114" customWidth="1"/>
    <col min="13059" max="13312" width="9.10714285714286" style="114" customWidth="1"/>
    <col min="13313" max="13313" width="17.8928571428571" style="114" customWidth="1"/>
    <col min="13314" max="13314" width="33.2232142857143" style="114" customWidth="1"/>
    <col min="13315" max="13568" width="9.10714285714286" style="114" customWidth="1"/>
    <col min="13569" max="13569" width="17.8928571428571" style="114" customWidth="1"/>
    <col min="13570" max="13570" width="33.2232142857143" style="114" customWidth="1"/>
    <col min="13571" max="13824" width="9.10714285714286" style="114" customWidth="1"/>
    <col min="13825" max="13825" width="17.8928571428571" style="114" customWidth="1"/>
    <col min="13826" max="13826" width="33.2232142857143" style="114" customWidth="1"/>
    <col min="13827" max="14080" width="9.10714285714286" style="114" customWidth="1"/>
    <col min="14081" max="14081" width="17.8928571428571" style="114" customWidth="1"/>
    <col min="14082" max="14082" width="33.2232142857143" style="114" customWidth="1"/>
    <col min="14083" max="14336" width="9.10714285714286" style="114" customWidth="1"/>
    <col min="14337" max="14337" width="17.8928571428571" style="114" customWidth="1"/>
    <col min="14338" max="14338" width="33.2232142857143" style="114" customWidth="1"/>
    <col min="14339" max="14592" width="9.10714285714286" style="114" customWidth="1"/>
    <col min="14593" max="14593" width="17.8928571428571" style="114" customWidth="1"/>
    <col min="14594" max="14594" width="33.2232142857143" style="114" customWidth="1"/>
    <col min="14595" max="14848" width="9.10714285714286" style="114" customWidth="1"/>
    <col min="14849" max="14849" width="17.8928571428571" style="114" customWidth="1"/>
    <col min="14850" max="14850" width="33.2232142857143" style="114" customWidth="1"/>
    <col min="14851" max="15104" width="9.10714285714286" style="114" customWidth="1"/>
    <col min="15105" max="15105" width="17.8928571428571" style="114" customWidth="1"/>
    <col min="15106" max="15106" width="33.2232142857143" style="114" customWidth="1"/>
    <col min="15107" max="15360" width="9.10714285714286" style="114" customWidth="1"/>
    <col min="15361" max="15361" width="17.8928571428571" style="114" customWidth="1"/>
    <col min="15362" max="15362" width="33.2232142857143" style="114" customWidth="1"/>
    <col min="15363" max="15616" width="9.10714285714286" style="114" customWidth="1"/>
    <col min="15617" max="15617" width="17.8928571428571" style="114" customWidth="1"/>
    <col min="15618" max="15618" width="33.2232142857143" style="114" customWidth="1"/>
    <col min="15619" max="15872" width="9.10714285714286" style="114" customWidth="1"/>
    <col min="15873" max="15873" width="17.8928571428571" style="114" customWidth="1"/>
    <col min="15874" max="15874" width="33.2232142857143" style="114" customWidth="1"/>
    <col min="15875" max="16128" width="9.10714285714286" style="114" customWidth="1"/>
    <col min="16129" max="16129" width="17.8928571428571" style="114" customWidth="1"/>
    <col min="16130" max="16130" width="33.2232142857143" style="114" customWidth="1"/>
    <col min="16131" max="16384" width="9.10714285714286" style="114" customWidth="1"/>
  </cols>
  <sheetData>
    <row r="13" spans="1:2">
      <c r="A13" s="115" t="s">
        <v>0</v>
      </c>
      <c r="B13" s="115" t="s">
        <v>1</v>
      </c>
    </row>
    <row r="14" spans="1:2">
      <c r="A14" s="116" t="s">
        <v>2</v>
      </c>
      <c r="B14" s="106" t="s">
        <v>3</v>
      </c>
    </row>
    <row r="15" spans="1:2">
      <c r="A15" s="116" t="s">
        <v>4</v>
      </c>
      <c r="B15" s="106" t="s">
        <v>5</v>
      </c>
    </row>
    <row r="16" spans="1:2">
      <c r="A16" s="116" t="s">
        <v>6</v>
      </c>
      <c r="B16" s="106" t="s">
        <v>7</v>
      </c>
    </row>
    <row r="17" spans="1:2">
      <c r="A17" s="116" t="s">
        <v>8</v>
      </c>
      <c r="B17" s="106" t="s">
        <v>9</v>
      </c>
    </row>
    <row r="18" spans="1:2">
      <c r="A18" s="116" t="s">
        <v>10</v>
      </c>
      <c r="B18" s="106" t="s">
        <v>11</v>
      </c>
    </row>
    <row r="19" spans="1:2">
      <c r="A19" s="116" t="s">
        <v>12</v>
      </c>
      <c r="B19" s="106" t="s">
        <v>7</v>
      </c>
    </row>
    <row r="20" spans="1:2">
      <c r="A20" s="116" t="s">
        <v>13</v>
      </c>
      <c r="B20" s="106" t="s">
        <v>7</v>
      </c>
    </row>
    <row r="21" spans="1:2">
      <c r="A21" s="116" t="s">
        <v>14</v>
      </c>
      <c r="B21" s="106" t="s">
        <v>15</v>
      </c>
    </row>
    <row r="22" spans="1:2">
      <c r="A22" s="117" t="s">
        <v>16</v>
      </c>
    </row>
    <row r="23" spans="1:2">
      <c r="A23" s="117"/>
    </row>
    <row r="24" spans="1:2">
      <c r="A24" s="115" t="s">
        <v>0</v>
      </c>
      <c r="B24" s="115" t="s">
        <v>17</v>
      </c>
    </row>
    <row r="25" spans="1:2">
      <c r="A25" s="116" t="s">
        <v>2</v>
      </c>
      <c r="B25" s="110" t="s">
        <v>18</v>
      </c>
    </row>
    <row r="26" spans="1:2">
      <c r="A26" s="116" t="s">
        <v>4</v>
      </c>
      <c r="B26" s="110" t="s">
        <v>18</v>
      </c>
    </row>
    <row r="27" spans="1:2">
      <c r="A27" s="116" t="s">
        <v>6</v>
      </c>
      <c r="B27" s="110" t="s">
        <v>19</v>
      </c>
    </row>
    <row r="28" spans="1:2">
      <c r="A28" s="116" t="s">
        <v>8</v>
      </c>
      <c r="B28" s="110" t="s">
        <v>20</v>
      </c>
    </row>
    <row r="29" spans="1:2">
      <c r="A29" s="116" t="s">
        <v>10</v>
      </c>
      <c r="B29" s="110" t="s">
        <v>21</v>
      </c>
    </row>
    <row r="30" spans="1:2">
      <c r="A30" s="116" t="s">
        <v>12</v>
      </c>
      <c r="B30" s="110" t="s">
        <v>22</v>
      </c>
    </row>
    <row r="31" spans="1:2">
      <c r="A31" s="116" t="s">
        <v>13</v>
      </c>
      <c r="B31" s="110" t="s">
        <v>23</v>
      </c>
    </row>
    <row r="32" spans="1:2">
      <c r="A32" s="116" t="s">
        <v>14</v>
      </c>
      <c r="B32" s="110" t="s">
        <v>24</v>
      </c>
    </row>
    <row r="33" spans="1:2">
      <c r="A33" s="116" t="s">
        <v>25</v>
      </c>
      <c r="B33" s="110" t="s">
        <v>26</v>
      </c>
    </row>
    <row r="34" spans="1:2">
      <c r="A34" s="117" t="s">
        <v>16</v>
      </c>
    </row>
    <row r="36" spans="1:2">
      <c r="A36" s="115" t="s">
        <v>0</v>
      </c>
      <c r="B36" s="115" t="s">
        <v>27</v>
      </c>
    </row>
    <row r="37" spans="1:2">
      <c r="A37" s="116" t="s">
        <v>2</v>
      </c>
      <c r="B37" s="118" t="s">
        <v>28</v>
      </c>
    </row>
    <row r="38" spans="1:2">
      <c r="A38" s="116" t="s">
        <v>4</v>
      </c>
      <c r="B38" s="118" t="s">
        <v>28</v>
      </c>
    </row>
    <row r="39" spans="1:2">
      <c r="A39" s="116" t="s">
        <v>6</v>
      </c>
      <c r="B39" s="118" t="s">
        <v>29</v>
      </c>
    </row>
    <row r="40" spans="1:2">
      <c r="A40" s="116" t="s">
        <v>8</v>
      </c>
      <c r="B40" s="118" t="s">
        <v>29</v>
      </c>
    </row>
    <row r="41" spans="1:2">
      <c r="A41" s="116" t="s">
        <v>10</v>
      </c>
      <c r="B41" s="118" t="s">
        <v>29</v>
      </c>
    </row>
    <row r="42" spans="1:2">
      <c r="A42" s="116" t="s">
        <v>12</v>
      </c>
      <c r="B42" s="118" t="s">
        <v>29</v>
      </c>
    </row>
    <row r="43" spans="1:2">
      <c r="A43" s="116" t="s">
        <v>13</v>
      </c>
      <c r="B43" s="118" t="s">
        <v>29</v>
      </c>
    </row>
    <row r="44" spans="1:2">
      <c r="A44" s="116" t="s">
        <v>14</v>
      </c>
      <c r="B44" s="118" t="s">
        <v>30</v>
      </c>
    </row>
    <row r="45" spans="1:2">
      <c r="A45" s="116" t="s">
        <v>25</v>
      </c>
      <c r="B45" s="118" t="s">
        <v>31</v>
      </c>
    </row>
    <row r="46" spans="1:2">
      <c r="A46" s="117" t="s">
        <v>16</v>
      </c>
    </row>
    <row r="48" spans="1:2">
      <c r="A48" s="115" t="s">
        <v>0</v>
      </c>
      <c r="B48" s="115" t="s">
        <v>32</v>
      </c>
    </row>
    <row r="49" spans="1:2">
      <c r="A49" s="116" t="s">
        <v>2</v>
      </c>
      <c r="B49" s="118" t="s">
        <v>33</v>
      </c>
    </row>
    <row r="50" spans="1:2">
      <c r="A50" s="116" t="s">
        <v>4</v>
      </c>
      <c r="B50" s="118" t="s">
        <v>33</v>
      </c>
    </row>
    <row r="51" spans="1:2">
      <c r="A51" s="116" t="s">
        <v>6</v>
      </c>
      <c r="B51" s="118" t="s">
        <v>34</v>
      </c>
    </row>
    <row r="52" spans="1:2">
      <c r="A52" s="116" t="s">
        <v>8</v>
      </c>
      <c r="B52" s="118" t="s">
        <v>34</v>
      </c>
    </row>
    <row r="53" spans="1:2">
      <c r="A53" s="116" t="s">
        <v>10</v>
      </c>
      <c r="B53" s="118" t="s">
        <v>34</v>
      </c>
    </row>
    <row r="54" spans="1:2">
      <c r="A54" s="116" t="s">
        <v>12</v>
      </c>
      <c r="B54" s="118" t="s">
        <v>34</v>
      </c>
    </row>
    <row r="55" spans="1:2">
      <c r="A55" s="116" t="s">
        <v>13</v>
      </c>
      <c r="B55" s="118" t="s">
        <v>34</v>
      </c>
    </row>
    <row r="56" spans="1:2">
      <c r="A56" s="116" t="s">
        <v>14</v>
      </c>
      <c r="B56" s="118" t="s">
        <v>35</v>
      </c>
    </row>
    <row r="57" spans="1:2">
      <c r="A57" s="116" t="s">
        <v>25</v>
      </c>
      <c r="B57" s="118" t="s">
        <v>36</v>
      </c>
    </row>
    <row r="58" spans="1:2">
      <c r="A58" s="117" t="s">
        <v>16</v>
      </c>
    </row>
    <row r="59" spans="1:2">
      <c r="A59" s="116"/>
      <c r="B59" s="118"/>
    </row>
    <row r="60" spans="1:2">
      <c r="A60" s="115" t="s">
        <v>0</v>
      </c>
      <c r="B60" s="115" t="s">
        <v>37</v>
      </c>
    </row>
    <row r="61" ht="16.8" spans="1:2">
      <c r="A61" s="116" t="s">
        <v>2</v>
      </c>
      <c r="B61" t="s">
        <v>38</v>
      </c>
    </row>
    <row r="62" ht="16.8" spans="1:2">
      <c r="A62" s="116" t="s">
        <v>4</v>
      </c>
      <c r="B62" t="s">
        <v>38</v>
      </c>
    </row>
    <row r="63" spans="1:2">
      <c r="A63" s="116" t="s">
        <v>6</v>
      </c>
      <c r="B63" s="110" t="s">
        <v>39</v>
      </c>
    </row>
    <row r="64" spans="1:2">
      <c r="A64" s="116" t="s">
        <v>8</v>
      </c>
      <c r="B64" s="110" t="s">
        <v>39</v>
      </c>
    </row>
    <row r="65" spans="1:2">
      <c r="A65" s="116" t="s">
        <v>10</v>
      </c>
      <c r="B65" s="110" t="s">
        <v>39</v>
      </c>
    </row>
    <row r="66" spans="1:2">
      <c r="A66" s="116" t="s">
        <v>12</v>
      </c>
      <c r="B66" s="110" t="s">
        <v>39</v>
      </c>
    </row>
    <row r="67" spans="1:2">
      <c r="A67" s="116" t="s">
        <v>13</v>
      </c>
      <c r="B67" s="110" t="s">
        <v>39</v>
      </c>
    </row>
    <row r="68" spans="1:2">
      <c r="A68" s="116" t="s">
        <v>14</v>
      </c>
      <c r="B68" s="110" t="s">
        <v>40</v>
      </c>
    </row>
    <row r="69" spans="1:2">
      <c r="A69" s="116" t="s">
        <v>25</v>
      </c>
      <c r="B69" s="110" t="s">
        <v>41</v>
      </c>
    </row>
    <row r="70" spans="1:2">
      <c r="A70" s="117" t="s">
        <v>16</v>
      </c>
    </row>
    <row r="71" spans="1:2">
      <c r="A71" s="116"/>
      <c r="B71" s="119"/>
    </row>
    <row r="72" spans="1:2">
      <c r="A72" s="115" t="s">
        <v>0</v>
      </c>
      <c r="B72" s="115" t="s">
        <v>42</v>
      </c>
    </row>
    <row r="73" ht="16.8" spans="1:2">
      <c r="A73" s="116" t="s">
        <v>2</v>
      </c>
      <c r="B73" t="s">
        <v>43</v>
      </c>
    </row>
    <row r="74" ht="16.8" spans="1:2">
      <c r="A74" s="116" t="s">
        <v>4</v>
      </c>
      <c r="B74" t="s">
        <v>43</v>
      </c>
    </row>
    <row r="75" spans="1:2">
      <c r="A75" s="116" t="s">
        <v>6</v>
      </c>
      <c r="B75" s="110" t="s">
        <v>44</v>
      </c>
    </row>
    <row r="76" spans="1:2">
      <c r="A76" s="116" t="s">
        <v>8</v>
      </c>
      <c r="B76" s="110" t="s">
        <v>44</v>
      </c>
    </row>
    <row r="77" spans="1:2">
      <c r="A77" s="116" t="s">
        <v>10</v>
      </c>
      <c r="B77" s="110" t="s">
        <v>44</v>
      </c>
    </row>
    <row r="78" spans="1:2">
      <c r="A78" s="116" t="s">
        <v>12</v>
      </c>
      <c r="B78" s="110" t="s">
        <v>44</v>
      </c>
    </row>
    <row r="79" spans="1:2">
      <c r="A79" s="116" t="s">
        <v>13</v>
      </c>
      <c r="B79" s="110" t="s">
        <v>44</v>
      </c>
    </row>
    <row r="80" spans="1:2">
      <c r="A80" s="116" t="s">
        <v>14</v>
      </c>
      <c r="B80" s="110" t="s">
        <v>45</v>
      </c>
    </row>
    <row r="81" spans="1:2">
      <c r="A81" s="116" t="s">
        <v>25</v>
      </c>
      <c r="B81" s="110" t="s">
        <v>46</v>
      </c>
    </row>
    <row r="82" spans="1:2">
      <c r="A82" s="117" t="s">
        <v>16</v>
      </c>
    </row>
    <row r="84" spans="1:2">
      <c r="A84" s="115" t="s">
        <v>0</v>
      </c>
      <c r="B84" s="115" t="s">
        <v>47</v>
      </c>
    </row>
    <row r="85" ht="16.8" spans="1:2">
      <c r="A85" s="116" t="s">
        <v>2</v>
      </c>
      <c r="B85" t="s">
        <v>48</v>
      </c>
    </row>
    <row r="86" ht="16.8" spans="1:2">
      <c r="A86" s="116" t="s">
        <v>4</v>
      </c>
      <c r="B86" t="s">
        <v>48</v>
      </c>
    </row>
    <row r="87" spans="1:2">
      <c r="A87" s="116" t="s">
        <v>6</v>
      </c>
      <c r="B87" s="110" t="s">
        <v>49</v>
      </c>
    </row>
    <row r="88" spans="1:2">
      <c r="A88" s="116" t="s">
        <v>8</v>
      </c>
      <c r="B88" s="110" t="s">
        <v>49</v>
      </c>
    </row>
    <row r="89" spans="1:2">
      <c r="A89" s="116" t="s">
        <v>10</v>
      </c>
      <c r="B89" s="110" t="s">
        <v>49</v>
      </c>
    </row>
    <row r="90" spans="1:2">
      <c r="A90" s="116" t="s">
        <v>12</v>
      </c>
      <c r="B90" s="110" t="s">
        <v>49</v>
      </c>
    </row>
    <row r="91" spans="1:2">
      <c r="A91" s="116" t="s">
        <v>13</v>
      </c>
      <c r="B91" s="110" t="s">
        <v>49</v>
      </c>
    </row>
    <row r="92" spans="1:2">
      <c r="A92" s="116" t="s">
        <v>14</v>
      </c>
      <c r="B92" s="110" t="s">
        <v>50</v>
      </c>
    </row>
    <row r="93" spans="1:2">
      <c r="A93" s="116" t="s">
        <v>25</v>
      </c>
      <c r="B93" s="110" t="s">
        <v>51</v>
      </c>
    </row>
    <row r="94" spans="1:2">
      <c r="A94" s="117" t="s">
        <v>16</v>
      </c>
    </row>
  </sheetData>
  <hyperlinks>
    <hyperlink ref="B30" r:id="rId4" display="https://mws.amazonservices.it/?Version=2009-01-01&amp;SignatureVersion=2&amp;SignatureMethod=HmacSHA256"/>
    <hyperlink ref="B31" r:id="rId5" display="https://mws.amazonservices.es/?Version=2009-01-01&amp;SignatureVersion=2&amp;SignatureMethod=HmacSHA256"/>
  </hyperlinks>
  <pageMargins left="0.7" right="0.7" top="0.75" bottom="0.75" header="0.3" footer="0.3"/>
  <pageSetup paperSize="9" orientation="portrait"/>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CB39"/>
  <sheetViews>
    <sheetView workbookViewId="0">
      <selection activeCell="A6" sqref="A6"/>
    </sheetView>
  </sheetViews>
  <sheetFormatPr defaultColWidth="9.10714285714286" defaultRowHeight="15.2"/>
  <cols>
    <col min="1" max="1" width="108.107142857143" style="99" customWidth="1"/>
    <col min="2" max="2" width="57.8928571428571" style="99" customWidth="1"/>
    <col min="3" max="256" width="9.10714285714286" style="99" customWidth="1"/>
    <col min="257" max="257" width="108.107142857143" style="99" customWidth="1"/>
    <col min="258" max="258" width="57.8928571428571" style="99" customWidth="1"/>
    <col min="259" max="512" width="9.10714285714286" style="99" customWidth="1"/>
    <col min="513" max="513" width="108.107142857143" style="99" customWidth="1"/>
    <col min="514" max="514" width="57.8928571428571" style="99" customWidth="1"/>
    <col min="515" max="768" width="9.10714285714286" style="99" customWidth="1"/>
    <col min="769" max="769" width="108.107142857143" style="99" customWidth="1"/>
    <col min="770" max="770" width="57.8928571428571" style="99" customWidth="1"/>
    <col min="771" max="1024" width="9.10714285714286" style="99" customWidth="1"/>
    <col min="1025" max="1025" width="108.107142857143" style="99" customWidth="1"/>
    <col min="1026" max="1026" width="57.8928571428571" style="99" customWidth="1"/>
    <col min="1027" max="1280" width="9.10714285714286" style="99" customWidth="1"/>
    <col min="1281" max="1281" width="108.107142857143" style="99" customWidth="1"/>
    <col min="1282" max="1282" width="57.8928571428571" style="99" customWidth="1"/>
    <col min="1283" max="1536" width="9.10714285714286" style="99" customWidth="1"/>
    <col min="1537" max="1537" width="108.107142857143" style="99" customWidth="1"/>
    <col min="1538" max="1538" width="57.8928571428571" style="99" customWidth="1"/>
    <col min="1539" max="1792" width="9.10714285714286" style="99" customWidth="1"/>
    <col min="1793" max="1793" width="108.107142857143" style="99" customWidth="1"/>
    <col min="1794" max="1794" width="57.8928571428571" style="99" customWidth="1"/>
    <col min="1795" max="2048" width="9.10714285714286" style="99" customWidth="1"/>
    <col min="2049" max="2049" width="108.107142857143" style="99" customWidth="1"/>
    <col min="2050" max="2050" width="57.8928571428571" style="99" customWidth="1"/>
    <col min="2051" max="2304" width="9.10714285714286" style="99" customWidth="1"/>
    <col min="2305" max="2305" width="108.107142857143" style="99" customWidth="1"/>
    <col min="2306" max="2306" width="57.8928571428571" style="99" customWidth="1"/>
    <col min="2307" max="2560" width="9.10714285714286" style="99" customWidth="1"/>
    <col min="2561" max="2561" width="108.107142857143" style="99" customWidth="1"/>
    <col min="2562" max="2562" width="57.8928571428571" style="99" customWidth="1"/>
    <col min="2563" max="2816" width="9.10714285714286" style="99" customWidth="1"/>
    <col min="2817" max="2817" width="108.107142857143" style="99" customWidth="1"/>
    <col min="2818" max="2818" width="57.8928571428571" style="99" customWidth="1"/>
    <col min="2819" max="3072" width="9.10714285714286" style="99" customWidth="1"/>
    <col min="3073" max="3073" width="108.107142857143" style="99" customWidth="1"/>
    <col min="3074" max="3074" width="57.8928571428571" style="99" customWidth="1"/>
    <col min="3075" max="3328" width="9.10714285714286" style="99" customWidth="1"/>
    <col min="3329" max="3329" width="108.107142857143" style="99" customWidth="1"/>
    <col min="3330" max="3330" width="57.8928571428571" style="99" customWidth="1"/>
    <col min="3331" max="3584" width="9.10714285714286" style="99" customWidth="1"/>
    <col min="3585" max="3585" width="108.107142857143" style="99" customWidth="1"/>
    <col min="3586" max="3586" width="57.8928571428571" style="99" customWidth="1"/>
    <col min="3587" max="3840" width="9.10714285714286" style="99" customWidth="1"/>
    <col min="3841" max="3841" width="108.107142857143" style="99" customWidth="1"/>
    <col min="3842" max="3842" width="57.8928571428571" style="99" customWidth="1"/>
    <col min="3843" max="4096" width="9.10714285714286" style="99" customWidth="1"/>
    <col min="4097" max="4097" width="108.107142857143" style="99" customWidth="1"/>
    <col min="4098" max="4098" width="57.8928571428571" style="99" customWidth="1"/>
    <col min="4099" max="4352" width="9.10714285714286" style="99" customWidth="1"/>
    <col min="4353" max="4353" width="108.107142857143" style="99" customWidth="1"/>
    <col min="4354" max="4354" width="57.8928571428571" style="99" customWidth="1"/>
    <col min="4355" max="4608" width="9.10714285714286" style="99" customWidth="1"/>
    <col min="4609" max="4609" width="108.107142857143" style="99" customWidth="1"/>
    <col min="4610" max="4610" width="57.8928571428571" style="99" customWidth="1"/>
    <col min="4611" max="4864" width="9.10714285714286" style="99" customWidth="1"/>
    <col min="4865" max="4865" width="108.107142857143" style="99" customWidth="1"/>
    <col min="4866" max="4866" width="57.8928571428571" style="99" customWidth="1"/>
    <col min="4867" max="5120" width="9.10714285714286" style="99" customWidth="1"/>
    <col min="5121" max="5121" width="108.107142857143" style="99" customWidth="1"/>
    <col min="5122" max="5122" width="57.8928571428571" style="99" customWidth="1"/>
    <col min="5123" max="5376" width="9.10714285714286" style="99" customWidth="1"/>
    <col min="5377" max="5377" width="108.107142857143" style="99" customWidth="1"/>
    <col min="5378" max="5378" width="57.8928571428571" style="99" customWidth="1"/>
    <col min="5379" max="5632" width="9.10714285714286" style="99" customWidth="1"/>
    <col min="5633" max="5633" width="108.107142857143" style="99" customWidth="1"/>
    <col min="5634" max="5634" width="57.8928571428571" style="99" customWidth="1"/>
    <col min="5635" max="5888" width="9.10714285714286" style="99" customWidth="1"/>
    <col min="5889" max="5889" width="108.107142857143" style="99" customWidth="1"/>
    <col min="5890" max="5890" width="57.8928571428571" style="99" customWidth="1"/>
    <col min="5891" max="6144" width="9.10714285714286" style="99" customWidth="1"/>
    <col min="6145" max="6145" width="108.107142857143" style="99" customWidth="1"/>
    <col min="6146" max="6146" width="57.8928571428571" style="99" customWidth="1"/>
    <col min="6147" max="6400" width="9.10714285714286" style="99" customWidth="1"/>
    <col min="6401" max="6401" width="108.107142857143" style="99" customWidth="1"/>
    <col min="6402" max="6402" width="57.8928571428571" style="99" customWidth="1"/>
    <col min="6403" max="6656" width="9.10714285714286" style="99" customWidth="1"/>
    <col min="6657" max="6657" width="108.107142857143" style="99" customWidth="1"/>
    <col min="6658" max="6658" width="57.8928571428571" style="99" customWidth="1"/>
    <col min="6659" max="6912" width="9.10714285714286" style="99" customWidth="1"/>
    <col min="6913" max="6913" width="108.107142857143" style="99" customWidth="1"/>
    <col min="6914" max="6914" width="57.8928571428571" style="99" customWidth="1"/>
    <col min="6915" max="7168" width="9.10714285714286" style="99" customWidth="1"/>
    <col min="7169" max="7169" width="108.107142857143" style="99" customWidth="1"/>
    <col min="7170" max="7170" width="57.8928571428571" style="99" customWidth="1"/>
    <col min="7171" max="7424" width="9.10714285714286" style="99" customWidth="1"/>
    <col min="7425" max="7425" width="108.107142857143" style="99" customWidth="1"/>
    <col min="7426" max="7426" width="57.8928571428571" style="99" customWidth="1"/>
    <col min="7427" max="7680" width="9.10714285714286" style="99" customWidth="1"/>
    <col min="7681" max="7681" width="108.107142857143" style="99" customWidth="1"/>
    <col min="7682" max="7682" width="57.8928571428571" style="99" customWidth="1"/>
    <col min="7683" max="7936" width="9.10714285714286" style="99" customWidth="1"/>
    <col min="7937" max="7937" width="108.107142857143" style="99" customWidth="1"/>
    <col min="7938" max="7938" width="57.8928571428571" style="99" customWidth="1"/>
    <col min="7939" max="8192" width="9.10714285714286" style="99" customWidth="1"/>
    <col min="8193" max="8193" width="108.107142857143" style="99" customWidth="1"/>
    <col min="8194" max="8194" width="57.8928571428571" style="99" customWidth="1"/>
    <col min="8195" max="8448" width="9.10714285714286" style="99" customWidth="1"/>
    <col min="8449" max="8449" width="108.107142857143" style="99" customWidth="1"/>
    <col min="8450" max="8450" width="57.8928571428571" style="99" customWidth="1"/>
    <col min="8451" max="8704" width="9.10714285714286" style="99" customWidth="1"/>
    <col min="8705" max="8705" width="108.107142857143" style="99" customWidth="1"/>
    <col min="8706" max="8706" width="57.8928571428571" style="99" customWidth="1"/>
    <col min="8707" max="8960" width="9.10714285714286" style="99" customWidth="1"/>
    <col min="8961" max="8961" width="108.107142857143" style="99" customWidth="1"/>
    <col min="8962" max="8962" width="57.8928571428571" style="99" customWidth="1"/>
    <col min="8963" max="9216" width="9.10714285714286" style="99" customWidth="1"/>
    <col min="9217" max="9217" width="108.107142857143" style="99" customWidth="1"/>
    <col min="9218" max="9218" width="57.8928571428571" style="99" customWidth="1"/>
    <col min="9219" max="9472" width="9.10714285714286" style="99" customWidth="1"/>
    <col min="9473" max="9473" width="108.107142857143" style="99" customWidth="1"/>
    <col min="9474" max="9474" width="57.8928571428571" style="99" customWidth="1"/>
    <col min="9475" max="9728" width="9.10714285714286" style="99" customWidth="1"/>
    <col min="9729" max="9729" width="108.107142857143" style="99" customWidth="1"/>
    <col min="9730" max="9730" width="57.8928571428571" style="99" customWidth="1"/>
    <col min="9731" max="9984" width="9.10714285714286" style="99" customWidth="1"/>
    <col min="9985" max="9985" width="108.107142857143" style="99" customWidth="1"/>
    <col min="9986" max="9986" width="57.8928571428571" style="99" customWidth="1"/>
    <col min="9987" max="10240" width="9.10714285714286" style="99" customWidth="1"/>
    <col min="10241" max="10241" width="108.107142857143" style="99" customWidth="1"/>
    <col min="10242" max="10242" width="57.8928571428571" style="99" customWidth="1"/>
    <col min="10243" max="10496" width="9.10714285714286" style="99" customWidth="1"/>
    <col min="10497" max="10497" width="108.107142857143" style="99" customWidth="1"/>
    <col min="10498" max="10498" width="57.8928571428571" style="99" customWidth="1"/>
    <col min="10499" max="10752" width="9.10714285714286" style="99" customWidth="1"/>
    <col min="10753" max="10753" width="108.107142857143" style="99" customWidth="1"/>
    <col min="10754" max="10754" width="57.8928571428571" style="99" customWidth="1"/>
    <col min="10755" max="11008" width="9.10714285714286" style="99" customWidth="1"/>
    <col min="11009" max="11009" width="108.107142857143" style="99" customWidth="1"/>
    <col min="11010" max="11010" width="57.8928571428571" style="99" customWidth="1"/>
    <col min="11011" max="11264" width="9.10714285714286" style="99" customWidth="1"/>
    <col min="11265" max="11265" width="108.107142857143" style="99" customWidth="1"/>
    <col min="11266" max="11266" width="57.8928571428571" style="99" customWidth="1"/>
    <col min="11267" max="11520" width="9.10714285714286" style="99" customWidth="1"/>
    <col min="11521" max="11521" width="108.107142857143" style="99" customWidth="1"/>
    <col min="11522" max="11522" width="57.8928571428571" style="99" customWidth="1"/>
    <col min="11523" max="11776" width="9.10714285714286" style="99" customWidth="1"/>
    <col min="11777" max="11777" width="108.107142857143" style="99" customWidth="1"/>
    <col min="11778" max="11778" width="57.8928571428571" style="99" customWidth="1"/>
    <col min="11779" max="12032" width="9.10714285714286" style="99" customWidth="1"/>
    <col min="12033" max="12033" width="108.107142857143" style="99" customWidth="1"/>
    <col min="12034" max="12034" width="57.8928571428571" style="99" customWidth="1"/>
    <col min="12035" max="12288" width="9.10714285714286" style="99" customWidth="1"/>
    <col min="12289" max="12289" width="108.107142857143" style="99" customWidth="1"/>
    <col min="12290" max="12290" width="57.8928571428571" style="99" customWidth="1"/>
    <col min="12291" max="12544" width="9.10714285714286" style="99" customWidth="1"/>
    <col min="12545" max="12545" width="108.107142857143" style="99" customWidth="1"/>
    <col min="12546" max="12546" width="57.8928571428571" style="99" customWidth="1"/>
    <col min="12547" max="12800" width="9.10714285714286" style="99" customWidth="1"/>
    <col min="12801" max="12801" width="108.107142857143" style="99" customWidth="1"/>
    <col min="12802" max="12802" width="57.8928571428571" style="99" customWidth="1"/>
    <col min="12803" max="13056" width="9.10714285714286" style="99" customWidth="1"/>
    <col min="13057" max="13057" width="108.107142857143" style="99" customWidth="1"/>
    <col min="13058" max="13058" width="57.8928571428571" style="99" customWidth="1"/>
    <col min="13059" max="13312" width="9.10714285714286" style="99" customWidth="1"/>
    <col min="13313" max="13313" width="108.107142857143" style="99" customWidth="1"/>
    <col min="13314" max="13314" width="57.8928571428571" style="99" customWidth="1"/>
    <col min="13315" max="13568" width="9.10714285714286" style="99" customWidth="1"/>
    <col min="13569" max="13569" width="108.107142857143" style="99" customWidth="1"/>
    <col min="13570" max="13570" width="57.8928571428571" style="99" customWidth="1"/>
    <col min="13571" max="13824" width="9.10714285714286" style="99" customWidth="1"/>
    <col min="13825" max="13825" width="108.107142857143" style="99" customWidth="1"/>
    <col min="13826" max="13826" width="57.8928571428571" style="99" customWidth="1"/>
    <col min="13827" max="14080" width="9.10714285714286" style="99" customWidth="1"/>
    <col min="14081" max="14081" width="108.107142857143" style="99" customWidth="1"/>
    <col min="14082" max="14082" width="57.8928571428571" style="99" customWidth="1"/>
    <col min="14083" max="14336" width="9.10714285714286" style="99" customWidth="1"/>
    <col min="14337" max="14337" width="108.107142857143" style="99" customWidth="1"/>
    <col min="14338" max="14338" width="57.8928571428571" style="99" customWidth="1"/>
    <col min="14339" max="14592" width="9.10714285714286" style="99" customWidth="1"/>
    <col min="14593" max="14593" width="108.107142857143" style="99" customWidth="1"/>
    <col min="14594" max="14594" width="57.8928571428571" style="99" customWidth="1"/>
    <col min="14595" max="14848" width="9.10714285714286" style="99" customWidth="1"/>
    <col min="14849" max="14849" width="108.107142857143" style="99" customWidth="1"/>
    <col min="14850" max="14850" width="57.8928571428571" style="99" customWidth="1"/>
    <col min="14851" max="15104" width="9.10714285714286" style="99" customWidth="1"/>
    <col min="15105" max="15105" width="108.107142857143" style="99" customWidth="1"/>
    <col min="15106" max="15106" width="57.8928571428571" style="99" customWidth="1"/>
    <col min="15107" max="15360" width="9.10714285714286" style="99" customWidth="1"/>
    <col min="15361" max="15361" width="108.107142857143" style="99" customWidth="1"/>
    <col min="15362" max="15362" width="57.8928571428571" style="99" customWidth="1"/>
    <col min="15363" max="15616" width="9.10714285714286" style="99" customWidth="1"/>
    <col min="15617" max="15617" width="108.107142857143" style="99" customWidth="1"/>
    <col min="15618" max="15618" width="57.8928571428571" style="99" customWidth="1"/>
    <col min="15619" max="15872" width="9.10714285714286" style="99" customWidth="1"/>
    <col min="15873" max="15873" width="108.107142857143" style="99" customWidth="1"/>
    <col min="15874" max="15874" width="57.8928571428571" style="99" customWidth="1"/>
    <col min="15875" max="16128" width="9.10714285714286" style="99" customWidth="1"/>
    <col min="16129" max="16129" width="108.107142857143" style="99" customWidth="1"/>
    <col min="16130" max="16130" width="57.8928571428571" style="99" customWidth="1"/>
    <col min="16131" max="16384" width="9.10714285714286" style="99" customWidth="1"/>
  </cols>
  <sheetData>
    <row r="1" spans="1:80">
      <c r="A1" s="99" t="b">
        <v>0</v>
      </c>
      <c r="B1" s="100" t="s">
        <v>52</v>
      </c>
    </row>
    <row r="2" spans="1:80">
      <c r="A2" s="101" t="s">
        <v>2</v>
      </c>
      <c r="B2" s="100" t="s">
        <v>53</v>
      </c>
    </row>
    <row r="3" spans="1:80">
      <c r="A3" s="102" t="s">
        <v>2</v>
      </c>
      <c r="B3" s="100" t="s">
        <v>54</v>
      </c>
    </row>
    <row r="4" spans="1:80">
      <c r="A4" s="103" t="s">
        <v>55</v>
      </c>
      <c r="B4" s="104" t="s">
        <v>56</v>
      </c>
      <c r="CB4" s="99"/>
    </row>
    <row r="5" spans="1:80">
      <c r="A5" s="103"/>
      <c r="B5" s="104" t="s">
        <v>57</v>
      </c>
    </row>
    <row r="6" ht="16" spans="1:80">
      <c r="A6" s="105"/>
      <c r="B6" s="104" t="s">
        <v>58</v>
      </c>
    </row>
    <row r="7" ht="16" spans="1:80">
      <c r="A7" s="105"/>
      <c r="B7" s="104" t="s">
        <v>59</v>
      </c>
    </row>
    <row r="8" ht="16" spans="1:80">
      <c r="A8" s="105"/>
      <c r="B8" s="104" t="s">
        <v>60</v>
      </c>
    </row>
    <row r="9" ht="16" spans="1:80">
      <c r="A9" s="106" t="s">
        <v>61</v>
      </c>
      <c r="B9" s="104" t="s">
        <v>62</v>
      </c>
    </row>
    <row r="10" ht="16" spans="1:80">
      <c r="A10" s="106" t="str">
        <f>$A$9</f>
        <v>http://g-ecx.images-amazon.com/images/G/01/rainier/help/ff/</v>
      </c>
      <c r="B10" s="104" t="s">
        <v>63</v>
      </c>
    </row>
    <row r="11" ht="16" spans="1:80">
      <c r="A11" s="106" t="str">
        <f>$A$9</f>
        <v>http://g-ecx.images-amazon.com/images/G/01/rainier/help/ff/</v>
      </c>
      <c r="B11" s="104" t="s">
        <v>64</v>
      </c>
    </row>
    <row r="12" ht="16" spans="1:80">
      <c r="A12" s="106" t="str">
        <f>A9&amp;"beta/"</f>
        <v>http://g-ecx.images-amazon.com/images/G/01/rainier/help/ff/beta/</v>
      </c>
      <c r="B12" s="104" t="s">
        <v>65</v>
      </c>
    </row>
    <row r="13" ht="16" spans="1:80">
      <c r="A13" s="106" t="str">
        <f>A10&amp;"beta/"</f>
        <v>http://g-ecx.images-amazon.com/images/G/01/rainier/help/ff/beta/</v>
      </c>
      <c r="B13" s="104" t="s">
        <v>66</v>
      </c>
    </row>
    <row r="14" ht="16" spans="1:80">
      <c r="A14" s="106" t="str">
        <f>A11&amp;"beta/"</f>
        <v>http://g-ecx.images-amazon.com/images/G/01/rainier/help/ff/beta/</v>
      </c>
      <c r="B14" s="104" t="s">
        <v>67</v>
      </c>
    </row>
    <row r="15" ht="16" spans="1:80">
      <c r="A15" s="106" t="s">
        <v>68</v>
      </c>
      <c r="B15" s="107" t="s">
        <v>69</v>
      </c>
    </row>
    <row r="16" ht="16" spans="1:80">
      <c r="A16" s="106" t="s">
        <v>70</v>
      </c>
      <c r="B16" s="107" t="s">
        <v>71</v>
      </c>
    </row>
    <row r="17" ht="16" spans="1:80">
      <c r="A17" s="106" t="s">
        <v>72</v>
      </c>
      <c r="B17" s="107" t="s">
        <v>73</v>
      </c>
    </row>
    <row r="18" ht="16.8" spans="1:80">
      <c r="A18" s="108"/>
      <c r="B18" s="104" t="s">
        <v>74</v>
      </c>
    </row>
    <row r="19" ht="16.8" spans="1:80">
      <c r="A19" s="108"/>
      <c r="B19" s="104" t="s">
        <v>75</v>
      </c>
    </row>
    <row r="20" ht="16.8" spans="1:80">
      <c r="A20" s="108"/>
      <c r="B20" s="104" t="s">
        <v>76</v>
      </c>
    </row>
    <row r="21" spans="1:80">
      <c r="A21" s="109" t="str">
        <f>IF(Versioned_Override_Misc_Data_Table_URL&lt;&gt;"",Versioned_Override_Misc_Data_Table_URL,IF(ISERROR(IF(Is_Beta,TRUE)),Misc_Data_Table_Production_Folder,IF(Is_Beta,Misc_Data_Table_Beta_Folder,Misc_Data_Table_Production_Folder))&amp;Misc_Data_Table_Filename)</f>
        <v>http://g-ecx.images-amazon.com/images/G/01/rainier/help/ff/IntMiscData.txt</v>
      </c>
      <c r="B21" s="100" t="s">
        <v>77</v>
      </c>
      <c r="CB21" s="99"/>
    </row>
    <row r="22" spans="1:80">
      <c r="A22" s="109" t="str">
        <f>IF(Versioned_Override_Data_Validation_Table_URL&lt;&gt;"",Versioned_Override_Data_Validation_Table_URL,IF(ISERROR(IF(Is_Beta,TRUE)),Data_Validation_Table_Production_Folder,IF(Is_Beta,Data_Validation_Table_Beta_Folder,Data_Validation_Table_Production_Folder))&amp;Data_Validation_Table_Filename)</f>
        <v>http://g-ecx.images-amazon.com/images/G/01/rainier/help/ff/IntDataValidation.txt</v>
      </c>
      <c r="B22" s="100" t="s">
        <v>78</v>
      </c>
      <c r="CB22" s="99"/>
    </row>
    <row r="23" spans="1:80">
      <c r="A23" s="109" t="str">
        <f>IF(Versioned_Override_Dropdown_Lists_Table_URL&lt;&gt;"",Versioned_Override_Dropdown_Lists_Table_URL,IF(ISERROR(IF(Is_Beta,TRUE)),Dropdown_Lists_Production_Folder,IF(Is_Beta,Dropdown_Lists_Beta_Folder,Dropdown_Lists_Production_Folder))&amp;Dropdown_Lists_Table_Filename)</f>
        <v>http://g-ecx.images-amazon.com/images/G/01/rainier/help/ff/IntDropdownLists.txt</v>
      </c>
      <c r="B23" s="100" t="s">
        <v>79</v>
      </c>
    </row>
    <row r="24" spans="1:80">
      <c r="A24" s="101" t="s">
        <v>80</v>
      </c>
      <c r="B24" s="100" t="s">
        <v>81</v>
      </c>
    </row>
    <row r="25" spans="1:80">
      <c r="A25" s="106" t="b">
        <v>0</v>
      </c>
      <c r="B25" s="100" t="s">
        <v>82</v>
      </c>
    </row>
    <row r="26" spans="1:80">
      <c r="A26" s="110"/>
      <c r="B26" s="100" t="s">
        <v>83</v>
      </c>
    </row>
    <row r="27" spans="1:80">
      <c r="A27" s="111">
        <v>41070.8751041667</v>
      </c>
      <c r="B27" s="100" t="s">
        <v>84</v>
      </c>
    </row>
    <row r="28" spans="1:80">
      <c r="A28" s="99" t="b">
        <v>0</v>
      </c>
      <c r="B28" s="100" t="s">
        <v>85</v>
      </c>
    </row>
    <row r="29" spans="1:80">
      <c r="A29" s="102" t="s">
        <v>86</v>
      </c>
      <c r="B29" s="100" t="s">
        <v>87</v>
      </c>
    </row>
    <row r="30" spans="1:80">
      <c r="A30" s="102" t="s">
        <v>88</v>
      </c>
      <c r="B30" s="100" t="s">
        <v>89</v>
      </c>
    </row>
    <row r="31" spans="1:80">
      <c r="A31" s="102" t="s">
        <v>90</v>
      </c>
      <c r="B31" s="100" t="s">
        <v>91</v>
      </c>
    </row>
    <row r="32" spans="1:80">
      <c r="A32" s="102" t="s">
        <v>92</v>
      </c>
      <c r="B32" s="100" t="s">
        <v>93</v>
      </c>
    </row>
    <row r="33" spans="1:2">
      <c r="A33" s="102" t="s">
        <v>94</v>
      </c>
      <c r="B33" s="100" t="s">
        <v>95</v>
      </c>
    </row>
    <row r="34" spans="1:2">
      <c r="A34" s="102" t="s">
        <v>96</v>
      </c>
      <c r="B34" s="100" t="s">
        <v>97</v>
      </c>
    </row>
    <row r="35" spans="1:2">
      <c r="A35" s="101" t="s">
        <v>98</v>
      </c>
      <c r="B35" s="100" t="s">
        <v>99</v>
      </c>
    </row>
    <row r="36" spans="1:2">
      <c r="A36" s="112" t="s">
        <v>100</v>
      </c>
      <c r="B36" s="100" t="s">
        <v>101</v>
      </c>
    </row>
    <row r="37" spans="1:2">
      <c r="A37" s="101" t="s">
        <v>102</v>
      </c>
      <c r="B37" s="100" t="s">
        <v>103</v>
      </c>
    </row>
    <row r="38" spans="1:2">
      <c r="A38" s="101" t="s">
        <v>104</v>
      </c>
      <c r="B38" s="100" t="s">
        <v>105</v>
      </c>
    </row>
    <row r="39" spans="1:2">
      <c r="A39" s="113"/>
    </row>
  </sheetData>
  <dataValidations count="2">
    <dataValidation type="list" allowBlank="1" showInputMessage="1" showErrorMessage="1" errorTitle="Is Beta" error="This cell must be TRUE or FALSE." promptTitle="Is Devo" prompt="This cell must be TRUE or FALSE." sqref="A25 IW25 SS25 ACO25 AMK25 AWG25 BGC25 BPY25 BZU25 CJQ25 CTM25 DDI25 DNE25 DXA25 EGW25 EQS25 FAO25 FKK25 FUG25 GEC25 GNY25 GXU25 HHQ25 HRM25 IBI25 ILE25 IVA25 JEW25 JOS25 JYO25 KIK25 KSG25 LCC25 LLY25 LVU25 MFQ25 MPM25 MZI25 NJE25 NTA25 OCW25 OMS25 OWO25 PGK25 PQG25 QAC25 QJY25 QTU25 RDQ25 RNM25 RXI25 SHE25 SRA25 TAW25 TKS25 TUO25 UEK25 UOG25 UYC25 VHY25 VRU25 WBQ25 WLM25 WVI25 A65561 IW65561 SS65561 ACO65561 AMK65561 AWG65561 BGC65561 BPY65561 BZU65561 CJQ65561 CTM65561 DDI65561 DNE65561 DXA65561 EGW65561 EQS65561 FAO65561 FKK65561 FUG65561 GEC65561 GNY65561 GXU65561 HHQ65561 HRM65561 IBI65561 ILE65561 IVA65561 JEW65561 JOS65561 JYO65561 KIK65561 KSG65561 LCC65561 LLY65561 LVU65561 MFQ65561 MPM65561 MZI65561 NJE65561 NTA65561 OCW65561 OMS65561 OWO65561 PGK65561 PQG65561 QAC65561 QJY65561 QTU65561 RDQ65561 RNM65561 RXI65561 SHE65561 SRA65561 TAW65561 TKS65561 TUO65561 UEK65561 UOG65561 UYC65561 VHY65561 VRU65561 WBQ65561 WLM65561 WVI65561 A131097 IW131097 SS131097 ACO131097 AMK131097 AWG131097 BGC131097 BPY131097 BZU131097 CJQ131097 CTM131097 DDI131097 DNE131097 DXA131097 EGW131097 EQS131097 FAO131097 FKK131097 FUG131097 GEC131097 GNY131097 GXU131097 HHQ131097 HRM131097 IBI131097 ILE131097 IVA131097 JEW131097 JOS131097 JYO131097 KIK131097 KSG131097 LCC131097 LLY131097 LVU131097 MFQ131097 MPM131097 MZI131097 NJE131097 NTA131097 OCW131097 OMS131097 OWO131097 PGK131097 PQG131097 QAC131097 QJY131097 QTU131097 RDQ131097 RNM131097 RXI131097 SHE131097 SRA131097 TAW131097 TKS131097 TUO131097 UEK131097 UOG131097 UYC131097 VHY131097 VRU131097 WBQ131097 WLM131097 WVI131097 A196633 IW196633 SS196633 ACO196633 AMK196633 AWG196633 BGC196633 BPY196633 BZU196633 CJQ196633 CTM196633 DDI196633 DNE196633 DXA196633 EGW196633 EQS196633 FAO196633 FKK196633 FUG196633 GEC196633 GNY196633 GXU196633 HHQ196633 HRM196633 IBI196633 ILE196633 IVA196633 JEW196633 JOS196633 JYO196633 KIK196633 KSG196633 LCC196633 LLY196633 LVU196633 MFQ196633 MPM196633 MZI196633 NJE196633 NTA196633 OCW196633 OMS196633 OWO196633 PGK196633 PQG196633 QAC196633 QJY196633 QTU196633 RDQ196633 RNM196633 RXI196633 SHE196633 SRA196633 TAW196633 TKS196633 TUO196633 UEK196633 UOG196633 UYC196633 VHY196633 VRU196633 WBQ196633 WLM196633 WVI196633 A262169 IW262169 SS262169 ACO262169 AMK262169 AWG262169 BGC262169 BPY262169 BZU262169 CJQ262169 CTM262169 DDI262169 DNE262169 DXA262169 EGW262169 EQS262169 FAO262169 FKK262169 FUG262169 GEC262169 GNY262169 GXU262169 HHQ262169 HRM262169 IBI262169 ILE262169 IVA262169 JEW262169 JOS262169 JYO262169 KIK262169 KSG262169 LCC262169 LLY262169 LVU262169 MFQ262169 MPM262169 MZI262169 NJE262169 NTA262169 OCW262169 OMS262169 OWO262169 PGK262169 PQG262169 QAC262169 QJY262169 QTU262169 RDQ262169 RNM262169 RXI262169 SHE262169 SRA262169 TAW262169 TKS262169 TUO262169 UEK262169 UOG262169 UYC262169 VHY262169 VRU262169 WBQ262169 WLM262169 WVI262169 A327705 IW327705 SS327705 ACO327705 AMK327705 AWG327705 BGC327705 BPY327705 BZU327705 CJQ327705 CTM327705 DDI327705 DNE327705 DXA327705 EGW327705 EQS327705 FAO327705 FKK327705 FUG327705 GEC327705 GNY327705 GXU327705 HHQ327705 HRM327705 IBI327705 ILE327705 IVA327705 JEW327705 JOS327705 JYO327705 KIK327705 KSG327705 LCC327705 LLY327705 LVU327705 MFQ327705 MPM327705 MZI327705 NJE327705 NTA327705 OCW327705 OMS327705 OWO327705 PGK327705 PQG327705 QAC327705 QJY327705 QTU327705 RDQ327705 RNM327705 RXI327705 SHE327705 SRA327705 TAW327705 TKS327705 TUO327705 UEK327705 UOG327705 UYC327705 VHY327705 VRU327705 WBQ327705 WLM327705 WVI327705 A393241 IW393241 SS393241 ACO393241 AMK393241 AWG393241 BGC393241 BPY393241 BZU393241 CJQ393241 CTM393241 DDI393241 DNE393241 DXA393241 EGW393241 EQS393241 FAO393241 FKK393241 FUG393241 GEC393241 GNY393241 GXU393241 HHQ393241 HRM393241 IBI393241 ILE393241 IVA393241 JEW393241 JOS393241 JYO393241 KIK393241 KSG393241 LCC393241 LLY393241 LVU393241 MFQ393241 MPM393241 MZI393241 NJE393241 NTA393241 OCW393241 OMS393241 OWO393241 PGK393241 PQG393241 QAC393241 QJY393241 QTU393241 RDQ393241 RNM393241 RXI393241 SHE393241 SRA393241 TAW393241 TKS393241 TUO393241 UEK393241 UOG393241 UYC393241 VHY393241 VRU393241 WBQ393241 WLM393241 WVI393241 A458777 IW458777 SS458777 ACO458777 AMK458777 AWG458777 BGC458777 BPY458777 BZU458777 CJQ458777 CTM458777 DDI458777 DNE458777 DXA458777 EGW458777 EQS458777 FAO458777 FKK458777 FUG458777 GEC458777 GNY458777 GXU458777 HHQ458777 HRM458777 IBI458777 ILE458777 IVA458777 JEW458777 JOS458777 JYO458777 KIK458777 KSG458777 LCC458777 LLY458777 LVU458777 MFQ458777 MPM458777 MZI458777 NJE458777 NTA458777 OCW458777 OMS458777 OWO458777 PGK458777 PQG458777 QAC458777 QJY458777 QTU458777 RDQ458777 RNM458777 RXI458777 SHE458777 SRA458777 TAW458777 TKS458777 TUO458777 UEK458777 UOG458777 UYC458777 VHY458777 VRU458777 WBQ458777 WLM458777 WVI458777 A524313 IW524313 SS524313 ACO524313 AMK524313 AWG524313 BGC524313 BPY524313 BZU524313 CJQ524313 CTM524313 DDI524313 DNE524313 DXA524313 EGW524313 EQS524313 FAO524313 FKK524313 FUG524313 GEC524313 GNY524313 GXU524313 HHQ524313 HRM524313 IBI524313 ILE524313 IVA524313 JEW524313 JOS524313 JYO524313 KIK524313 KSG524313 LCC524313 LLY524313 LVU524313 MFQ524313 MPM524313 MZI524313 NJE524313 NTA524313 OCW524313 OMS524313 OWO524313 PGK524313 PQG524313 QAC524313 QJY524313 QTU524313 RDQ524313 RNM524313 RXI524313 SHE524313 SRA524313 TAW524313 TKS524313 TUO524313 UEK524313 UOG524313 UYC524313 VHY524313 VRU524313 WBQ524313 WLM524313 WVI524313 A589849 IW589849 SS589849 ACO589849 AMK589849 AWG589849 BGC589849 BPY589849 BZU589849 CJQ589849 CTM589849 DDI589849 DNE589849 DXA589849 EGW589849 EQS589849 FAO589849 FKK589849 FUG589849 GEC589849 GNY589849 GXU589849 HHQ589849 HRM589849 IBI589849 ILE589849 IVA589849 JEW589849 JOS589849 JYO589849 KIK589849 KSG589849 LCC589849 LLY589849 LVU589849 MFQ589849 MPM589849 MZI589849 NJE589849 NTA589849 OCW589849 OMS589849 OWO589849 PGK589849 PQG589849 QAC589849 QJY589849 QTU589849 RDQ589849 RNM589849 RXI589849 SHE589849 SRA589849 TAW589849 TKS589849 TUO589849 UEK589849 UOG589849 UYC589849 VHY589849 VRU589849 WBQ589849 WLM589849 WVI589849 A655385 IW655385 SS655385 ACO655385 AMK655385 AWG655385 BGC655385 BPY655385 BZU655385 CJQ655385 CTM655385 DDI655385 DNE655385 DXA655385 EGW655385 EQS655385 FAO655385 FKK655385 FUG655385 GEC655385 GNY655385 GXU655385 HHQ655385 HRM655385 IBI655385 ILE655385 IVA655385 JEW655385 JOS655385 JYO655385 KIK655385 KSG655385 LCC655385 LLY655385 LVU655385 MFQ655385 MPM655385 MZI655385 NJE655385 NTA655385 OCW655385 OMS655385 OWO655385 PGK655385 PQG655385 QAC655385 QJY655385 QTU655385 RDQ655385 RNM655385 RXI655385 SHE655385 SRA655385 TAW655385 TKS655385 TUO655385 UEK655385 UOG655385 UYC655385 VHY655385 VRU655385 WBQ655385 WLM655385 WVI655385 A720921 IW720921 SS720921 ACO720921 AMK720921 AWG720921 BGC720921 BPY720921 BZU720921 CJQ720921 CTM720921 DDI720921 DNE720921 DXA720921 EGW720921 EQS720921 FAO720921 FKK720921 FUG720921 GEC720921 GNY720921 GXU720921 HHQ720921 HRM720921 IBI720921 ILE720921 IVA720921 JEW720921 JOS720921 JYO720921 KIK720921 KSG720921 LCC720921 LLY720921 LVU720921 MFQ720921 MPM720921 MZI720921 NJE720921 NTA720921 OCW720921 OMS720921 OWO720921 PGK720921 PQG720921 QAC720921 QJY720921 QTU720921 RDQ720921 RNM720921 RXI720921 SHE720921 SRA720921 TAW720921 TKS720921 TUO720921 UEK720921 UOG720921 UYC720921 VHY720921 VRU720921 WBQ720921 WLM720921 WVI720921 A786457 IW786457 SS786457 ACO786457 AMK786457 AWG786457 BGC786457 BPY786457 BZU786457 CJQ786457 CTM786457 DDI786457 DNE786457 DXA786457 EGW786457 EQS786457 FAO786457 FKK786457 FUG786457 GEC786457 GNY786457 GXU786457 HHQ786457 HRM786457 IBI786457 ILE786457 IVA786457 JEW786457 JOS786457 JYO786457 KIK786457 KSG786457 LCC786457 LLY786457 LVU786457 MFQ786457 MPM786457 MZI786457 NJE786457 NTA786457 OCW786457 OMS786457 OWO786457 PGK786457 PQG786457 QAC786457 QJY786457 QTU786457 RDQ786457 RNM786457 RXI786457 SHE786457 SRA786457 TAW786457 TKS786457 TUO786457 UEK786457 UOG786457 UYC786457 VHY786457 VRU786457 WBQ786457 WLM786457 WVI786457 A851993 IW851993 SS851993 ACO851993 AMK851993 AWG851993 BGC851993 BPY851993 BZU851993 CJQ851993 CTM851993 DDI851993 DNE851993 DXA851993 EGW851993 EQS851993 FAO851993 FKK851993 FUG851993 GEC851993 GNY851993 GXU851993 HHQ851993 HRM851993 IBI851993 ILE851993 IVA851993 JEW851993 JOS851993 JYO851993 KIK851993 KSG851993 LCC851993 LLY851993 LVU851993 MFQ851993 MPM851993 MZI851993 NJE851993 NTA851993 OCW851993 OMS851993 OWO851993 PGK851993 PQG851993 QAC851993 QJY851993 QTU851993 RDQ851993 RNM851993 RXI851993 SHE851993 SRA851993 TAW851993 TKS851993 TUO851993 UEK851993 UOG851993 UYC851993 VHY851993 VRU851993 WBQ851993 WLM851993 WVI851993 A917529 IW917529 SS917529 ACO917529 AMK917529 AWG917529 BGC917529 BPY917529 BZU917529 CJQ917529 CTM917529 DDI917529 DNE917529 DXA917529 EGW917529 EQS917529 FAO917529 FKK917529 FUG917529 GEC917529 GNY917529 GXU917529 HHQ917529 HRM917529 IBI917529 ILE917529 IVA917529 JEW917529 JOS917529 JYO917529 KIK917529 KSG917529 LCC917529 LLY917529 LVU917529 MFQ917529 MPM917529 MZI917529 NJE917529 NTA917529 OCW917529 OMS917529 OWO917529 PGK917529 PQG917529 QAC917529 QJY917529 QTU917529 RDQ917529 RNM917529 RXI917529 SHE917529 SRA917529 TAW917529 TKS917529 TUO917529 UEK917529 UOG917529 UYC917529 VHY917529 VRU917529 WBQ917529 WLM917529 WVI917529 A983065 IW983065 SS983065 ACO983065 AMK983065 AWG983065 BGC983065 BPY983065 BZU983065 CJQ983065 CTM983065 DDI983065 DNE983065 DXA983065 EGW983065 EQS983065 FAO983065 FKK983065 FUG983065 GEC983065 GNY983065 GXU983065 HHQ983065 HRM983065 IBI983065 ILE983065 IVA983065 JEW983065 JOS983065 JYO983065 KIK983065 KSG983065 LCC983065 LLY983065 LVU983065 MFQ983065 MPM983065 MZI983065 NJE983065 NTA983065 OCW983065 OMS983065 OWO983065 PGK983065 PQG983065 QAC983065 QJY983065 QTU983065 RDQ983065 RNM983065 RXI983065 SHE983065 SRA983065 TAW983065 TKS983065 TUO983065 UEK983065 UOG983065 UYC983065 VHY983065 VRU983065 WBQ983065 WLM983065 WVI983065">
      <formula1>"TRUE,FALSE"</formula1>
    </dataValidation>
    <dataValidation type="list" allowBlank="1" showInputMessage="1" showErrorMessage="1" errorTitle="Auto Update" error="This cell must be TRUE or FALSE." promptTitle="Auto Update" prompt="This cell must be TRUE or FALSE." sqref="A28 IW28 SS28 ACO28 AMK28 AWG28 BGC28 BPY28 BZU28 CJQ28 CTM28 DDI28 DNE28 DXA28 EGW28 EQS28 FAO28 FKK28 FUG28 GEC28 GNY28 GXU28 HHQ28 HRM28 IBI28 ILE28 IVA28 JEW28 JOS28 JYO28 KIK28 KSG28 LCC28 LLY28 LVU28 MFQ28 MPM28 MZI28 NJE28 NTA28 OCW28 OMS28 OWO28 PGK28 PQG28 QAC28 QJY28 QTU28 RDQ28 RNM28 RXI28 SHE28 SRA28 TAW28 TKS28 TUO28 UEK28 UOG28 UYC28 VHY28 VRU28 WBQ28 WLM28 WVI28 A65564 IW65564 SS65564 ACO65564 AMK65564 AWG65564 BGC65564 BPY65564 BZU65564 CJQ65564 CTM65564 DDI65564 DNE65564 DXA65564 EGW65564 EQS65564 FAO65564 FKK65564 FUG65564 GEC65564 GNY65564 GXU65564 HHQ65564 HRM65564 IBI65564 ILE65564 IVA65564 JEW65564 JOS65564 JYO65564 KIK65564 KSG65564 LCC65564 LLY65564 LVU65564 MFQ65564 MPM65564 MZI65564 NJE65564 NTA65564 OCW65564 OMS65564 OWO65564 PGK65564 PQG65564 QAC65564 QJY65564 QTU65564 RDQ65564 RNM65564 RXI65564 SHE65564 SRA65564 TAW65564 TKS65564 TUO65564 UEK65564 UOG65564 UYC65564 VHY65564 VRU65564 WBQ65564 WLM65564 WVI65564 A131100 IW131100 SS131100 ACO131100 AMK131100 AWG131100 BGC131100 BPY131100 BZU131100 CJQ131100 CTM131100 DDI131100 DNE131100 DXA131100 EGW131100 EQS131100 FAO131100 FKK131100 FUG131100 GEC131100 GNY131100 GXU131100 HHQ131100 HRM131100 IBI131100 ILE131100 IVA131100 JEW131100 JOS131100 JYO131100 KIK131100 KSG131100 LCC131100 LLY131100 LVU131100 MFQ131100 MPM131100 MZI131100 NJE131100 NTA131100 OCW131100 OMS131100 OWO131100 PGK131100 PQG131100 QAC131100 QJY131100 QTU131100 RDQ131100 RNM131100 RXI131100 SHE131100 SRA131100 TAW131100 TKS131100 TUO131100 UEK131100 UOG131100 UYC131100 VHY131100 VRU131100 WBQ131100 WLM131100 WVI131100 A196636 IW196636 SS196636 ACO196636 AMK196636 AWG196636 BGC196636 BPY196636 BZU196636 CJQ196636 CTM196636 DDI196636 DNE196636 DXA196636 EGW196636 EQS196636 FAO196636 FKK196636 FUG196636 GEC196636 GNY196636 GXU196636 HHQ196636 HRM196636 IBI196636 ILE196636 IVA196636 JEW196636 JOS196636 JYO196636 KIK196636 KSG196636 LCC196636 LLY196636 LVU196636 MFQ196636 MPM196636 MZI196636 NJE196636 NTA196636 OCW196636 OMS196636 OWO196636 PGK196636 PQG196636 QAC196636 QJY196636 QTU196636 RDQ196636 RNM196636 RXI196636 SHE196636 SRA196636 TAW196636 TKS196636 TUO196636 UEK196636 UOG196636 UYC196636 VHY196636 VRU196636 WBQ196636 WLM196636 WVI196636 A262172 IW262172 SS262172 ACO262172 AMK262172 AWG262172 BGC262172 BPY262172 BZU262172 CJQ262172 CTM262172 DDI262172 DNE262172 DXA262172 EGW262172 EQS262172 FAO262172 FKK262172 FUG262172 GEC262172 GNY262172 GXU262172 HHQ262172 HRM262172 IBI262172 ILE262172 IVA262172 JEW262172 JOS262172 JYO262172 KIK262172 KSG262172 LCC262172 LLY262172 LVU262172 MFQ262172 MPM262172 MZI262172 NJE262172 NTA262172 OCW262172 OMS262172 OWO262172 PGK262172 PQG262172 QAC262172 QJY262172 QTU262172 RDQ262172 RNM262172 RXI262172 SHE262172 SRA262172 TAW262172 TKS262172 TUO262172 UEK262172 UOG262172 UYC262172 VHY262172 VRU262172 WBQ262172 WLM262172 WVI262172 A327708 IW327708 SS327708 ACO327708 AMK327708 AWG327708 BGC327708 BPY327708 BZU327708 CJQ327708 CTM327708 DDI327708 DNE327708 DXA327708 EGW327708 EQS327708 FAO327708 FKK327708 FUG327708 GEC327708 GNY327708 GXU327708 HHQ327708 HRM327708 IBI327708 ILE327708 IVA327708 JEW327708 JOS327708 JYO327708 KIK327708 KSG327708 LCC327708 LLY327708 LVU327708 MFQ327708 MPM327708 MZI327708 NJE327708 NTA327708 OCW327708 OMS327708 OWO327708 PGK327708 PQG327708 QAC327708 QJY327708 QTU327708 RDQ327708 RNM327708 RXI327708 SHE327708 SRA327708 TAW327708 TKS327708 TUO327708 UEK327708 UOG327708 UYC327708 VHY327708 VRU327708 WBQ327708 WLM327708 WVI327708 A393244 IW393244 SS393244 ACO393244 AMK393244 AWG393244 BGC393244 BPY393244 BZU393244 CJQ393244 CTM393244 DDI393244 DNE393244 DXA393244 EGW393244 EQS393244 FAO393244 FKK393244 FUG393244 GEC393244 GNY393244 GXU393244 HHQ393244 HRM393244 IBI393244 ILE393244 IVA393244 JEW393244 JOS393244 JYO393244 KIK393244 KSG393244 LCC393244 LLY393244 LVU393244 MFQ393244 MPM393244 MZI393244 NJE393244 NTA393244 OCW393244 OMS393244 OWO393244 PGK393244 PQG393244 QAC393244 QJY393244 QTU393244 RDQ393244 RNM393244 RXI393244 SHE393244 SRA393244 TAW393244 TKS393244 TUO393244 UEK393244 UOG393244 UYC393244 VHY393244 VRU393244 WBQ393244 WLM393244 WVI393244 A458780 IW458780 SS458780 ACO458780 AMK458780 AWG458780 BGC458780 BPY458780 BZU458780 CJQ458780 CTM458780 DDI458780 DNE458780 DXA458780 EGW458780 EQS458780 FAO458780 FKK458780 FUG458780 GEC458780 GNY458780 GXU458780 HHQ458780 HRM458780 IBI458780 ILE458780 IVA458780 JEW458780 JOS458780 JYO458780 KIK458780 KSG458780 LCC458780 LLY458780 LVU458780 MFQ458780 MPM458780 MZI458780 NJE458780 NTA458780 OCW458780 OMS458780 OWO458780 PGK458780 PQG458780 QAC458780 QJY458780 QTU458780 RDQ458780 RNM458780 RXI458780 SHE458780 SRA458780 TAW458780 TKS458780 TUO458780 UEK458780 UOG458780 UYC458780 VHY458780 VRU458780 WBQ458780 WLM458780 WVI458780 A524316 IW524316 SS524316 ACO524316 AMK524316 AWG524316 BGC524316 BPY524316 BZU524316 CJQ524316 CTM524316 DDI524316 DNE524316 DXA524316 EGW524316 EQS524316 FAO524316 FKK524316 FUG524316 GEC524316 GNY524316 GXU524316 HHQ524316 HRM524316 IBI524316 ILE524316 IVA524316 JEW524316 JOS524316 JYO524316 KIK524316 KSG524316 LCC524316 LLY524316 LVU524316 MFQ524316 MPM524316 MZI524316 NJE524316 NTA524316 OCW524316 OMS524316 OWO524316 PGK524316 PQG524316 QAC524316 QJY524316 QTU524316 RDQ524316 RNM524316 RXI524316 SHE524316 SRA524316 TAW524316 TKS524316 TUO524316 UEK524316 UOG524316 UYC524316 VHY524316 VRU524316 WBQ524316 WLM524316 WVI524316 A589852 IW589852 SS589852 ACO589852 AMK589852 AWG589852 BGC589852 BPY589852 BZU589852 CJQ589852 CTM589852 DDI589852 DNE589852 DXA589852 EGW589852 EQS589852 FAO589852 FKK589852 FUG589852 GEC589852 GNY589852 GXU589852 HHQ589852 HRM589852 IBI589852 ILE589852 IVA589852 JEW589852 JOS589852 JYO589852 KIK589852 KSG589852 LCC589852 LLY589852 LVU589852 MFQ589852 MPM589852 MZI589852 NJE589852 NTA589852 OCW589852 OMS589852 OWO589852 PGK589852 PQG589852 QAC589852 QJY589852 QTU589852 RDQ589852 RNM589852 RXI589852 SHE589852 SRA589852 TAW589852 TKS589852 TUO589852 UEK589852 UOG589852 UYC589852 VHY589852 VRU589852 WBQ589852 WLM589852 WVI589852 A655388 IW655388 SS655388 ACO655388 AMK655388 AWG655388 BGC655388 BPY655388 BZU655388 CJQ655388 CTM655388 DDI655388 DNE655388 DXA655388 EGW655388 EQS655388 FAO655388 FKK655388 FUG655388 GEC655388 GNY655388 GXU655388 HHQ655388 HRM655388 IBI655388 ILE655388 IVA655388 JEW655388 JOS655388 JYO655388 KIK655388 KSG655388 LCC655388 LLY655388 LVU655388 MFQ655388 MPM655388 MZI655388 NJE655388 NTA655388 OCW655388 OMS655388 OWO655388 PGK655388 PQG655388 QAC655388 QJY655388 QTU655388 RDQ655388 RNM655388 RXI655388 SHE655388 SRA655388 TAW655388 TKS655388 TUO655388 UEK655388 UOG655388 UYC655388 VHY655388 VRU655388 WBQ655388 WLM655388 WVI655388 A720924 IW720924 SS720924 ACO720924 AMK720924 AWG720924 BGC720924 BPY720924 BZU720924 CJQ720924 CTM720924 DDI720924 DNE720924 DXA720924 EGW720924 EQS720924 FAO720924 FKK720924 FUG720924 GEC720924 GNY720924 GXU720924 HHQ720924 HRM720924 IBI720924 ILE720924 IVA720924 JEW720924 JOS720924 JYO720924 KIK720924 KSG720924 LCC720924 LLY720924 LVU720924 MFQ720924 MPM720924 MZI720924 NJE720924 NTA720924 OCW720924 OMS720924 OWO720924 PGK720924 PQG720924 QAC720924 QJY720924 QTU720924 RDQ720924 RNM720924 RXI720924 SHE720924 SRA720924 TAW720924 TKS720924 TUO720924 UEK720924 UOG720924 UYC720924 VHY720924 VRU720924 WBQ720924 WLM720924 WVI720924 A786460 IW786460 SS786460 ACO786460 AMK786460 AWG786460 BGC786460 BPY786460 BZU786460 CJQ786460 CTM786460 DDI786460 DNE786460 DXA786460 EGW786460 EQS786460 FAO786460 FKK786460 FUG786460 GEC786460 GNY786460 GXU786460 HHQ786460 HRM786460 IBI786460 ILE786460 IVA786460 JEW786460 JOS786460 JYO786460 KIK786460 KSG786460 LCC786460 LLY786460 LVU786460 MFQ786460 MPM786460 MZI786460 NJE786460 NTA786460 OCW786460 OMS786460 OWO786460 PGK786460 PQG786460 QAC786460 QJY786460 QTU786460 RDQ786460 RNM786460 RXI786460 SHE786460 SRA786460 TAW786460 TKS786460 TUO786460 UEK786460 UOG786460 UYC786460 VHY786460 VRU786460 WBQ786460 WLM786460 WVI786460 A851996 IW851996 SS851996 ACO851996 AMK851996 AWG851996 BGC851996 BPY851996 BZU851996 CJQ851996 CTM851996 DDI851996 DNE851996 DXA851996 EGW851996 EQS851996 FAO851996 FKK851996 FUG851996 GEC851996 GNY851996 GXU851996 HHQ851996 HRM851996 IBI851996 ILE851996 IVA851996 JEW851996 JOS851996 JYO851996 KIK851996 KSG851996 LCC851996 LLY851996 LVU851996 MFQ851996 MPM851996 MZI851996 NJE851996 NTA851996 OCW851996 OMS851996 OWO851996 PGK851996 PQG851996 QAC851996 QJY851996 QTU851996 RDQ851996 RNM851996 RXI851996 SHE851996 SRA851996 TAW851996 TKS851996 TUO851996 UEK851996 UOG851996 UYC851996 VHY851996 VRU851996 WBQ851996 WLM851996 WVI851996 A917532 IW917532 SS917532 ACO917532 AMK917532 AWG917532 BGC917532 BPY917532 BZU917532 CJQ917532 CTM917532 DDI917532 DNE917532 DXA917532 EGW917532 EQS917532 FAO917532 FKK917532 FUG917532 GEC917532 GNY917532 GXU917532 HHQ917532 HRM917532 IBI917532 ILE917532 IVA917532 JEW917532 JOS917532 JYO917532 KIK917532 KSG917532 LCC917532 LLY917532 LVU917532 MFQ917532 MPM917532 MZI917532 NJE917532 NTA917532 OCW917532 OMS917532 OWO917532 PGK917532 PQG917532 QAC917532 QJY917532 QTU917532 RDQ917532 RNM917532 RXI917532 SHE917532 SRA917532 TAW917532 TKS917532 TUO917532 UEK917532 UOG917532 UYC917532 VHY917532 VRU917532 WBQ917532 WLM917532 WVI917532 A983068 IW983068 SS983068 ACO983068 AMK983068 AWG983068 BGC983068 BPY983068 BZU983068 CJQ983068 CTM983068 DDI983068 DNE983068 DXA983068 EGW983068 EQS983068 FAO983068 FKK983068 FUG983068 GEC983068 GNY983068 GXU983068 HHQ983068 HRM983068 IBI983068 ILE983068 IVA983068 JEW983068 JOS983068 JYO983068 KIK983068 KSG983068 LCC983068 LLY983068 LVU983068 MFQ983068 MPM983068 MZI983068 NJE983068 NTA983068 OCW983068 OMS983068 OWO983068 PGK983068 PQG983068 QAC983068 QJY983068 QTU983068 RDQ983068 RNM983068 RXI983068 SHE983068 SRA983068 TAW983068 TKS983068 TUO983068 UEK983068 UOG983068 UYC983068 VHY983068 VRU983068 WBQ983068 WLM983068 WVI983068">
      <formula1>"TRUE,FALSE"</formula1>
    </dataValidation>
  </dataValidations>
  <pageMargins left="0.7" right="0.7" top="0.75" bottom="0.75" header="0.3" footer="0.3"/>
  <pageSetup paperSize="1" orientation="portrait"/>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
  <sheetViews>
    <sheetView workbookViewId="0">
      <selection activeCell="A1" sqref="A1"/>
    </sheetView>
  </sheetViews>
  <sheetFormatPr defaultColWidth="8.89285714285714" defaultRowHeight="16.8"/>
  <sheetData/>
  <pageMargins left="0.7" right="0.7" top="0.75" bottom="0.75" header="0.3" footer="0.3"/>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pageSetUpPr fitToPage="1"/>
  </sheetPr>
  <dimension ref="A1:C41"/>
  <sheetViews>
    <sheetView workbookViewId="0">
      <selection activeCell="A53" sqref="A53"/>
    </sheetView>
  </sheetViews>
  <sheetFormatPr defaultColWidth="9.10714285714286" defaultRowHeight="16.8" outlineLevelCol="2"/>
  <cols>
    <col min="1" max="1" width="107.330357142857" style="90" customWidth="1"/>
    <col min="2" max="2" width="9.10714285714286" style="91" customWidth="1"/>
    <col min="3" max="3" width="104.223214285714" style="91" customWidth="1"/>
    <col min="4" max="4" width="9.10714285714286" style="91" customWidth="1"/>
    <col min="5" max="16384" width="9.10714285714286" style="91"/>
  </cols>
  <sheetData>
    <row r="1" ht="26.75" spans="1:3">
      <c r="A1" s="92" t="s">
        <v>106</v>
      </c>
      <c r="B1"/>
      <c r="C1" s="92" t="s">
        <v>107</v>
      </c>
    </row>
    <row r="2" ht="17.75" spans="1:3">
      <c r="A2" s="93" t="s">
        <v>108</v>
      </c>
      <c r="B2"/>
      <c r="C2" s="93" t="s">
        <v>109</v>
      </c>
    </row>
    <row r="3" ht="34" spans="1:3">
      <c r="A3" s="94" t="s">
        <v>110</v>
      </c>
      <c r="B3"/>
      <c r="C3" s="94" t="s">
        <v>111</v>
      </c>
    </row>
    <row r="4" ht="34" spans="1:3">
      <c r="A4" s="94" t="s">
        <v>112</v>
      </c>
      <c r="B4"/>
      <c r="C4" s="94" t="s">
        <v>113</v>
      </c>
    </row>
    <row r="5" ht="17.55" spans="1:3">
      <c r="A5" s="94"/>
      <c r="B5"/>
      <c r="C5" s="94"/>
    </row>
    <row r="6" ht="17.75" spans="1:3">
      <c r="A6" s="93" t="s">
        <v>114</v>
      </c>
      <c r="B6"/>
      <c r="C6" s="93" t="s">
        <v>115</v>
      </c>
    </row>
    <row r="7" ht="34" spans="1:3">
      <c r="A7" s="94" t="s">
        <v>116</v>
      </c>
      <c r="B7"/>
      <c r="C7" s="94" t="s">
        <v>117</v>
      </c>
    </row>
    <row r="8" ht="101" spans="1:3">
      <c r="A8" s="95" t="s">
        <v>118</v>
      </c>
      <c r="B8"/>
      <c r="C8" s="95" t="s">
        <v>119</v>
      </c>
    </row>
    <row r="9" ht="84" spans="1:3">
      <c r="A9" s="95" t="s">
        <v>120</v>
      </c>
      <c r="B9"/>
      <c r="C9" s="95" t="s">
        <v>121</v>
      </c>
    </row>
    <row r="10" ht="17.55" spans="1:3">
      <c r="A10" s="96"/>
      <c r="B10"/>
      <c r="C10" s="96"/>
    </row>
    <row r="11" ht="17.75" spans="1:3">
      <c r="A11" s="97" t="s">
        <v>122</v>
      </c>
      <c r="B11"/>
      <c r="C11" s="97" t="s">
        <v>123</v>
      </c>
    </row>
    <row r="12" ht="51" spans="1:3">
      <c r="A12" s="94" t="s">
        <v>124</v>
      </c>
      <c r="B12"/>
      <c r="C12" s="94" t="s">
        <v>125</v>
      </c>
    </row>
    <row r="13" ht="68" spans="1:3">
      <c r="A13" s="94" t="s">
        <v>126</v>
      </c>
      <c r="B13"/>
      <c r="C13" s="94" t="s">
        <v>127</v>
      </c>
    </row>
    <row r="14" ht="101" spans="1:3">
      <c r="A14" s="94" t="s">
        <v>128</v>
      </c>
      <c r="B14"/>
      <c r="C14" s="94" t="s">
        <v>129</v>
      </c>
    </row>
    <row r="15" ht="17.55" spans="1:3">
      <c r="A15" s="96"/>
      <c r="B15"/>
      <c r="C15" s="96"/>
    </row>
    <row r="16" ht="17.75" spans="1:3">
      <c r="A16" s="97" t="s">
        <v>130</v>
      </c>
      <c r="B16"/>
      <c r="C16" s="97" t="s">
        <v>131</v>
      </c>
    </row>
    <row r="17" ht="34" spans="1:3">
      <c r="A17" s="94" t="s">
        <v>132</v>
      </c>
      <c r="B17"/>
      <c r="C17" s="94" t="s">
        <v>133</v>
      </c>
    </row>
    <row r="18" ht="34" spans="1:3">
      <c r="A18" s="94" t="s">
        <v>134</v>
      </c>
      <c r="B18"/>
      <c r="C18" s="94" t="s">
        <v>135</v>
      </c>
    </row>
    <row r="19" spans="1:3">
      <c r="A19" s="94"/>
      <c r="B19"/>
      <c r="C19" s="94"/>
    </row>
    <row r="20" ht="17.75" spans="1:3">
      <c r="A20" s="97" t="s">
        <v>136</v>
      </c>
      <c r="B20"/>
      <c r="C20" s="97" t="s">
        <v>137</v>
      </c>
    </row>
    <row r="21" ht="68" spans="1:3">
      <c r="A21" s="94" t="s">
        <v>138</v>
      </c>
      <c r="B21"/>
      <c r="C21" s="94" t="s">
        <v>139</v>
      </c>
    </row>
    <row r="22" ht="17.55" spans="1:3">
      <c r="A22" s="94"/>
      <c r="B22"/>
      <c r="C22" s="94"/>
    </row>
    <row r="23" ht="17.75" spans="1:3">
      <c r="A23" s="93" t="s">
        <v>140</v>
      </c>
      <c r="B23"/>
      <c r="C23" s="93" t="s">
        <v>141</v>
      </c>
    </row>
    <row r="24" ht="181.5" customHeight="1" spans="1:3">
      <c r="A24" s="94" t="s">
        <v>142</v>
      </c>
      <c r="B24"/>
      <c r="C24" s="94" t="s">
        <v>143</v>
      </c>
    </row>
    <row r="25" ht="320" spans="1:3">
      <c r="A25" s="94" t="s">
        <v>144</v>
      </c>
      <c r="B25"/>
      <c r="C25" s="94" t="s">
        <v>145</v>
      </c>
    </row>
    <row r="26" ht="168" spans="1:3">
      <c r="A26" s="94" t="s">
        <v>146</v>
      </c>
      <c r="B26"/>
      <c r="C26" s="94" t="s">
        <v>147</v>
      </c>
    </row>
    <row r="27" ht="72.75" customHeight="1" spans="1:3">
      <c r="A27" s="94" t="s">
        <v>148</v>
      </c>
      <c r="B27"/>
      <c r="C27" s="94" t="s">
        <v>149</v>
      </c>
    </row>
    <row r="28" ht="18" customHeight="1" spans="1:3">
      <c r="A28" s="94"/>
      <c r="B28"/>
      <c r="C28" s="94"/>
    </row>
    <row r="29" ht="17.75" spans="1:3">
      <c r="A29" s="93" t="s">
        <v>150</v>
      </c>
      <c r="B29"/>
      <c r="C29" s="93" t="s">
        <v>151</v>
      </c>
    </row>
    <row r="30" ht="34" spans="1:3">
      <c r="A30" s="94" t="s">
        <v>152</v>
      </c>
      <c r="B30"/>
      <c r="C30" s="94" t="s">
        <v>153</v>
      </c>
    </row>
    <row r="31" ht="17.55" spans="1:3">
      <c r="A31" s="94"/>
      <c r="B31"/>
      <c r="C31" s="94"/>
    </row>
    <row r="32" ht="17.75" spans="1:3">
      <c r="A32" s="93" t="s">
        <v>154</v>
      </c>
      <c r="B32"/>
      <c r="C32" s="93" t="s">
        <v>155</v>
      </c>
    </row>
    <row r="33" ht="34" spans="1:3">
      <c r="A33" s="94" t="s">
        <v>156</v>
      </c>
      <c r="B33"/>
      <c r="C33" s="94" t="s">
        <v>157</v>
      </c>
    </row>
    <row r="34" ht="51" spans="1:3">
      <c r="A34" s="94" t="s">
        <v>158</v>
      </c>
      <c r="B34"/>
      <c r="C34" s="94" t="s">
        <v>159</v>
      </c>
    </row>
    <row r="35" ht="20.25" customHeight="1" spans="1:3">
      <c r="A35" s="94"/>
      <c r="B35"/>
      <c r="C35" s="94"/>
    </row>
    <row r="36" ht="17" spans="1:3">
      <c r="A36" s="98" t="s">
        <v>160</v>
      </c>
      <c r="B36"/>
      <c r="C36" s="98" t="s">
        <v>161</v>
      </c>
    </row>
    <row r="37" ht="118" spans="1:3">
      <c r="A37" s="94" t="s">
        <v>162</v>
      </c>
      <c r="B37"/>
      <c r="C37" s="94" t="s">
        <v>163</v>
      </c>
    </row>
    <row r="38" ht="17.55" spans="1:3">
      <c r="A38" s="94"/>
      <c r="B38"/>
      <c r="C38" s="94"/>
    </row>
    <row r="39" ht="17.75" spans="1:3">
      <c r="A39" s="93" t="s">
        <v>164</v>
      </c>
      <c r="B39"/>
      <c r="C39" s="93" t="s">
        <v>165</v>
      </c>
    </row>
    <row r="40" ht="34" spans="1:3">
      <c r="A40" s="94" t="s">
        <v>166</v>
      </c>
      <c r="B40"/>
      <c r="C40" s="94" t="s">
        <v>167</v>
      </c>
    </row>
    <row r="41" ht="17.55" spans="1:3">
      <c r="A41" s="96"/>
      <c r="B41"/>
      <c r="C41" s="96"/>
    </row>
  </sheetData>
  <pageMargins left="0.7" right="0.7" top="0.75" bottom="0.75" header="0.3" footer="0.3"/>
  <pageSetup paperSize="1" scale="10" fitToHeight="4"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B384"/>
  <sheetViews>
    <sheetView workbookViewId="0">
      <selection activeCell="A1" sqref="A1"/>
    </sheetView>
  </sheetViews>
  <sheetFormatPr defaultColWidth="8.89285714285714" defaultRowHeight="16.8" outlineLevelCol="1"/>
  <cols>
    <col min="1" max="1" width="30.7767857142857" style="87" customWidth="1"/>
    <col min="2" max="2" width="21.8928571428571" customWidth="1"/>
    <col min="257" max="257" width="30.7767857142857" customWidth="1"/>
    <col min="258" max="258" width="21.8928571428571" customWidth="1"/>
    <col min="513" max="513" width="30.7767857142857" customWidth="1"/>
    <col min="514" max="514" width="21.8928571428571" customWidth="1"/>
    <col min="769" max="769" width="30.7767857142857" customWidth="1"/>
    <col min="770" max="770" width="21.8928571428571" customWidth="1"/>
    <col min="1025" max="1025" width="30.7767857142857" customWidth="1"/>
    <col min="1026" max="1026" width="21.8928571428571" customWidth="1"/>
    <col min="1281" max="1281" width="30.7767857142857" customWidth="1"/>
    <col min="1282" max="1282" width="21.8928571428571" customWidth="1"/>
    <col min="1537" max="1537" width="30.7767857142857" customWidth="1"/>
    <col min="1538" max="1538" width="21.8928571428571" customWidth="1"/>
    <col min="1793" max="1793" width="30.7767857142857" customWidth="1"/>
    <col min="1794" max="1794" width="21.8928571428571" customWidth="1"/>
    <col min="2049" max="2049" width="30.7767857142857" customWidth="1"/>
    <col min="2050" max="2050" width="21.8928571428571" customWidth="1"/>
    <col min="2305" max="2305" width="30.7767857142857" customWidth="1"/>
    <col min="2306" max="2306" width="21.8928571428571" customWidth="1"/>
    <col min="2561" max="2561" width="30.7767857142857" customWidth="1"/>
    <col min="2562" max="2562" width="21.8928571428571" customWidth="1"/>
    <col min="2817" max="2817" width="30.7767857142857" customWidth="1"/>
    <col min="2818" max="2818" width="21.8928571428571" customWidth="1"/>
    <col min="3073" max="3073" width="30.7767857142857" customWidth="1"/>
    <col min="3074" max="3074" width="21.8928571428571" customWidth="1"/>
    <col min="3329" max="3329" width="30.7767857142857" customWidth="1"/>
    <col min="3330" max="3330" width="21.8928571428571" customWidth="1"/>
    <col min="3585" max="3585" width="30.7767857142857" customWidth="1"/>
    <col min="3586" max="3586" width="21.8928571428571" customWidth="1"/>
    <col min="3841" max="3841" width="30.7767857142857" customWidth="1"/>
    <col min="3842" max="3842" width="21.8928571428571" customWidth="1"/>
    <col min="4097" max="4097" width="30.7767857142857" customWidth="1"/>
    <col min="4098" max="4098" width="21.8928571428571" customWidth="1"/>
    <col min="4353" max="4353" width="30.7767857142857" customWidth="1"/>
    <col min="4354" max="4354" width="21.8928571428571" customWidth="1"/>
    <col min="4609" max="4609" width="30.7767857142857" customWidth="1"/>
    <col min="4610" max="4610" width="21.8928571428571" customWidth="1"/>
    <col min="4865" max="4865" width="30.7767857142857" customWidth="1"/>
    <col min="4866" max="4866" width="21.8928571428571" customWidth="1"/>
    <col min="5121" max="5121" width="30.7767857142857" customWidth="1"/>
    <col min="5122" max="5122" width="21.8928571428571" customWidth="1"/>
    <col min="5377" max="5377" width="30.7767857142857" customWidth="1"/>
    <col min="5378" max="5378" width="21.8928571428571" customWidth="1"/>
    <col min="5633" max="5633" width="30.7767857142857" customWidth="1"/>
    <col min="5634" max="5634" width="21.8928571428571" customWidth="1"/>
    <col min="5889" max="5889" width="30.7767857142857" customWidth="1"/>
    <col min="5890" max="5890" width="21.8928571428571" customWidth="1"/>
    <col min="6145" max="6145" width="30.7767857142857" customWidth="1"/>
    <col min="6146" max="6146" width="21.8928571428571" customWidth="1"/>
    <col min="6401" max="6401" width="30.7767857142857" customWidth="1"/>
    <col min="6402" max="6402" width="21.8928571428571" customWidth="1"/>
    <col min="6657" max="6657" width="30.7767857142857" customWidth="1"/>
    <col min="6658" max="6658" width="21.8928571428571" customWidth="1"/>
    <col min="6913" max="6913" width="30.7767857142857" customWidth="1"/>
    <col min="6914" max="6914" width="21.8928571428571" customWidth="1"/>
    <col min="7169" max="7169" width="30.7767857142857" customWidth="1"/>
    <col min="7170" max="7170" width="21.8928571428571" customWidth="1"/>
    <col min="7425" max="7425" width="30.7767857142857" customWidth="1"/>
    <col min="7426" max="7426" width="21.8928571428571" customWidth="1"/>
    <col min="7681" max="7681" width="30.7767857142857" customWidth="1"/>
    <col min="7682" max="7682" width="21.8928571428571" customWidth="1"/>
    <col min="7937" max="7937" width="30.7767857142857" customWidth="1"/>
    <col min="7938" max="7938" width="21.8928571428571" customWidth="1"/>
    <col min="8193" max="8193" width="30.7767857142857" customWidth="1"/>
    <col min="8194" max="8194" width="21.8928571428571" customWidth="1"/>
    <col min="8449" max="8449" width="30.7767857142857" customWidth="1"/>
    <col min="8450" max="8450" width="21.8928571428571" customWidth="1"/>
    <col min="8705" max="8705" width="30.7767857142857" customWidth="1"/>
    <col min="8706" max="8706" width="21.8928571428571" customWidth="1"/>
    <col min="8961" max="8961" width="30.7767857142857" customWidth="1"/>
    <col min="8962" max="8962" width="21.8928571428571" customWidth="1"/>
    <col min="9217" max="9217" width="30.7767857142857" customWidth="1"/>
    <col min="9218" max="9218" width="21.8928571428571" customWidth="1"/>
    <col min="9473" max="9473" width="30.7767857142857" customWidth="1"/>
    <col min="9474" max="9474" width="21.8928571428571" customWidth="1"/>
    <col min="9729" max="9729" width="30.7767857142857" customWidth="1"/>
    <col min="9730" max="9730" width="21.8928571428571" customWidth="1"/>
    <col min="9985" max="9985" width="30.7767857142857" customWidth="1"/>
    <col min="9986" max="9986" width="21.8928571428571" customWidth="1"/>
    <col min="10241" max="10241" width="30.7767857142857" customWidth="1"/>
    <col min="10242" max="10242" width="21.8928571428571" customWidth="1"/>
    <col min="10497" max="10497" width="30.7767857142857" customWidth="1"/>
    <col min="10498" max="10498" width="21.8928571428571" customWidth="1"/>
    <col min="10753" max="10753" width="30.7767857142857" customWidth="1"/>
    <col min="10754" max="10754" width="21.8928571428571" customWidth="1"/>
    <col min="11009" max="11009" width="30.7767857142857" customWidth="1"/>
    <col min="11010" max="11010" width="21.8928571428571" customWidth="1"/>
    <col min="11265" max="11265" width="30.7767857142857" customWidth="1"/>
    <col min="11266" max="11266" width="21.8928571428571" customWidth="1"/>
    <col min="11521" max="11521" width="30.7767857142857" customWidth="1"/>
    <col min="11522" max="11522" width="21.8928571428571" customWidth="1"/>
    <col min="11777" max="11777" width="30.7767857142857" customWidth="1"/>
    <col min="11778" max="11778" width="21.8928571428571" customWidth="1"/>
    <col min="12033" max="12033" width="30.7767857142857" customWidth="1"/>
    <col min="12034" max="12034" width="21.8928571428571" customWidth="1"/>
    <col min="12289" max="12289" width="30.7767857142857" customWidth="1"/>
    <col min="12290" max="12290" width="21.8928571428571" customWidth="1"/>
    <col min="12545" max="12545" width="30.7767857142857" customWidth="1"/>
    <col min="12546" max="12546" width="21.8928571428571" customWidth="1"/>
    <col min="12801" max="12801" width="30.7767857142857" customWidth="1"/>
    <col min="12802" max="12802" width="21.8928571428571" customWidth="1"/>
    <col min="13057" max="13057" width="30.7767857142857" customWidth="1"/>
    <col min="13058" max="13058" width="21.8928571428571" customWidth="1"/>
    <col min="13313" max="13313" width="30.7767857142857" customWidth="1"/>
    <col min="13314" max="13314" width="21.8928571428571" customWidth="1"/>
    <col min="13569" max="13569" width="30.7767857142857" customWidth="1"/>
    <col min="13570" max="13570" width="21.8928571428571" customWidth="1"/>
    <col min="13825" max="13825" width="30.7767857142857" customWidth="1"/>
    <col min="13826" max="13826" width="21.8928571428571" customWidth="1"/>
    <col min="14081" max="14081" width="30.7767857142857" customWidth="1"/>
    <col min="14082" max="14082" width="21.8928571428571" customWidth="1"/>
    <col min="14337" max="14337" width="30.7767857142857" customWidth="1"/>
    <col min="14338" max="14338" width="21.8928571428571" customWidth="1"/>
    <col min="14593" max="14593" width="30.7767857142857" customWidth="1"/>
    <col min="14594" max="14594" width="21.8928571428571" customWidth="1"/>
    <col min="14849" max="14849" width="30.7767857142857" customWidth="1"/>
    <col min="14850" max="14850" width="21.8928571428571" customWidth="1"/>
    <col min="15105" max="15105" width="30.7767857142857" customWidth="1"/>
    <col min="15106" max="15106" width="21.8928571428571" customWidth="1"/>
    <col min="15361" max="15361" width="30.7767857142857" customWidth="1"/>
    <col min="15362" max="15362" width="21.8928571428571" customWidth="1"/>
    <col min="15617" max="15617" width="30.7767857142857" customWidth="1"/>
    <col min="15618" max="15618" width="21.8928571428571" customWidth="1"/>
    <col min="15873" max="15873" width="30.7767857142857" customWidth="1"/>
    <col min="15874" max="15874" width="21.8928571428571" customWidth="1"/>
    <col min="16129" max="16129" width="30.7767857142857" customWidth="1"/>
    <col min="16130" max="16130" width="21.8928571428571" customWidth="1"/>
  </cols>
  <sheetData>
    <row r="1" s="86" customFormat="1" spans="1:2">
      <c r="A1" s="88" t="s">
        <v>168</v>
      </c>
      <c r="B1" s="89" t="s">
        <v>6</v>
      </c>
    </row>
    <row r="2" spans="1:2">
      <c r="A2" s="87" t="s">
        <v>169</v>
      </c>
      <c r="B2" t="s">
        <v>170</v>
      </c>
    </row>
    <row r="3" spans="1:2">
      <c r="A3" s="87" t="s">
        <v>171</v>
      </c>
      <c r="B3" t="s">
        <v>172</v>
      </c>
    </row>
    <row r="4" spans="1:2">
      <c r="A4" s="87" t="s">
        <v>173</v>
      </c>
      <c r="B4" t="s">
        <v>174</v>
      </c>
    </row>
    <row r="5" spans="1:2">
      <c r="A5" s="87" t="s">
        <v>175</v>
      </c>
      <c r="B5" t="s">
        <v>176</v>
      </c>
    </row>
    <row r="6" spans="1:2">
      <c r="A6" s="87" t="s">
        <v>177</v>
      </c>
      <c r="B6" t="s">
        <v>178</v>
      </c>
    </row>
    <row r="7" spans="1:2">
      <c r="A7" s="87" t="s">
        <v>179</v>
      </c>
      <c r="B7" t="s">
        <v>180</v>
      </c>
    </row>
    <row r="8" spans="1:2">
      <c r="A8" s="87" t="s">
        <v>181</v>
      </c>
      <c r="B8" t="s">
        <v>182</v>
      </c>
    </row>
    <row r="9" spans="1:2">
      <c r="A9" s="87" t="s">
        <v>183</v>
      </c>
      <c r="B9" t="s">
        <v>184</v>
      </c>
    </row>
    <row r="10" spans="1:2">
      <c r="A10" s="87" t="s">
        <v>185</v>
      </c>
      <c r="B10" t="s">
        <v>186</v>
      </c>
    </row>
    <row r="11" spans="1:2">
      <c r="A11" s="87" t="s">
        <v>187</v>
      </c>
      <c r="B11" t="s">
        <v>188</v>
      </c>
    </row>
    <row r="12" spans="1:2">
      <c r="A12" s="87" t="s">
        <v>189</v>
      </c>
      <c r="B12" t="s">
        <v>190</v>
      </c>
    </row>
    <row r="13" spans="1:2">
      <c r="A13" s="87" t="s">
        <v>191</v>
      </c>
      <c r="B13" t="s">
        <v>192</v>
      </c>
    </row>
    <row r="14" spans="1:2">
      <c r="A14" s="87" t="s">
        <v>193</v>
      </c>
      <c r="B14" t="s">
        <v>194</v>
      </c>
    </row>
    <row r="15" spans="1:2">
      <c r="A15" s="87" t="s">
        <v>195</v>
      </c>
      <c r="B15" t="s">
        <v>196</v>
      </c>
    </row>
    <row r="16" spans="1:2">
      <c r="A16" s="87" t="s">
        <v>197</v>
      </c>
      <c r="B16" t="s">
        <v>198</v>
      </c>
    </row>
    <row r="17" spans="1:2">
      <c r="A17" s="87" t="s">
        <v>199</v>
      </c>
      <c r="B17" t="s">
        <v>200</v>
      </c>
    </row>
    <row r="18" spans="1:2">
      <c r="A18" s="87" t="s">
        <v>201</v>
      </c>
      <c r="B18" t="s">
        <v>202</v>
      </c>
    </row>
    <row r="19" spans="1:2">
      <c r="A19" s="87" t="s">
        <v>203</v>
      </c>
      <c r="B19" t="s">
        <v>204</v>
      </c>
    </row>
    <row r="20" spans="1:2">
      <c r="A20" s="87" t="s">
        <v>205</v>
      </c>
      <c r="B20" t="s">
        <v>206</v>
      </c>
    </row>
    <row r="21" spans="1:2">
      <c r="A21" s="87" t="s">
        <v>207</v>
      </c>
      <c r="B21" t="s">
        <v>208</v>
      </c>
    </row>
    <row r="22" spans="1:2">
      <c r="A22" s="87" t="s">
        <v>209</v>
      </c>
      <c r="B22" t="s">
        <v>210</v>
      </c>
    </row>
    <row r="23" spans="1:2">
      <c r="A23" s="87" t="s">
        <v>211</v>
      </c>
      <c r="B23" t="s">
        <v>212</v>
      </c>
    </row>
    <row r="24" spans="1:2">
      <c r="A24" s="87" t="s">
        <v>213</v>
      </c>
      <c r="B24" t="s">
        <v>214</v>
      </c>
    </row>
    <row r="25" spans="1:2">
      <c r="A25" s="87" t="s">
        <v>215</v>
      </c>
      <c r="B25" t="s">
        <v>216</v>
      </c>
    </row>
    <row r="26" spans="1:2">
      <c r="A26" s="87" t="s">
        <v>217</v>
      </c>
      <c r="B26" t="s">
        <v>218</v>
      </c>
    </row>
    <row r="27" spans="1:2">
      <c r="A27" s="87" t="s">
        <v>219</v>
      </c>
      <c r="B27" t="s">
        <v>220</v>
      </c>
    </row>
    <row r="28" spans="1:2">
      <c r="A28" s="87" t="s">
        <v>221</v>
      </c>
      <c r="B28" s="85" t="s">
        <v>222</v>
      </c>
    </row>
    <row r="29" spans="1:2">
      <c r="A29" s="87" t="s">
        <v>223</v>
      </c>
      <c r="B29" t="s">
        <v>224</v>
      </c>
    </row>
    <row r="30" spans="1:2">
      <c r="A30" s="87" t="s">
        <v>225</v>
      </c>
      <c r="B30" t="s">
        <v>226</v>
      </c>
    </row>
    <row r="31" spans="1:2">
      <c r="A31" s="87" t="s">
        <v>227</v>
      </c>
      <c r="B31" t="s">
        <v>228</v>
      </c>
    </row>
    <row r="32" spans="1:2">
      <c r="A32" s="87" t="s">
        <v>229</v>
      </c>
      <c r="B32" t="s">
        <v>230</v>
      </c>
    </row>
    <row r="33" spans="1:2">
      <c r="A33" s="87" t="s">
        <v>231</v>
      </c>
      <c r="B33" t="s">
        <v>232</v>
      </c>
    </row>
    <row r="34" spans="1:2">
      <c r="A34" s="87" t="s">
        <v>233</v>
      </c>
      <c r="B34" t="s">
        <v>234</v>
      </c>
    </row>
    <row r="35" spans="1:2">
      <c r="A35" s="87" t="s">
        <v>235</v>
      </c>
      <c r="B35" t="s">
        <v>236</v>
      </c>
    </row>
    <row r="36" spans="1:2">
      <c r="A36" s="87" t="s">
        <v>237</v>
      </c>
      <c r="B36" t="s">
        <v>238</v>
      </c>
    </row>
    <row r="37" spans="1:2">
      <c r="A37" s="87" t="s">
        <v>239</v>
      </c>
      <c r="B37" t="s">
        <v>240</v>
      </c>
    </row>
    <row r="38" spans="1:2">
      <c r="A38" s="87" t="s">
        <v>241</v>
      </c>
      <c r="B38" t="s">
        <v>242</v>
      </c>
    </row>
    <row r="39" spans="1:2">
      <c r="A39" s="87" t="s">
        <v>243</v>
      </c>
      <c r="B39" t="s">
        <v>244</v>
      </c>
    </row>
    <row r="40" spans="1:2">
      <c r="A40" s="87" t="s">
        <v>245</v>
      </c>
      <c r="B40" t="s">
        <v>246</v>
      </c>
    </row>
    <row r="41" spans="1:2">
      <c r="A41" s="87" t="s">
        <v>247</v>
      </c>
      <c r="B41" t="s">
        <v>248</v>
      </c>
    </row>
    <row r="42" spans="1:2">
      <c r="A42" s="87" t="s">
        <v>249</v>
      </c>
      <c r="B42" t="s">
        <v>250</v>
      </c>
    </row>
    <row r="43" spans="1:2">
      <c r="A43" s="87" t="s">
        <v>251</v>
      </c>
      <c r="B43" t="s">
        <v>252</v>
      </c>
    </row>
    <row r="44" spans="1:2">
      <c r="A44" s="87" t="s">
        <v>253</v>
      </c>
      <c r="B44" t="s">
        <v>254</v>
      </c>
    </row>
    <row r="45" spans="1:2">
      <c r="A45" s="87" t="s">
        <v>255</v>
      </c>
      <c r="B45" t="s">
        <v>256</v>
      </c>
    </row>
    <row r="46" spans="1:2">
      <c r="A46" s="87" t="s">
        <v>257</v>
      </c>
      <c r="B46" t="s">
        <v>258</v>
      </c>
    </row>
    <row r="47" spans="1:2">
      <c r="A47" s="87" t="s">
        <v>259</v>
      </c>
      <c r="B47" t="s">
        <v>260</v>
      </c>
    </row>
    <row r="48" spans="1:2">
      <c r="A48" s="87" t="s">
        <v>261</v>
      </c>
      <c r="B48" t="s">
        <v>262</v>
      </c>
    </row>
    <row r="49" spans="1:2">
      <c r="A49" s="87" t="s">
        <v>263</v>
      </c>
      <c r="B49" t="s">
        <v>264</v>
      </c>
    </row>
    <row r="50" spans="1:2">
      <c r="A50" s="87" t="s">
        <v>265</v>
      </c>
      <c r="B50" t="s">
        <v>266</v>
      </c>
    </row>
    <row r="51" spans="1:2">
      <c r="A51" s="87" t="s">
        <v>267</v>
      </c>
      <c r="B51" t="s">
        <v>268</v>
      </c>
    </row>
    <row r="52" spans="1:2">
      <c r="A52" s="87" t="s">
        <v>269</v>
      </c>
      <c r="B52" t="s">
        <v>270</v>
      </c>
    </row>
    <row r="53" spans="1:2">
      <c r="A53" s="87" t="s">
        <v>271</v>
      </c>
      <c r="B53" t="s">
        <v>272</v>
      </c>
    </row>
    <row r="54" spans="1:2">
      <c r="A54" s="87" t="s">
        <v>273</v>
      </c>
      <c r="B54" t="s">
        <v>274</v>
      </c>
    </row>
    <row r="55" spans="1:2">
      <c r="A55" s="87" t="s">
        <v>275</v>
      </c>
      <c r="B55" t="s">
        <v>276</v>
      </c>
    </row>
    <row r="56" spans="1:2">
      <c r="A56" s="87" t="s">
        <v>277</v>
      </c>
      <c r="B56" t="s">
        <v>278</v>
      </c>
    </row>
    <row r="57" spans="1:2">
      <c r="A57" s="87" t="s">
        <v>279</v>
      </c>
      <c r="B57" t="s">
        <v>280</v>
      </c>
    </row>
    <row r="58" spans="1:2">
      <c r="A58" s="87" t="s">
        <v>281</v>
      </c>
      <c r="B58" t="s">
        <v>282</v>
      </c>
    </row>
    <row r="59" spans="1:2">
      <c r="A59" s="87" t="s">
        <v>283</v>
      </c>
      <c r="B59" t="s">
        <v>284</v>
      </c>
    </row>
    <row r="60" spans="1:2">
      <c r="A60" s="87" t="s">
        <v>285</v>
      </c>
      <c r="B60" t="s">
        <v>286</v>
      </c>
    </row>
    <row r="61" spans="1:2">
      <c r="A61" s="87" t="s">
        <v>287</v>
      </c>
      <c r="B61" t="s">
        <v>288</v>
      </c>
    </row>
    <row r="62" spans="1:2">
      <c r="A62" s="87" t="s">
        <v>289</v>
      </c>
      <c r="B62" t="s">
        <v>190</v>
      </c>
    </row>
    <row r="63" spans="1:2">
      <c r="A63" s="87" t="s">
        <v>290</v>
      </c>
      <c r="B63" t="s">
        <v>92</v>
      </c>
    </row>
    <row r="64" spans="1:2">
      <c r="A64" s="87" t="s">
        <v>291</v>
      </c>
      <c r="B64" t="s">
        <v>292</v>
      </c>
    </row>
    <row r="65" spans="1:2">
      <c r="A65" s="87" t="s">
        <v>293</v>
      </c>
      <c r="B65" t="s">
        <v>294</v>
      </c>
    </row>
    <row r="66" spans="1:2">
      <c r="A66" s="87" t="s">
        <v>295</v>
      </c>
      <c r="B66" s="85" t="s">
        <v>296</v>
      </c>
    </row>
    <row r="67" spans="1:2">
      <c r="A67" s="87" t="s">
        <v>297</v>
      </c>
      <c r="B67" t="s">
        <v>298</v>
      </c>
    </row>
    <row r="68" spans="1:2">
      <c r="A68" s="87" t="s">
        <v>299</v>
      </c>
      <c r="B68" t="s">
        <v>300</v>
      </c>
    </row>
    <row r="69" spans="1:2">
      <c r="A69" s="87" t="s">
        <v>301</v>
      </c>
      <c r="B69" t="s">
        <v>302</v>
      </c>
    </row>
    <row r="70" spans="1:2">
      <c r="A70" s="87" t="s">
        <v>303</v>
      </c>
      <c r="B70" t="s">
        <v>304</v>
      </c>
    </row>
    <row r="71" spans="1:2">
      <c r="A71" s="87" t="s">
        <v>305</v>
      </c>
      <c r="B71" t="s">
        <v>306</v>
      </c>
    </row>
    <row r="72" spans="1:2">
      <c r="A72" s="87" t="s">
        <v>307</v>
      </c>
      <c r="B72" t="s">
        <v>308</v>
      </c>
    </row>
    <row r="73" spans="1:2">
      <c r="A73" s="87" t="s">
        <v>309</v>
      </c>
      <c r="B73" t="s">
        <v>310</v>
      </c>
    </row>
    <row r="74" spans="1:2">
      <c r="A74" s="87" t="s">
        <v>311</v>
      </c>
      <c r="B74" t="s">
        <v>312</v>
      </c>
    </row>
    <row r="75" spans="1:2">
      <c r="A75" s="87" t="s">
        <v>313</v>
      </c>
      <c r="B75" t="s">
        <v>314</v>
      </c>
    </row>
    <row r="76" spans="1:2">
      <c r="A76" s="87" t="s">
        <v>315</v>
      </c>
      <c r="B76" t="s">
        <v>316</v>
      </c>
    </row>
    <row r="77" spans="1:2">
      <c r="A77" s="87" t="s">
        <v>317</v>
      </c>
      <c r="B77" t="s">
        <v>318</v>
      </c>
    </row>
    <row r="78" spans="1:2">
      <c r="A78" s="87" t="s">
        <v>319</v>
      </c>
      <c r="B78" t="s">
        <v>320</v>
      </c>
    </row>
    <row r="79" spans="1:2">
      <c r="A79" s="87" t="s">
        <v>321</v>
      </c>
      <c r="B79" t="s">
        <v>322</v>
      </c>
    </row>
    <row r="80" spans="1:2">
      <c r="A80" s="87" t="s">
        <v>323</v>
      </c>
      <c r="B80" t="s">
        <v>324</v>
      </c>
    </row>
    <row r="81" spans="1:2">
      <c r="A81" s="87" t="s">
        <v>325</v>
      </c>
      <c r="B81" t="s">
        <v>326</v>
      </c>
    </row>
    <row r="82" spans="1:2">
      <c r="A82" s="87" t="s">
        <v>327</v>
      </c>
      <c r="B82" t="s">
        <v>328</v>
      </c>
    </row>
    <row r="83" spans="1:2">
      <c r="A83" s="87" t="s">
        <v>329</v>
      </c>
      <c r="B83" t="s">
        <v>330</v>
      </c>
    </row>
    <row r="84" spans="1:2">
      <c r="A84" s="87" t="s">
        <v>331</v>
      </c>
      <c r="B84" t="s">
        <v>332</v>
      </c>
    </row>
    <row r="85" spans="1:2">
      <c r="A85" s="87" t="s">
        <v>333</v>
      </c>
      <c r="B85" t="s">
        <v>334</v>
      </c>
    </row>
    <row r="86" spans="1:2">
      <c r="A86" s="87" t="s">
        <v>335</v>
      </c>
      <c r="B86" t="s">
        <v>336</v>
      </c>
    </row>
    <row r="87" spans="1:2">
      <c r="A87" s="87" t="s">
        <v>337</v>
      </c>
      <c r="B87" t="s">
        <v>338</v>
      </c>
    </row>
    <row r="88" spans="1:2">
      <c r="A88" s="87" t="s">
        <v>339</v>
      </c>
      <c r="B88" t="s">
        <v>340</v>
      </c>
    </row>
    <row r="89" spans="1:2">
      <c r="A89" s="87" t="s">
        <v>341</v>
      </c>
      <c r="B89" t="s">
        <v>336</v>
      </c>
    </row>
    <row r="90" spans="1:2">
      <c r="A90" s="87" t="s">
        <v>342</v>
      </c>
      <c r="B90" t="s">
        <v>343</v>
      </c>
    </row>
    <row r="91" spans="1:2">
      <c r="A91" s="87" t="s">
        <v>344</v>
      </c>
      <c r="B91" t="s">
        <v>232</v>
      </c>
    </row>
    <row r="92" spans="1:2">
      <c r="A92" s="87" t="s">
        <v>345</v>
      </c>
      <c r="B92" t="s">
        <v>346</v>
      </c>
    </row>
    <row r="93" spans="1:2">
      <c r="A93" s="87" t="s">
        <v>347</v>
      </c>
      <c r="B93" t="s">
        <v>348</v>
      </c>
    </row>
    <row r="94" spans="1:2">
      <c r="A94" s="87" t="s">
        <v>349</v>
      </c>
      <c r="B94" t="s">
        <v>350</v>
      </c>
    </row>
    <row r="95" spans="1:2">
      <c r="A95" s="87" t="s">
        <v>351</v>
      </c>
      <c r="B95" t="s">
        <v>343</v>
      </c>
    </row>
    <row r="96" spans="1:2">
      <c r="A96" s="87" t="s">
        <v>352</v>
      </c>
      <c r="B96" t="s">
        <v>232</v>
      </c>
    </row>
    <row r="97" spans="1:2">
      <c r="A97" s="87" t="s">
        <v>353</v>
      </c>
      <c r="B97" t="s">
        <v>346</v>
      </c>
    </row>
    <row r="98" spans="1:2">
      <c r="A98" s="87" t="s">
        <v>354</v>
      </c>
      <c r="B98" t="s">
        <v>355</v>
      </c>
    </row>
    <row r="99" spans="1:2">
      <c r="A99" s="87" t="s">
        <v>356</v>
      </c>
      <c r="B99" t="s">
        <v>357</v>
      </c>
    </row>
    <row r="100" spans="1:2">
      <c r="A100" s="87" t="s">
        <v>358</v>
      </c>
      <c r="B100" t="s">
        <v>359</v>
      </c>
    </row>
    <row r="101" spans="1:2">
      <c r="A101" s="87" t="s">
        <v>360</v>
      </c>
      <c r="B101" t="s">
        <v>361</v>
      </c>
    </row>
    <row r="102" spans="1:2">
      <c r="A102" s="87" t="s">
        <v>362</v>
      </c>
      <c r="B102" t="s">
        <v>363</v>
      </c>
    </row>
    <row r="103" spans="1:2">
      <c r="A103" s="87" t="s">
        <v>364</v>
      </c>
      <c r="B103" t="s">
        <v>365</v>
      </c>
    </row>
    <row r="104" spans="1:2">
      <c r="A104" s="87" t="s">
        <v>366</v>
      </c>
      <c r="B104" t="s">
        <v>346</v>
      </c>
    </row>
    <row r="105" spans="1:2">
      <c r="A105" s="87" t="s">
        <v>367</v>
      </c>
      <c r="B105" t="s">
        <v>368</v>
      </c>
    </row>
    <row r="106" spans="1:2">
      <c r="A106" s="87" t="s">
        <v>369</v>
      </c>
      <c r="B106" t="s">
        <v>370</v>
      </c>
    </row>
    <row r="107" spans="1:2">
      <c r="A107" s="87" t="s">
        <v>371</v>
      </c>
      <c r="B107" t="s">
        <v>372</v>
      </c>
    </row>
    <row r="108" spans="1:2">
      <c r="A108" s="87" t="s">
        <v>373</v>
      </c>
      <c r="B108" t="s">
        <v>374</v>
      </c>
    </row>
    <row r="109" spans="1:2">
      <c r="A109" s="87" t="s">
        <v>375</v>
      </c>
      <c r="B109" t="s">
        <v>376</v>
      </c>
    </row>
    <row r="110" spans="1:2">
      <c r="A110" s="87" t="s">
        <v>377</v>
      </c>
      <c r="B110" t="s">
        <v>378</v>
      </c>
    </row>
    <row r="111" spans="1:2">
      <c r="A111" s="87" t="s">
        <v>379</v>
      </c>
      <c r="B111" t="s">
        <v>380</v>
      </c>
    </row>
    <row r="112" spans="1:2">
      <c r="A112" s="87" t="s">
        <v>381</v>
      </c>
      <c r="B112" t="s">
        <v>382</v>
      </c>
    </row>
    <row r="113" spans="1:2">
      <c r="A113" s="87" t="s">
        <v>383</v>
      </c>
      <c r="B113" t="s">
        <v>384</v>
      </c>
    </row>
    <row r="114" spans="1:2">
      <c r="A114" s="87" t="s">
        <v>385</v>
      </c>
      <c r="B114" t="s">
        <v>386</v>
      </c>
    </row>
    <row r="115" spans="1:2">
      <c r="A115" s="87" t="s">
        <v>387</v>
      </c>
      <c r="B115" t="s">
        <v>388</v>
      </c>
    </row>
    <row r="116" spans="1:2">
      <c r="A116" s="87" t="s">
        <v>389</v>
      </c>
      <c r="B116" t="s">
        <v>390</v>
      </c>
    </row>
    <row r="117" spans="1:2">
      <c r="A117" s="87" t="s">
        <v>391</v>
      </c>
      <c r="B117" t="s">
        <v>392</v>
      </c>
    </row>
    <row r="118" spans="1:2">
      <c r="A118" s="87" t="s">
        <v>393</v>
      </c>
      <c r="B118" t="s">
        <v>394</v>
      </c>
    </row>
    <row r="119" spans="1:2">
      <c r="A119" s="87" t="s">
        <v>395</v>
      </c>
      <c r="B119" t="s">
        <v>396</v>
      </c>
    </row>
    <row r="120" spans="1:2">
      <c r="A120" s="87" t="s">
        <v>397</v>
      </c>
      <c r="B120" t="s">
        <v>398</v>
      </c>
    </row>
    <row r="121" spans="1:2">
      <c r="A121" s="87" t="s">
        <v>399</v>
      </c>
      <c r="B121" t="s">
        <v>400</v>
      </c>
    </row>
    <row r="122" spans="1:2">
      <c r="A122" s="87" t="s">
        <v>401</v>
      </c>
      <c r="B122" t="s">
        <v>402</v>
      </c>
    </row>
    <row r="123" spans="1:2">
      <c r="A123" s="87" t="s">
        <v>403</v>
      </c>
      <c r="B123" t="s">
        <v>404</v>
      </c>
    </row>
    <row r="124" spans="1:2">
      <c r="A124" s="87" t="s">
        <v>405</v>
      </c>
      <c r="B124" t="s">
        <v>406</v>
      </c>
    </row>
    <row r="125" spans="1:2">
      <c r="A125" s="87" t="s">
        <v>407</v>
      </c>
      <c r="B125" t="s">
        <v>408</v>
      </c>
    </row>
    <row r="126" spans="1:2">
      <c r="A126" s="87" t="s">
        <v>409</v>
      </c>
      <c r="B126" t="s">
        <v>410</v>
      </c>
    </row>
    <row r="127" spans="1:2">
      <c r="A127" s="87" t="s">
        <v>411</v>
      </c>
      <c r="B127" t="s">
        <v>412</v>
      </c>
    </row>
    <row r="128" spans="1:2">
      <c r="A128" s="87" t="s">
        <v>413</v>
      </c>
      <c r="B128" t="s">
        <v>414</v>
      </c>
    </row>
    <row r="129" spans="1:2">
      <c r="A129" s="87" t="s">
        <v>415</v>
      </c>
      <c r="B129" t="s">
        <v>416</v>
      </c>
    </row>
    <row r="130" spans="1:2">
      <c r="A130" s="87" t="s">
        <v>417</v>
      </c>
      <c r="B130" t="s">
        <v>336</v>
      </c>
    </row>
    <row r="131" spans="1:2">
      <c r="A131" s="87" t="s">
        <v>418</v>
      </c>
      <c r="B131" t="s">
        <v>419</v>
      </c>
    </row>
    <row r="132" spans="1:2">
      <c r="A132" s="87" t="s">
        <v>420</v>
      </c>
      <c r="B132" t="s">
        <v>421</v>
      </c>
    </row>
    <row r="133" spans="1:2">
      <c r="A133" s="87" t="s">
        <v>422</v>
      </c>
      <c r="B133" t="s">
        <v>416</v>
      </c>
    </row>
    <row r="134" spans="1:2">
      <c r="A134" s="87" t="s">
        <v>423</v>
      </c>
      <c r="B134" t="s">
        <v>336</v>
      </c>
    </row>
    <row r="135" spans="1:2">
      <c r="A135" s="87" t="s">
        <v>424</v>
      </c>
      <c r="B135" t="s">
        <v>412</v>
      </c>
    </row>
    <row r="136" spans="1:2">
      <c r="A136" s="87" t="s">
        <v>425</v>
      </c>
      <c r="B136" t="s">
        <v>426</v>
      </c>
    </row>
    <row r="137" spans="1:2">
      <c r="A137" s="87" t="s">
        <v>427</v>
      </c>
      <c r="B137" t="s">
        <v>416</v>
      </c>
    </row>
    <row r="138" spans="1:2">
      <c r="A138" s="87" t="s">
        <v>428</v>
      </c>
      <c r="B138" t="s">
        <v>336</v>
      </c>
    </row>
    <row r="139" spans="1:2">
      <c r="A139" s="87" t="s">
        <v>429</v>
      </c>
      <c r="B139" t="s">
        <v>430</v>
      </c>
    </row>
    <row r="140" spans="1:2">
      <c r="A140" s="87" t="s">
        <v>431</v>
      </c>
      <c r="B140" t="s">
        <v>432</v>
      </c>
    </row>
    <row r="141" spans="1:2">
      <c r="A141" s="87" t="s">
        <v>433</v>
      </c>
      <c r="B141" t="s">
        <v>434</v>
      </c>
    </row>
    <row r="142" spans="1:2">
      <c r="A142" s="87" t="s">
        <v>435</v>
      </c>
      <c r="B142" t="s">
        <v>436</v>
      </c>
    </row>
    <row r="143" spans="1:2">
      <c r="A143" s="87" t="s">
        <v>437</v>
      </c>
      <c r="B143" t="s">
        <v>438</v>
      </c>
    </row>
    <row r="144" spans="1:2">
      <c r="A144" s="87" t="s">
        <v>439</v>
      </c>
      <c r="B144" t="s">
        <v>440</v>
      </c>
    </row>
    <row r="145" spans="1:2">
      <c r="A145" s="87" t="s">
        <v>441</v>
      </c>
      <c r="B145" t="s">
        <v>442</v>
      </c>
    </row>
    <row r="146" spans="1:2">
      <c r="A146" s="87" t="s">
        <v>443</v>
      </c>
      <c r="B146" t="s">
        <v>444</v>
      </c>
    </row>
    <row r="147" spans="1:2">
      <c r="A147" s="87" t="s">
        <v>445</v>
      </c>
      <c r="B147" t="s">
        <v>446</v>
      </c>
    </row>
    <row r="148" spans="1:2">
      <c r="A148" s="87" t="s">
        <v>447</v>
      </c>
      <c r="B148" t="s">
        <v>448</v>
      </c>
    </row>
    <row r="149" spans="1:2">
      <c r="A149" s="87" t="s">
        <v>449</v>
      </c>
      <c r="B149" t="s">
        <v>450</v>
      </c>
    </row>
    <row r="150" spans="1:2">
      <c r="A150" s="87" t="s">
        <v>451</v>
      </c>
      <c r="B150" t="s">
        <v>452</v>
      </c>
    </row>
    <row r="151" spans="1:2">
      <c r="A151" s="87" t="s">
        <v>453</v>
      </c>
      <c r="B151" t="s">
        <v>454</v>
      </c>
    </row>
    <row r="152" spans="1:2">
      <c r="A152" s="87" t="s">
        <v>455</v>
      </c>
      <c r="B152" t="s">
        <v>456</v>
      </c>
    </row>
    <row r="153" spans="1:2">
      <c r="A153" s="87" t="s">
        <v>457</v>
      </c>
      <c r="B153" t="s">
        <v>458</v>
      </c>
    </row>
    <row r="154" spans="1:2">
      <c r="A154" s="87" t="s">
        <v>459</v>
      </c>
      <c r="B154" t="s">
        <v>460</v>
      </c>
    </row>
    <row r="155" spans="1:2">
      <c r="A155" s="87" t="s">
        <v>461</v>
      </c>
      <c r="B155" t="s">
        <v>462</v>
      </c>
    </row>
    <row r="156" spans="1:2">
      <c r="A156" s="87" t="s">
        <v>463</v>
      </c>
      <c r="B156" t="s">
        <v>464</v>
      </c>
    </row>
    <row r="157" spans="1:2">
      <c r="A157" s="87" t="s">
        <v>465</v>
      </c>
      <c r="B157" t="s">
        <v>466</v>
      </c>
    </row>
    <row r="158" spans="1:2">
      <c r="A158" s="87" t="s">
        <v>467</v>
      </c>
      <c r="B158" t="s">
        <v>468</v>
      </c>
    </row>
    <row r="159" spans="1:2">
      <c r="A159" s="87" t="s">
        <v>469</v>
      </c>
      <c r="B159" t="s">
        <v>470</v>
      </c>
    </row>
    <row r="160" spans="1:2">
      <c r="A160" s="87" t="s">
        <v>471</v>
      </c>
      <c r="B160" t="s">
        <v>336</v>
      </c>
    </row>
    <row r="161" spans="1:2">
      <c r="A161" s="87" t="s">
        <v>472</v>
      </c>
      <c r="B161" t="s">
        <v>94</v>
      </c>
    </row>
    <row r="162" spans="1:2">
      <c r="A162" s="87" t="s">
        <v>473</v>
      </c>
      <c r="B162" t="s">
        <v>474</v>
      </c>
    </row>
    <row r="163" spans="1:2">
      <c r="A163" s="87" t="s">
        <v>475</v>
      </c>
      <c r="B163" t="s">
        <v>476</v>
      </c>
    </row>
    <row r="164" spans="1:2">
      <c r="A164" s="87" t="s">
        <v>477</v>
      </c>
      <c r="B164" t="s">
        <v>478</v>
      </c>
    </row>
    <row r="165" spans="1:2">
      <c r="A165" s="87" t="s">
        <v>479</v>
      </c>
      <c r="B165" t="s">
        <v>480</v>
      </c>
    </row>
    <row r="166" spans="1:2">
      <c r="A166" s="87" t="s">
        <v>481</v>
      </c>
      <c r="B166" t="s">
        <v>482</v>
      </c>
    </row>
    <row r="167" spans="1:2">
      <c r="A167" s="87" t="s">
        <v>483</v>
      </c>
      <c r="B167" t="s">
        <v>484</v>
      </c>
    </row>
    <row r="168" spans="1:2">
      <c r="A168" s="87" t="s">
        <v>485</v>
      </c>
      <c r="B168" t="s">
        <v>486</v>
      </c>
    </row>
    <row r="169" spans="1:2">
      <c r="A169" s="87" t="s">
        <v>487</v>
      </c>
      <c r="B169" t="s">
        <v>488</v>
      </c>
    </row>
    <row r="170" spans="1:2">
      <c r="A170" s="87" t="s">
        <v>489</v>
      </c>
      <c r="B170" t="s">
        <v>490</v>
      </c>
    </row>
    <row r="171" spans="1:2">
      <c r="A171" s="87" t="s">
        <v>491</v>
      </c>
      <c r="B171" t="s">
        <v>492</v>
      </c>
    </row>
    <row r="172" spans="1:2">
      <c r="A172" s="87" t="s">
        <v>493</v>
      </c>
      <c r="B172" t="s">
        <v>494</v>
      </c>
    </row>
    <row r="173" spans="1:2">
      <c r="A173" s="87" t="s">
        <v>495</v>
      </c>
      <c r="B173" t="s">
        <v>496</v>
      </c>
    </row>
    <row r="174" spans="1:2">
      <c r="A174" s="87" t="s">
        <v>497</v>
      </c>
      <c r="B174" t="s">
        <v>498</v>
      </c>
    </row>
    <row r="175" spans="1:2">
      <c r="A175" s="87" t="s">
        <v>499</v>
      </c>
      <c r="B175" t="s">
        <v>500</v>
      </c>
    </row>
    <row r="176" spans="1:2">
      <c r="A176" s="87" t="s">
        <v>501</v>
      </c>
      <c r="B176" t="s">
        <v>502</v>
      </c>
    </row>
    <row r="177" spans="1:2">
      <c r="A177" s="87" t="s">
        <v>503</v>
      </c>
      <c r="B177" t="s">
        <v>504</v>
      </c>
    </row>
    <row r="178" spans="1:2">
      <c r="A178" s="87" t="s">
        <v>505</v>
      </c>
      <c r="B178" t="s">
        <v>404</v>
      </c>
    </row>
    <row r="179" spans="1:2">
      <c r="A179" s="87" t="s">
        <v>506</v>
      </c>
      <c r="B179" t="s">
        <v>507</v>
      </c>
    </row>
    <row r="180" spans="1:2">
      <c r="A180" s="87" t="s">
        <v>508</v>
      </c>
      <c r="B180" t="s">
        <v>509</v>
      </c>
    </row>
    <row r="181" spans="1:2">
      <c r="A181" s="87" t="s">
        <v>510</v>
      </c>
      <c r="B181" t="s">
        <v>511</v>
      </c>
    </row>
    <row r="182" spans="1:2">
      <c r="A182" s="87" t="s">
        <v>512</v>
      </c>
      <c r="B182" t="s">
        <v>513</v>
      </c>
    </row>
    <row r="183" spans="1:2">
      <c r="A183" s="87" t="s">
        <v>514</v>
      </c>
      <c r="B183" t="s">
        <v>515</v>
      </c>
    </row>
    <row r="184" spans="1:2">
      <c r="A184" s="87" t="s">
        <v>516</v>
      </c>
      <c r="B184" t="s">
        <v>517</v>
      </c>
    </row>
    <row r="185" s="85" customFormat="1" spans="1:2">
      <c r="A185" s="87" t="s">
        <v>518</v>
      </c>
      <c r="B185" t="s">
        <v>519</v>
      </c>
    </row>
    <row r="186" spans="1:2">
      <c r="A186" s="87" t="s">
        <v>520</v>
      </c>
      <c r="B186" t="s">
        <v>521</v>
      </c>
    </row>
    <row r="187" spans="1:2">
      <c r="A187" s="87" t="s">
        <v>522</v>
      </c>
      <c r="B187" t="s">
        <v>523</v>
      </c>
    </row>
    <row r="188" spans="1:2">
      <c r="A188" s="87" t="s">
        <v>524</v>
      </c>
      <c r="B188" t="s">
        <v>525</v>
      </c>
    </row>
    <row r="189" spans="1:2">
      <c r="A189" s="87" t="s">
        <v>526</v>
      </c>
      <c r="B189" t="s">
        <v>527</v>
      </c>
    </row>
    <row r="190" spans="1:2">
      <c r="A190" s="87" t="s">
        <v>528</v>
      </c>
      <c r="B190" t="s">
        <v>529</v>
      </c>
    </row>
    <row r="191" spans="1:2">
      <c r="A191" s="87" t="s">
        <v>530</v>
      </c>
      <c r="B191" t="s">
        <v>531</v>
      </c>
    </row>
    <row r="192" spans="1:2">
      <c r="A192" s="87" t="s">
        <v>532</v>
      </c>
      <c r="B192" t="s">
        <v>533</v>
      </c>
    </row>
    <row r="193" spans="1:2">
      <c r="A193" s="87" t="s">
        <v>534</v>
      </c>
      <c r="B193" t="s">
        <v>535</v>
      </c>
    </row>
    <row r="194" spans="1:2">
      <c r="A194" s="87" t="s">
        <v>536</v>
      </c>
      <c r="B194" t="s">
        <v>537</v>
      </c>
    </row>
    <row r="195" spans="1:2">
      <c r="A195" s="87" t="s">
        <v>538</v>
      </c>
      <c r="B195" t="s">
        <v>539</v>
      </c>
    </row>
    <row r="196" spans="1:2">
      <c r="A196" s="87" t="s">
        <v>540</v>
      </c>
      <c r="B196" t="s">
        <v>541</v>
      </c>
    </row>
    <row r="197" spans="1:2">
      <c r="A197" s="87" t="s">
        <v>542</v>
      </c>
      <c r="B197" t="s">
        <v>543</v>
      </c>
    </row>
    <row r="198" spans="1:2">
      <c r="A198" s="87" t="s">
        <v>544</v>
      </c>
    </row>
    <row r="199" spans="1:2">
      <c r="A199" s="87" t="s">
        <v>545</v>
      </c>
      <c r="B199" t="s">
        <v>546</v>
      </c>
    </row>
    <row r="200" spans="1:2">
      <c r="A200" s="87" t="s">
        <v>547</v>
      </c>
      <c r="B200" t="s">
        <v>548</v>
      </c>
    </row>
    <row r="201" spans="1:2">
      <c r="A201" s="87" t="s">
        <v>549</v>
      </c>
      <c r="B201" t="s">
        <v>550</v>
      </c>
    </row>
    <row r="202" spans="1:2">
      <c r="A202" s="87" t="s">
        <v>551</v>
      </c>
      <c r="B202" t="s">
        <v>552</v>
      </c>
    </row>
    <row r="203" spans="1:2">
      <c r="A203" s="87" t="s">
        <v>553</v>
      </c>
      <c r="B203" t="s">
        <v>554</v>
      </c>
    </row>
    <row r="204" spans="1:2">
      <c r="A204" s="87" t="s">
        <v>555</v>
      </c>
      <c r="B204" t="s">
        <v>556</v>
      </c>
    </row>
    <row r="205" spans="1:2">
      <c r="A205" s="87" t="s">
        <v>557</v>
      </c>
      <c r="B205" t="s">
        <v>558</v>
      </c>
    </row>
    <row r="206" spans="1:2">
      <c r="A206" s="87" t="s">
        <v>559</v>
      </c>
      <c r="B206" t="s">
        <v>560</v>
      </c>
    </row>
    <row r="207" spans="1:2">
      <c r="A207" s="87" t="s">
        <v>561</v>
      </c>
      <c r="B207" t="s">
        <v>336</v>
      </c>
    </row>
    <row r="208" spans="1:2">
      <c r="A208" s="87" t="s">
        <v>562</v>
      </c>
      <c r="B208" t="s">
        <v>563</v>
      </c>
    </row>
    <row r="209" spans="1:2">
      <c r="A209" s="87" t="s">
        <v>564</v>
      </c>
      <c r="B209" t="s">
        <v>565</v>
      </c>
    </row>
    <row r="210" spans="1:2">
      <c r="A210" s="87" t="s">
        <v>566</v>
      </c>
      <c r="B210" t="s">
        <v>567</v>
      </c>
    </row>
    <row r="211" spans="1:2">
      <c r="A211" s="87" t="s">
        <v>568</v>
      </c>
      <c r="B211" s="85" t="s">
        <v>569</v>
      </c>
    </row>
    <row r="212" spans="1:2">
      <c r="A212" s="87" t="s">
        <v>570</v>
      </c>
      <c r="B212" t="s">
        <v>571</v>
      </c>
    </row>
    <row r="213" spans="1:2">
      <c r="A213" s="87" t="s">
        <v>572</v>
      </c>
      <c r="B213" t="s">
        <v>573</v>
      </c>
    </row>
    <row r="214" spans="1:2">
      <c r="A214" s="87" t="s">
        <v>574</v>
      </c>
      <c r="B214" t="s">
        <v>575</v>
      </c>
    </row>
    <row r="215" spans="1:2">
      <c r="A215" s="87" t="s">
        <v>576</v>
      </c>
      <c r="B215" t="s">
        <v>577</v>
      </c>
    </row>
    <row r="216" spans="1:2">
      <c r="A216" s="87" t="s">
        <v>578</v>
      </c>
      <c r="B216" t="s">
        <v>579</v>
      </c>
    </row>
    <row r="217" spans="1:2">
      <c r="A217" s="87" t="s">
        <v>580</v>
      </c>
      <c r="B217" t="s">
        <v>581</v>
      </c>
    </row>
    <row r="218" spans="1:2">
      <c r="A218" s="87" t="s">
        <v>582</v>
      </c>
      <c r="B218" t="s">
        <v>583</v>
      </c>
    </row>
    <row r="219" spans="1:2">
      <c r="A219" s="87" t="s">
        <v>584</v>
      </c>
      <c r="B219" t="s">
        <v>585</v>
      </c>
    </row>
    <row r="220" spans="1:2">
      <c r="A220" s="87" t="s">
        <v>586</v>
      </c>
      <c r="B220" t="s">
        <v>587</v>
      </c>
    </row>
    <row r="221" spans="1:2">
      <c r="A221" s="87" t="s">
        <v>588</v>
      </c>
      <c r="B221" t="s">
        <v>589</v>
      </c>
    </row>
    <row r="222" spans="1:2">
      <c r="A222" s="87" t="s">
        <v>590</v>
      </c>
      <c r="B222" t="s">
        <v>336</v>
      </c>
    </row>
    <row r="223" spans="1:2">
      <c r="A223" s="87" t="s">
        <v>591</v>
      </c>
      <c r="B223" t="s">
        <v>592</v>
      </c>
    </row>
    <row r="224" spans="1:2">
      <c r="A224" s="87" t="s">
        <v>593</v>
      </c>
      <c r="B224" t="s">
        <v>594</v>
      </c>
    </row>
    <row r="225" spans="1:2">
      <c r="A225" s="87" t="s">
        <v>595</v>
      </c>
      <c r="B225" t="s">
        <v>596</v>
      </c>
    </row>
    <row r="226" spans="1:2">
      <c r="A226" s="87" t="s">
        <v>597</v>
      </c>
      <c r="B226" t="s">
        <v>598</v>
      </c>
    </row>
    <row r="227" spans="1:2">
      <c r="A227" s="87" t="s">
        <v>599</v>
      </c>
      <c r="B227" t="s">
        <v>600</v>
      </c>
    </row>
    <row r="228" spans="1:2">
      <c r="A228" s="87" t="s">
        <v>601</v>
      </c>
      <c r="B228" t="s">
        <v>602</v>
      </c>
    </row>
    <row r="229" spans="1:2">
      <c r="A229" s="87" t="s">
        <v>603</v>
      </c>
      <c r="B229" t="s">
        <v>604</v>
      </c>
    </row>
    <row r="230" spans="1:2">
      <c r="A230" s="87" t="s">
        <v>605</v>
      </c>
      <c r="B230" t="s">
        <v>606</v>
      </c>
    </row>
    <row r="231" spans="1:2">
      <c r="A231" s="87" t="s">
        <v>607</v>
      </c>
      <c r="B231" t="s">
        <v>608</v>
      </c>
    </row>
    <row r="232" spans="1:2">
      <c r="A232" s="87" t="s">
        <v>609</v>
      </c>
      <c r="B232" t="s">
        <v>610</v>
      </c>
    </row>
    <row r="233" spans="1:2">
      <c r="A233" s="87" t="s">
        <v>611</v>
      </c>
      <c r="B233" t="s">
        <v>612</v>
      </c>
    </row>
    <row r="234" spans="1:2">
      <c r="A234" s="87" t="s">
        <v>613</v>
      </c>
      <c r="B234" t="s">
        <v>614</v>
      </c>
    </row>
    <row r="235" spans="1:2">
      <c r="A235" s="87" t="s">
        <v>615</v>
      </c>
      <c r="B235" t="s">
        <v>616</v>
      </c>
    </row>
    <row r="236" spans="1:2">
      <c r="A236" s="87" t="s">
        <v>617</v>
      </c>
      <c r="B236" t="s">
        <v>618</v>
      </c>
    </row>
    <row r="237" spans="1:2">
      <c r="A237" s="87" t="s">
        <v>619</v>
      </c>
      <c r="B237" t="s">
        <v>620</v>
      </c>
    </row>
    <row r="238" spans="1:2">
      <c r="A238" s="87" t="s">
        <v>621</v>
      </c>
      <c r="B238" t="s">
        <v>336</v>
      </c>
    </row>
    <row r="239" spans="1:2">
      <c r="A239" s="87" t="s">
        <v>622</v>
      </c>
      <c r="B239" t="s">
        <v>623</v>
      </c>
    </row>
    <row r="240" spans="1:2">
      <c r="A240" s="87" t="s">
        <v>624</v>
      </c>
      <c r="B240" t="s">
        <v>625</v>
      </c>
    </row>
    <row r="241" spans="1:2">
      <c r="A241" s="87" t="s">
        <v>626</v>
      </c>
      <c r="B241" t="s">
        <v>627</v>
      </c>
    </row>
    <row r="242" spans="1:2">
      <c r="A242" s="87" t="s">
        <v>628</v>
      </c>
      <c r="B242" t="s">
        <v>250</v>
      </c>
    </row>
    <row r="243" spans="1:2">
      <c r="A243" s="87" t="s">
        <v>629</v>
      </c>
      <c r="B243" t="s">
        <v>630</v>
      </c>
    </row>
    <row r="244" spans="1:2">
      <c r="A244" s="87" t="s">
        <v>631</v>
      </c>
      <c r="B244" t="s">
        <v>632</v>
      </c>
    </row>
    <row r="245" spans="1:2">
      <c r="A245" s="87" t="s">
        <v>633</v>
      </c>
      <c r="B245" t="s">
        <v>634</v>
      </c>
    </row>
    <row r="246" spans="1:2">
      <c r="A246" s="87" t="s">
        <v>635</v>
      </c>
      <c r="B246" t="s">
        <v>636</v>
      </c>
    </row>
    <row r="247" spans="1:2">
      <c r="A247" s="87" t="s">
        <v>637</v>
      </c>
      <c r="B247" t="s">
        <v>638</v>
      </c>
    </row>
    <row r="248" spans="1:2">
      <c r="A248" s="87" t="s">
        <v>639</v>
      </c>
      <c r="B248" t="s">
        <v>640</v>
      </c>
    </row>
    <row r="249" spans="1:2">
      <c r="A249" s="87" t="s">
        <v>641</v>
      </c>
      <c r="B249" t="s">
        <v>642</v>
      </c>
    </row>
    <row r="250" spans="1:2">
      <c r="A250" s="87" t="s">
        <v>643</v>
      </c>
      <c r="B250" t="s">
        <v>644</v>
      </c>
    </row>
    <row r="251" spans="1:2">
      <c r="A251" s="87" t="s">
        <v>645</v>
      </c>
      <c r="B251" t="s">
        <v>646</v>
      </c>
    </row>
    <row r="252" spans="1:2">
      <c r="A252" s="87" t="s">
        <v>647</v>
      </c>
      <c r="B252" t="s">
        <v>648</v>
      </c>
    </row>
    <row r="253" spans="1:2">
      <c r="A253" s="87" t="s">
        <v>649</v>
      </c>
      <c r="B253" t="s">
        <v>650</v>
      </c>
    </row>
    <row r="254" spans="1:2">
      <c r="A254" s="87" t="s">
        <v>651</v>
      </c>
      <c r="B254" t="s">
        <v>651</v>
      </c>
    </row>
    <row r="255" spans="1:2">
      <c r="A255" s="87" t="s">
        <v>652</v>
      </c>
      <c r="B255" t="s">
        <v>653</v>
      </c>
    </row>
    <row r="256" spans="1:2">
      <c r="A256" s="87" t="s">
        <v>654</v>
      </c>
      <c r="B256" t="s">
        <v>655</v>
      </c>
    </row>
    <row r="257" spans="1:2">
      <c r="A257" s="87" t="s">
        <v>656</v>
      </c>
      <c r="B257" t="s">
        <v>657</v>
      </c>
    </row>
    <row r="258" spans="1:2">
      <c r="A258" s="87" t="s">
        <v>658</v>
      </c>
      <c r="B258" t="s">
        <v>659</v>
      </c>
    </row>
    <row r="259" s="85" customFormat="1" spans="1:2">
      <c r="A259" s="87" t="s">
        <v>660</v>
      </c>
      <c r="B259" t="s">
        <v>661</v>
      </c>
    </row>
    <row r="260" spans="1:2">
      <c r="A260" s="87" t="s">
        <v>662</v>
      </c>
      <c r="B260" t="s">
        <v>663</v>
      </c>
    </row>
    <row r="261" spans="1:2">
      <c r="A261" s="87" t="s">
        <v>664</v>
      </c>
      <c r="B261" t="s">
        <v>665</v>
      </c>
    </row>
    <row r="262" spans="1:2">
      <c r="A262" s="87" t="s">
        <v>666</v>
      </c>
      <c r="B262" t="s">
        <v>667</v>
      </c>
    </row>
    <row r="263" spans="1:2">
      <c r="A263" s="87" t="s">
        <v>668</v>
      </c>
      <c r="B263" t="s">
        <v>669</v>
      </c>
    </row>
    <row r="264" spans="1:2">
      <c r="A264" s="87" t="s">
        <v>670</v>
      </c>
      <c r="B264" t="s">
        <v>671</v>
      </c>
    </row>
    <row r="265" spans="1:2">
      <c r="A265" s="87" t="s">
        <v>672</v>
      </c>
      <c r="B265" t="s">
        <v>673</v>
      </c>
    </row>
    <row r="266" spans="1:2">
      <c r="A266" s="87" t="s">
        <v>674</v>
      </c>
      <c r="B266" t="s">
        <v>675</v>
      </c>
    </row>
    <row r="267" spans="1:2">
      <c r="A267" s="87" t="s">
        <v>676</v>
      </c>
      <c r="B267" t="s">
        <v>336</v>
      </c>
    </row>
    <row r="268" spans="1:2">
      <c r="A268" s="87" t="s">
        <v>677</v>
      </c>
      <c r="B268" t="s">
        <v>678</v>
      </c>
    </row>
    <row r="269" spans="1:2">
      <c r="A269" s="87" t="s">
        <v>679</v>
      </c>
      <c r="B269" t="s">
        <v>680</v>
      </c>
    </row>
    <row r="270" spans="1:2">
      <c r="A270" s="87" t="s">
        <v>681</v>
      </c>
      <c r="B270" t="s">
        <v>682</v>
      </c>
    </row>
    <row r="271" spans="1:2">
      <c r="A271" s="87" t="s">
        <v>683</v>
      </c>
      <c r="B271" t="s">
        <v>684</v>
      </c>
    </row>
    <row r="272" spans="1:2">
      <c r="A272" s="87" t="s">
        <v>685</v>
      </c>
      <c r="B272" t="s">
        <v>686</v>
      </c>
    </row>
    <row r="273" spans="1:2">
      <c r="A273" s="87" t="s">
        <v>687</v>
      </c>
      <c r="B273" t="s">
        <v>688</v>
      </c>
    </row>
    <row r="274" spans="1:2">
      <c r="A274" s="87" t="s">
        <v>689</v>
      </c>
      <c r="B274" t="s">
        <v>690</v>
      </c>
    </row>
    <row r="275" spans="1:2">
      <c r="A275" s="87" t="s">
        <v>691</v>
      </c>
      <c r="B275" t="s">
        <v>692</v>
      </c>
    </row>
    <row r="276" spans="1:2">
      <c r="A276" s="87" t="s">
        <v>693</v>
      </c>
      <c r="B276" t="s">
        <v>694</v>
      </c>
    </row>
    <row r="277" spans="1:2">
      <c r="A277" s="87" t="s">
        <v>695</v>
      </c>
      <c r="B277" t="s">
        <v>696</v>
      </c>
    </row>
    <row r="278" spans="1:2">
      <c r="A278" s="87" t="s">
        <v>697</v>
      </c>
      <c r="B278" t="s">
        <v>698</v>
      </c>
    </row>
    <row r="279" spans="1:2">
      <c r="A279" s="87" t="s">
        <v>699</v>
      </c>
      <c r="B279" t="s">
        <v>700</v>
      </c>
    </row>
    <row r="280" spans="1:2">
      <c r="A280" s="87" t="s">
        <v>701</v>
      </c>
      <c r="B280" t="s">
        <v>702</v>
      </c>
    </row>
    <row r="281" spans="1:2">
      <c r="A281" s="87" t="s">
        <v>703</v>
      </c>
      <c r="B281" t="s">
        <v>704</v>
      </c>
    </row>
    <row r="282" spans="1:2">
      <c r="A282" s="87" t="s">
        <v>705</v>
      </c>
      <c r="B282" t="s">
        <v>706</v>
      </c>
    </row>
    <row r="283" spans="1:2">
      <c r="A283" s="87" t="s">
        <v>707</v>
      </c>
      <c r="B283" t="s">
        <v>708</v>
      </c>
    </row>
    <row r="284" spans="1:2">
      <c r="A284" s="87" t="s">
        <v>709</v>
      </c>
      <c r="B284" t="s">
        <v>710</v>
      </c>
    </row>
    <row r="285" spans="1:2">
      <c r="A285" s="87" t="s">
        <v>711</v>
      </c>
      <c r="B285" t="s">
        <v>712</v>
      </c>
    </row>
    <row r="286" spans="1:2">
      <c r="A286" s="87" t="s">
        <v>713</v>
      </c>
      <c r="B286" t="s">
        <v>714</v>
      </c>
    </row>
    <row r="287" spans="1:2">
      <c r="A287" s="87" t="s">
        <v>715</v>
      </c>
      <c r="B287" t="s">
        <v>716</v>
      </c>
    </row>
    <row r="288" spans="1:2">
      <c r="A288" s="87" t="s">
        <v>717</v>
      </c>
      <c r="B288" t="s">
        <v>718</v>
      </c>
    </row>
    <row r="289" spans="1:2">
      <c r="A289" s="87" t="s">
        <v>719</v>
      </c>
      <c r="B289" t="s">
        <v>720</v>
      </c>
    </row>
    <row r="290" spans="1:2">
      <c r="A290" s="87" t="s">
        <v>721</v>
      </c>
      <c r="B290" s="85" t="s">
        <v>722</v>
      </c>
    </row>
    <row r="291" spans="1:2">
      <c r="A291" s="87" t="s">
        <v>723</v>
      </c>
      <c r="B291" t="s">
        <v>724</v>
      </c>
    </row>
    <row r="292" spans="1:2">
      <c r="A292" s="87" t="s">
        <v>725</v>
      </c>
      <c r="B292" t="s">
        <v>726</v>
      </c>
    </row>
    <row r="293" spans="1:2">
      <c r="A293" s="87" t="s">
        <v>727</v>
      </c>
      <c r="B293" t="s">
        <v>728</v>
      </c>
    </row>
    <row r="294" spans="1:2">
      <c r="A294" s="87" t="s">
        <v>729</v>
      </c>
      <c r="B294" t="s">
        <v>730</v>
      </c>
    </row>
    <row r="295" spans="1:2">
      <c r="A295" s="87" t="s">
        <v>731</v>
      </c>
      <c r="B295" t="s">
        <v>732</v>
      </c>
    </row>
    <row r="296" spans="1:2">
      <c r="A296" s="87" t="s">
        <v>733</v>
      </c>
      <c r="B296" t="s">
        <v>734</v>
      </c>
    </row>
    <row r="297" spans="1:2">
      <c r="A297" s="87" t="s">
        <v>735</v>
      </c>
      <c r="B297" t="s">
        <v>736</v>
      </c>
    </row>
    <row r="298" spans="1:2">
      <c r="A298" s="87" t="s">
        <v>737</v>
      </c>
      <c r="B298" t="s">
        <v>738</v>
      </c>
    </row>
    <row r="299" spans="1:2">
      <c r="A299" s="87" t="s">
        <v>739</v>
      </c>
      <c r="B299" t="s">
        <v>336</v>
      </c>
    </row>
    <row r="300" spans="1:2">
      <c r="A300" s="87" t="s">
        <v>740</v>
      </c>
      <c r="B300" t="s">
        <v>741</v>
      </c>
    </row>
    <row r="301" spans="1:2">
      <c r="A301" s="87" t="s">
        <v>742</v>
      </c>
      <c r="B301" t="s">
        <v>743</v>
      </c>
    </row>
    <row r="302" spans="1:2">
      <c r="A302" s="87" t="s">
        <v>744</v>
      </c>
      <c r="B302" t="s">
        <v>745</v>
      </c>
    </row>
    <row r="303" spans="1:2">
      <c r="A303" s="87" t="s">
        <v>746</v>
      </c>
      <c r="B303" t="s">
        <v>747</v>
      </c>
    </row>
    <row r="304" spans="1:2">
      <c r="A304" s="87" t="s">
        <v>748</v>
      </c>
      <c r="B304" t="s">
        <v>190</v>
      </c>
    </row>
    <row r="305" spans="1:2">
      <c r="A305" s="87" t="s">
        <v>749</v>
      </c>
      <c r="B305" t="s">
        <v>750</v>
      </c>
    </row>
    <row r="306" spans="1:2">
      <c r="A306" s="87" t="s">
        <v>751</v>
      </c>
      <c r="B306" t="s">
        <v>752</v>
      </c>
    </row>
    <row r="307" spans="1:2">
      <c r="A307" s="87" t="s">
        <v>753</v>
      </c>
      <c r="B307" t="s">
        <v>754</v>
      </c>
    </row>
    <row r="308" spans="1:2">
      <c r="A308" s="87" t="s">
        <v>755</v>
      </c>
      <c r="B308" t="s">
        <v>756</v>
      </c>
    </row>
    <row r="309" spans="1:2">
      <c r="A309" s="87" t="s">
        <v>757</v>
      </c>
      <c r="B309" t="s">
        <v>758</v>
      </c>
    </row>
    <row r="310" spans="1:2">
      <c r="A310" s="87" t="s">
        <v>759</v>
      </c>
      <c r="B310" t="s">
        <v>760</v>
      </c>
    </row>
    <row r="311" spans="1:2">
      <c r="A311" s="87" t="s">
        <v>761</v>
      </c>
      <c r="B311" t="s">
        <v>762</v>
      </c>
    </row>
    <row r="312" spans="1:2">
      <c r="A312" s="87" t="s">
        <v>763</v>
      </c>
      <c r="B312" t="s">
        <v>764</v>
      </c>
    </row>
    <row r="313" spans="1:2">
      <c r="A313" s="87" t="s">
        <v>765</v>
      </c>
      <c r="B313" t="s">
        <v>766</v>
      </c>
    </row>
    <row r="314" spans="1:2">
      <c r="A314" s="87" t="s">
        <v>767</v>
      </c>
      <c r="B314" t="s">
        <v>768</v>
      </c>
    </row>
    <row r="315" spans="1:2">
      <c r="A315" s="87" t="s">
        <v>769</v>
      </c>
      <c r="B315" t="s">
        <v>770</v>
      </c>
    </row>
    <row r="316" spans="1:2">
      <c r="A316" s="87" t="s">
        <v>771</v>
      </c>
      <c r="B316" t="s">
        <v>772</v>
      </c>
    </row>
    <row r="317" spans="1:2">
      <c r="A317" s="87" t="s">
        <v>773</v>
      </c>
      <c r="B317" t="s">
        <v>336</v>
      </c>
    </row>
    <row r="318" spans="1:2">
      <c r="A318" s="87" t="s">
        <v>774</v>
      </c>
      <c r="B318" t="s">
        <v>775</v>
      </c>
    </row>
    <row r="319" spans="1:2">
      <c r="A319" s="87" t="s">
        <v>776</v>
      </c>
      <c r="B319" t="s">
        <v>777</v>
      </c>
    </row>
    <row r="320" spans="1:2">
      <c r="A320" s="87" t="s">
        <v>778</v>
      </c>
      <c r="B320" t="s">
        <v>779</v>
      </c>
    </row>
    <row r="321" spans="1:2">
      <c r="A321" s="87" t="s">
        <v>780</v>
      </c>
      <c r="B321" t="s">
        <v>781</v>
      </c>
    </row>
    <row r="322" spans="1:2">
      <c r="A322" s="87" t="s">
        <v>782</v>
      </c>
      <c r="B322" t="s">
        <v>565</v>
      </c>
    </row>
    <row r="323" spans="1:2">
      <c r="A323" s="87" t="s">
        <v>783</v>
      </c>
      <c r="B323" t="s">
        <v>784</v>
      </c>
    </row>
    <row r="324" spans="1:2">
      <c r="A324" s="87" t="s">
        <v>785</v>
      </c>
      <c r="B324" t="s">
        <v>786</v>
      </c>
    </row>
    <row r="325" spans="1:2">
      <c r="A325" s="87" t="s">
        <v>787</v>
      </c>
      <c r="B325" t="s">
        <v>788</v>
      </c>
    </row>
    <row r="326" spans="1:2">
      <c r="A326" s="87" t="s">
        <v>789</v>
      </c>
      <c r="B326" t="s">
        <v>790</v>
      </c>
    </row>
    <row r="327" spans="1:2">
      <c r="A327" s="87" t="s">
        <v>791</v>
      </c>
      <c r="B327" t="s">
        <v>792</v>
      </c>
    </row>
    <row r="328" spans="1:2">
      <c r="A328" s="87" t="s">
        <v>793</v>
      </c>
      <c r="B328" t="s">
        <v>794</v>
      </c>
    </row>
    <row r="329" spans="1:2">
      <c r="A329" s="87" t="s">
        <v>795</v>
      </c>
      <c r="B329" t="s">
        <v>796</v>
      </c>
    </row>
    <row r="330" spans="1:2">
      <c r="A330" s="87" t="s">
        <v>797</v>
      </c>
      <c r="B330" t="s">
        <v>798</v>
      </c>
    </row>
    <row r="331" spans="1:2">
      <c r="A331" s="87" t="s">
        <v>799</v>
      </c>
      <c r="B331" t="s">
        <v>800</v>
      </c>
    </row>
    <row r="332" spans="1:2">
      <c r="A332" s="87" t="s">
        <v>801</v>
      </c>
      <c r="B332" t="s">
        <v>802</v>
      </c>
    </row>
    <row r="333" spans="1:2">
      <c r="A333" s="87" t="s">
        <v>803</v>
      </c>
      <c r="B333" t="s">
        <v>804</v>
      </c>
    </row>
    <row r="334" spans="1:2">
      <c r="A334" s="87" t="s">
        <v>805</v>
      </c>
      <c r="B334" t="s">
        <v>806</v>
      </c>
    </row>
    <row r="335" spans="1:2">
      <c r="A335" s="87" t="s">
        <v>807</v>
      </c>
      <c r="B335" t="s">
        <v>808</v>
      </c>
    </row>
    <row r="336" spans="1:2">
      <c r="A336" s="87" t="s">
        <v>809</v>
      </c>
      <c r="B336" t="s">
        <v>810</v>
      </c>
    </row>
    <row r="337" spans="1:2">
      <c r="A337" s="87" t="s">
        <v>811</v>
      </c>
      <c r="B337" t="s">
        <v>812</v>
      </c>
    </row>
    <row r="338" spans="1:2">
      <c r="A338" s="87" t="s">
        <v>813</v>
      </c>
      <c r="B338" t="s">
        <v>814</v>
      </c>
    </row>
    <row r="339" spans="1:2">
      <c r="A339" s="87" t="s">
        <v>815</v>
      </c>
      <c r="B339" t="s">
        <v>816</v>
      </c>
    </row>
    <row r="340" spans="1:2">
      <c r="A340" s="87" t="s">
        <v>817</v>
      </c>
      <c r="B340" t="s">
        <v>818</v>
      </c>
    </row>
    <row r="341" spans="1:2">
      <c r="A341" s="87" t="s">
        <v>819</v>
      </c>
      <c r="B341" t="s">
        <v>820</v>
      </c>
    </row>
    <row r="342" spans="1:2">
      <c r="A342" s="87" t="s">
        <v>821</v>
      </c>
      <c r="B342" t="s">
        <v>822</v>
      </c>
    </row>
    <row r="343" spans="1:2">
      <c r="A343" s="87" t="s">
        <v>823</v>
      </c>
      <c r="B343" t="s">
        <v>824</v>
      </c>
    </row>
    <row r="344" spans="1:2">
      <c r="A344" s="87" t="s">
        <v>825</v>
      </c>
      <c r="B344" t="s">
        <v>826</v>
      </c>
    </row>
    <row r="345" spans="1:2">
      <c r="A345" s="87" t="s">
        <v>827</v>
      </c>
      <c r="B345" t="s">
        <v>828</v>
      </c>
    </row>
    <row r="346" s="85" customFormat="1" spans="1:2">
      <c r="A346" s="87" t="s">
        <v>829</v>
      </c>
      <c r="B346" t="s">
        <v>830</v>
      </c>
    </row>
    <row r="347" spans="1:2">
      <c r="A347" s="87" t="s">
        <v>831</v>
      </c>
      <c r="B347" t="s">
        <v>832</v>
      </c>
    </row>
    <row r="348" spans="1:2">
      <c r="A348" s="87" t="s">
        <v>833</v>
      </c>
      <c r="B348" t="s">
        <v>96</v>
      </c>
    </row>
    <row r="349" spans="1:2">
      <c r="A349" s="87" t="s">
        <v>834</v>
      </c>
      <c r="B349" t="s">
        <v>835</v>
      </c>
    </row>
    <row r="350" spans="1:2">
      <c r="A350" s="87" t="s">
        <v>836</v>
      </c>
      <c r="B350" t="s">
        <v>837</v>
      </c>
    </row>
    <row r="351" spans="1:2">
      <c r="A351" s="87" t="s">
        <v>838</v>
      </c>
      <c r="B351" t="s">
        <v>839</v>
      </c>
    </row>
    <row r="352" spans="1:2">
      <c r="A352" s="87" t="s">
        <v>840</v>
      </c>
      <c r="B352" t="s">
        <v>841</v>
      </c>
    </row>
    <row r="353" spans="1:2">
      <c r="A353" s="87" t="s">
        <v>842</v>
      </c>
      <c r="B353" t="s">
        <v>843</v>
      </c>
    </row>
    <row r="354" spans="1:2">
      <c r="A354" s="87" t="s">
        <v>844</v>
      </c>
      <c r="B354" t="s">
        <v>845</v>
      </c>
    </row>
    <row r="355" spans="1:2">
      <c r="A355" s="87" t="s">
        <v>846</v>
      </c>
      <c r="B355" t="s">
        <v>847</v>
      </c>
    </row>
    <row r="356" spans="1:2">
      <c r="A356" s="87" t="s">
        <v>848</v>
      </c>
      <c r="B356" t="s">
        <v>849</v>
      </c>
    </row>
    <row r="357" spans="1:2">
      <c r="A357" s="87" t="s">
        <v>850</v>
      </c>
      <c r="B357" t="s">
        <v>851</v>
      </c>
    </row>
    <row r="358" spans="1:2">
      <c r="A358" s="87" t="s">
        <v>852</v>
      </c>
      <c r="B358" t="s">
        <v>90</v>
      </c>
    </row>
    <row r="359" spans="1:2">
      <c r="A359" s="87" t="s">
        <v>853</v>
      </c>
      <c r="B359" t="s">
        <v>854</v>
      </c>
    </row>
    <row r="360" spans="1:2">
      <c r="A360" s="87" t="s">
        <v>855</v>
      </c>
      <c r="B360" t="s">
        <v>856</v>
      </c>
    </row>
    <row r="361" spans="1:2">
      <c r="A361" s="87" t="s">
        <v>857</v>
      </c>
      <c r="B361" t="s">
        <v>858</v>
      </c>
    </row>
    <row r="362" spans="1:2">
      <c r="A362" s="87" t="s">
        <v>859</v>
      </c>
      <c r="B362" t="s">
        <v>860</v>
      </c>
    </row>
    <row r="363" spans="1:2">
      <c r="A363" s="87" t="s">
        <v>861</v>
      </c>
      <c r="B363" t="s">
        <v>862</v>
      </c>
    </row>
    <row r="364" spans="1:2">
      <c r="A364" s="87" t="s">
        <v>863</v>
      </c>
      <c r="B364" t="s">
        <v>864</v>
      </c>
    </row>
    <row r="365" spans="1:2">
      <c r="A365" s="87" t="s">
        <v>865</v>
      </c>
      <c r="B365" t="s">
        <v>866</v>
      </c>
    </row>
    <row r="366" spans="1:2">
      <c r="A366" s="87" t="s">
        <v>867</v>
      </c>
      <c r="B366" t="s">
        <v>868</v>
      </c>
    </row>
    <row r="367" spans="1:2">
      <c r="A367" s="87" t="s">
        <v>869</v>
      </c>
      <c r="B367" t="s">
        <v>88</v>
      </c>
    </row>
    <row r="368" spans="1:2">
      <c r="A368" s="87" t="s">
        <v>870</v>
      </c>
      <c r="B368" t="s">
        <v>871</v>
      </c>
    </row>
    <row r="369" spans="1:2">
      <c r="A369" s="87" t="s">
        <v>872</v>
      </c>
      <c r="B369" t="s">
        <v>873</v>
      </c>
    </row>
    <row r="370" spans="1:2">
      <c r="A370" s="87" t="s">
        <v>874</v>
      </c>
      <c r="B370" t="s">
        <v>875</v>
      </c>
    </row>
    <row r="371" spans="1:2">
      <c r="A371" s="87" t="s">
        <v>876</v>
      </c>
      <c r="B371" t="s">
        <v>877</v>
      </c>
    </row>
    <row r="372" spans="1:2">
      <c r="A372" s="87" t="s">
        <v>878</v>
      </c>
      <c r="B372" t="s">
        <v>879</v>
      </c>
    </row>
    <row r="373" spans="1:2">
      <c r="A373" s="87" t="s">
        <v>880</v>
      </c>
      <c r="B373" t="s">
        <v>881</v>
      </c>
    </row>
    <row r="374" spans="1:2">
      <c r="A374" s="87" t="s">
        <v>882</v>
      </c>
      <c r="B374" t="s">
        <v>883</v>
      </c>
    </row>
    <row r="375" spans="1:2">
      <c r="A375" s="87" t="s">
        <v>884</v>
      </c>
      <c r="B375" t="s">
        <v>885</v>
      </c>
    </row>
    <row r="376" spans="1:2">
      <c r="A376" s="87" t="s">
        <v>886</v>
      </c>
      <c r="B376" t="s">
        <v>887</v>
      </c>
    </row>
    <row r="377" spans="1:2">
      <c r="A377" s="87" t="s">
        <v>888</v>
      </c>
      <c r="B377" t="s">
        <v>889</v>
      </c>
    </row>
    <row r="378" spans="1:2">
      <c r="A378" s="87" t="s">
        <v>890</v>
      </c>
      <c r="B378" t="s">
        <v>891</v>
      </c>
    </row>
    <row r="379" spans="1:2">
      <c r="A379" s="87" t="s">
        <v>892</v>
      </c>
      <c r="B379" t="s">
        <v>893</v>
      </c>
    </row>
    <row r="380" spans="1:2">
      <c r="A380" s="87" t="s">
        <v>894</v>
      </c>
      <c r="B380" t="s">
        <v>895</v>
      </c>
    </row>
    <row r="381" spans="1:2">
      <c r="A381" s="87" t="s">
        <v>896</v>
      </c>
      <c r="B381" t="s">
        <v>897</v>
      </c>
    </row>
    <row r="382" spans="1:2">
      <c r="A382" s="87" t="s">
        <v>898</v>
      </c>
      <c r="B382" t="s">
        <v>899</v>
      </c>
    </row>
    <row r="383" spans="1:2">
      <c r="A383" s="87" t="s">
        <v>900</v>
      </c>
      <c r="B383" t="s">
        <v>901</v>
      </c>
    </row>
    <row r="384" spans="1:2">
      <c r="A384" s="87" t="s">
        <v>902</v>
      </c>
      <c r="B384" t="s">
        <v>903</v>
      </c>
    </row>
  </sheetData>
  <pageMargins left="0.7" right="0.7" top="0.75" bottom="0.75" header="0.3" footer="0.3"/>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F1"/>
  <sheetViews>
    <sheetView workbookViewId="0">
      <selection activeCell="A2" sqref="A2"/>
    </sheetView>
  </sheetViews>
  <sheetFormatPr defaultColWidth="8.89285714285714" defaultRowHeight="16.8" outlineLevelCol="5"/>
  <cols>
    <col min="1" max="1" width="34.7767857142857" style="85" customWidth="1"/>
    <col min="2" max="2" width="16" style="85" customWidth="1"/>
    <col min="3" max="3" width="34" style="85" customWidth="1"/>
    <col min="4" max="4" width="27.3303571428571" style="85" customWidth="1"/>
    <col min="5" max="5" width="74.3303571428571" style="85" customWidth="1"/>
    <col min="6" max="6" width="27.3303571428571" style="85" customWidth="1"/>
  </cols>
  <sheetData>
    <row r="1" spans="1:6">
      <c r="A1" s="85" t="s">
        <v>904</v>
      </c>
      <c r="B1" s="85" t="s">
        <v>905</v>
      </c>
      <c r="C1" s="85" t="s">
        <v>906</v>
      </c>
      <c r="D1" s="85" t="s">
        <v>907</v>
      </c>
      <c r="E1" s="85" t="s">
        <v>908</v>
      </c>
      <c r="F1" s="85" t="s">
        <v>909</v>
      </c>
    </row>
  </sheetData>
  <pageMargins left="0.7" right="0.7" top="0.75" bottom="0.75" header="0.3" footer="0.3"/>
  <pageSetup paperSize="9"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1:E39"/>
  <sheetViews>
    <sheetView workbookViewId="0">
      <selection activeCell="A1" sqref="A1"/>
    </sheetView>
  </sheetViews>
  <sheetFormatPr defaultColWidth="8.89285714285714" defaultRowHeight="16.8" outlineLevelCol="4"/>
  <cols>
    <col min="1" max="1" width="28" customWidth="1"/>
    <col min="2" max="2" width="28.8928571428571" customWidth="1"/>
    <col min="3" max="3" width="23.3303571428571" customWidth="1"/>
    <col min="4" max="4" width="19.3303571428571" customWidth="1"/>
    <col min="5" max="5" width="98" customWidth="1"/>
  </cols>
  <sheetData>
    <row r="1" spans="1:5">
      <c r="A1" s="84" t="s">
        <v>910</v>
      </c>
      <c r="B1" s="84" t="s">
        <v>911</v>
      </c>
      <c r="C1" s="84" t="s">
        <v>912</v>
      </c>
      <c r="D1" s="84" t="s">
        <v>913</v>
      </c>
      <c r="E1" s="84" t="s">
        <v>6</v>
      </c>
    </row>
    <row r="2" spans="1:5">
      <c r="A2" s="84" t="s">
        <v>914</v>
      </c>
      <c r="B2" s="84" t="s">
        <v>915</v>
      </c>
      <c r="D2" s="84" t="s">
        <v>916</v>
      </c>
    </row>
    <row r="3" spans="1:5">
      <c r="A3" s="84" t="s">
        <v>917</v>
      </c>
      <c r="B3" s="84" t="s">
        <v>918</v>
      </c>
      <c r="D3" s="84" t="s">
        <v>919</v>
      </c>
    </row>
    <row r="4" spans="1:5">
      <c r="A4" s="84" t="s">
        <v>920</v>
      </c>
      <c r="B4" s="84" t="s">
        <v>921</v>
      </c>
      <c r="D4" s="84" t="s">
        <v>922</v>
      </c>
    </row>
    <row r="5" spans="1:5">
      <c r="A5" s="84" t="s">
        <v>923</v>
      </c>
      <c r="B5" s="84" t="s">
        <v>924</v>
      </c>
      <c r="D5" s="84" t="s">
        <v>925</v>
      </c>
    </row>
    <row r="6" spans="1:5">
      <c r="A6" s="84" t="s">
        <v>926</v>
      </c>
      <c r="B6" s="84" t="s">
        <v>927</v>
      </c>
      <c r="D6" s="84" t="s">
        <v>928</v>
      </c>
    </row>
    <row r="7" spans="1:5">
      <c r="A7" s="84" t="s">
        <v>929</v>
      </c>
      <c r="B7" s="84" t="s">
        <v>930</v>
      </c>
      <c r="D7" s="84" t="s">
        <v>931</v>
      </c>
    </row>
    <row r="8" spans="1:5">
      <c r="A8" s="84" t="s">
        <v>932</v>
      </c>
      <c r="B8" s="84" t="s">
        <v>933</v>
      </c>
      <c r="D8" s="84" t="s">
        <v>934</v>
      </c>
    </row>
    <row r="9" spans="1:5">
      <c r="A9" s="84" t="s">
        <v>935</v>
      </c>
      <c r="B9" s="84" t="s">
        <v>936</v>
      </c>
      <c r="D9" s="84" t="s">
        <v>937</v>
      </c>
    </row>
    <row r="10" spans="1:5">
      <c r="A10" s="84" t="s">
        <v>938</v>
      </c>
      <c r="B10" s="84" t="s">
        <v>939</v>
      </c>
      <c r="D10" s="84" t="s">
        <v>940</v>
      </c>
    </row>
    <row r="11" spans="1:5">
      <c r="A11" s="84" t="s">
        <v>941</v>
      </c>
      <c r="B11" s="84" t="s">
        <v>942</v>
      </c>
      <c r="D11" s="84" t="s">
        <v>943</v>
      </c>
    </row>
    <row r="12" spans="1:5">
      <c r="A12" s="84" t="s">
        <v>944</v>
      </c>
      <c r="B12" s="84" t="s">
        <v>945</v>
      </c>
      <c r="D12" s="84" t="s">
        <v>946</v>
      </c>
    </row>
    <row r="13" spans="1:5">
      <c r="A13" s="84" t="s">
        <v>947</v>
      </c>
      <c r="B13" s="84" t="s">
        <v>948</v>
      </c>
      <c r="D13" s="84" t="s">
        <v>949</v>
      </c>
    </row>
    <row r="14" spans="1:5">
      <c r="A14" s="84" t="s">
        <v>950</v>
      </c>
      <c r="B14" s="84" t="s">
        <v>951</v>
      </c>
      <c r="D14" s="84" t="s">
        <v>952</v>
      </c>
    </row>
    <row r="15" spans="1:5">
      <c r="A15" s="84" t="s">
        <v>953</v>
      </c>
      <c r="D15" s="84" t="s">
        <v>954</v>
      </c>
      <c r="E15" s="84" t="s">
        <v>6</v>
      </c>
    </row>
    <row r="16" spans="1:5">
      <c r="A16" s="84" t="s">
        <v>955</v>
      </c>
      <c r="D16" s="84" t="s">
        <v>956</v>
      </c>
      <c r="E16" s="84" t="s">
        <v>957</v>
      </c>
    </row>
    <row r="17" spans="1:5">
      <c r="A17" s="84" t="s">
        <v>958</v>
      </c>
      <c r="D17" s="84" t="s">
        <v>956</v>
      </c>
      <c r="E17" s="84" t="s">
        <v>959</v>
      </c>
    </row>
    <row r="18" spans="1:5">
      <c r="A18" s="84" t="s">
        <v>960</v>
      </c>
      <c r="D18" s="84" t="s">
        <v>961</v>
      </c>
      <c r="E18" s="84" t="s">
        <v>962</v>
      </c>
    </row>
    <row r="19" spans="1:5">
      <c r="A19" s="84" t="s">
        <v>963</v>
      </c>
      <c r="C19" s="84" t="s">
        <v>964</v>
      </c>
      <c r="D19" s="84" t="s">
        <v>965</v>
      </c>
      <c r="E19" s="84" t="s">
        <v>964</v>
      </c>
    </row>
    <row r="20" spans="1:5">
      <c r="A20" s="84" t="s">
        <v>963</v>
      </c>
      <c r="C20" s="84" t="s">
        <v>184</v>
      </c>
      <c r="D20" s="84" t="s">
        <v>965</v>
      </c>
      <c r="E20" s="84" t="s">
        <v>184</v>
      </c>
    </row>
    <row r="21" spans="1:5">
      <c r="A21" s="84" t="s">
        <v>963</v>
      </c>
      <c r="C21" s="84" t="s">
        <v>214</v>
      </c>
      <c r="D21" s="84" t="s">
        <v>965</v>
      </c>
      <c r="E21" s="84" t="s">
        <v>214</v>
      </c>
    </row>
    <row r="22" spans="1:5">
      <c r="A22" s="84" t="s">
        <v>963</v>
      </c>
      <c r="C22" s="84" t="s">
        <v>442</v>
      </c>
      <c r="D22" s="84" t="s">
        <v>965</v>
      </c>
      <c r="E22" s="84" t="s">
        <v>94</v>
      </c>
    </row>
    <row r="23" spans="1:5">
      <c r="A23" s="84" t="s">
        <v>963</v>
      </c>
      <c r="C23" s="84" t="s">
        <v>92</v>
      </c>
      <c r="D23" s="84" t="s">
        <v>965</v>
      </c>
      <c r="E23" s="84" t="s">
        <v>92</v>
      </c>
    </row>
    <row r="24" spans="1:5">
      <c r="A24" s="84" t="s">
        <v>963</v>
      </c>
      <c r="C24" s="84" t="s">
        <v>646</v>
      </c>
      <c r="D24" s="84" t="s">
        <v>965</v>
      </c>
      <c r="E24" s="84" t="s">
        <v>646</v>
      </c>
    </row>
    <row r="25" spans="1:5">
      <c r="A25" s="84" t="s">
        <v>963</v>
      </c>
      <c r="C25" s="84" t="s">
        <v>784</v>
      </c>
      <c r="D25" s="84" t="s">
        <v>965</v>
      </c>
      <c r="E25" s="84" t="s">
        <v>784</v>
      </c>
    </row>
    <row r="26" spans="1:5">
      <c r="A26" s="84" t="s">
        <v>963</v>
      </c>
      <c r="C26" s="84" t="s">
        <v>786</v>
      </c>
      <c r="D26" s="84" t="s">
        <v>965</v>
      </c>
      <c r="E26" s="84" t="s">
        <v>786</v>
      </c>
    </row>
    <row r="27" spans="1:5">
      <c r="A27" s="84" t="s">
        <v>963</v>
      </c>
      <c r="C27" s="84" t="s">
        <v>830</v>
      </c>
      <c r="D27" s="84" t="s">
        <v>965</v>
      </c>
      <c r="E27" s="84" t="s">
        <v>96</v>
      </c>
    </row>
    <row r="28" spans="1:5">
      <c r="A28" s="84" t="s">
        <v>963</v>
      </c>
      <c r="C28" s="84" t="s">
        <v>843</v>
      </c>
      <c r="D28" s="84" t="s">
        <v>965</v>
      </c>
      <c r="E28" s="84" t="s">
        <v>90</v>
      </c>
    </row>
    <row r="29" spans="1:5">
      <c r="A29" s="84" t="s">
        <v>963</v>
      </c>
      <c r="C29" s="84" t="s">
        <v>88</v>
      </c>
      <c r="D29" s="84" t="s">
        <v>965</v>
      </c>
      <c r="E29" s="84" t="s">
        <v>88</v>
      </c>
    </row>
    <row r="30" spans="1:5">
      <c r="A30" s="84" t="s">
        <v>966</v>
      </c>
      <c r="C30" s="84" t="s">
        <v>964</v>
      </c>
      <c r="D30" s="84" t="s">
        <v>965</v>
      </c>
      <c r="E30" s="84" t="s">
        <v>964</v>
      </c>
    </row>
    <row r="31" spans="1:5">
      <c r="A31" s="84" t="s">
        <v>966</v>
      </c>
      <c r="C31" s="84" t="s">
        <v>214</v>
      </c>
      <c r="D31" s="84" t="s">
        <v>965</v>
      </c>
      <c r="E31" s="84" t="s">
        <v>967</v>
      </c>
    </row>
    <row r="32" spans="1:5">
      <c r="A32" s="84" t="s">
        <v>966</v>
      </c>
      <c r="C32" s="84" t="s">
        <v>92</v>
      </c>
      <c r="D32" s="84" t="s">
        <v>965</v>
      </c>
      <c r="E32" s="84" t="s">
        <v>92</v>
      </c>
    </row>
    <row r="33" spans="1:5">
      <c r="A33" s="84" t="s">
        <v>966</v>
      </c>
      <c r="C33" s="84" t="s">
        <v>442</v>
      </c>
      <c r="D33" s="84" t="s">
        <v>965</v>
      </c>
      <c r="E33" s="84" t="s">
        <v>968</v>
      </c>
    </row>
    <row r="34" spans="1:5">
      <c r="A34" s="84" t="s">
        <v>966</v>
      </c>
      <c r="C34" s="84" t="s">
        <v>646</v>
      </c>
      <c r="D34" s="84" t="s">
        <v>965</v>
      </c>
      <c r="E34" s="84" t="s">
        <v>969</v>
      </c>
    </row>
    <row r="35" spans="1:5">
      <c r="A35" s="84" t="s">
        <v>966</v>
      </c>
      <c r="C35" s="84" t="s">
        <v>784</v>
      </c>
      <c r="D35" s="84" t="s">
        <v>965</v>
      </c>
      <c r="E35" s="84" t="s">
        <v>970</v>
      </c>
    </row>
    <row r="36" spans="1:5">
      <c r="A36" s="84" t="s">
        <v>966</v>
      </c>
      <c r="C36" s="84" t="s">
        <v>786</v>
      </c>
      <c r="D36" s="84" t="s">
        <v>965</v>
      </c>
      <c r="E36" s="84" t="s">
        <v>970</v>
      </c>
    </row>
    <row r="37" spans="1:5">
      <c r="A37" s="84" t="s">
        <v>966</v>
      </c>
      <c r="C37" s="84" t="s">
        <v>830</v>
      </c>
      <c r="D37" s="84" t="s">
        <v>965</v>
      </c>
      <c r="E37" s="84" t="s">
        <v>971</v>
      </c>
    </row>
    <row r="38" spans="1:5">
      <c r="A38" s="84" t="s">
        <v>966</v>
      </c>
      <c r="C38" s="84" t="s">
        <v>843</v>
      </c>
      <c r="D38" s="84" t="s">
        <v>965</v>
      </c>
      <c r="E38" s="84" t="s">
        <v>972</v>
      </c>
    </row>
    <row r="39" spans="1:5">
      <c r="A39" s="84" t="s">
        <v>966</v>
      </c>
      <c r="C39" s="84" t="s">
        <v>88</v>
      </c>
      <c r="D39" s="84" t="s">
        <v>965</v>
      </c>
      <c r="E39" s="84" t="s">
        <v>973</v>
      </c>
    </row>
  </sheetData>
  <pageMargins left="0.7" right="0.7" top="0.75" bottom="0.75" header="0.3" footer="0.3"/>
  <pageSetup paperSize="9"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tabColor rgb="FFFFFF00"/>
  </sheetPr>
  <dimension ref="A1:GE15"/>
  <sheetViews>
    <sheetView tabSelected="1" zoomScale="80" zoomScaleNormal="80" workbookViewId="0">
      <pane xSplit="2" ySplit="3" topLeftCell="C4" activePane="bottomRight" state="frozen"/>
      <selection/>
      <selection pane="topRight"/>
      <selection pane="bottomLeft"/>
      <selection pane="bottomRight" activeCell="F28" sqref="F28"/>
    </sheetView>
  </sheetViews>
  <sheetFormatPr defaultColWidth="9" defaultRowHeight="16.8"/>
  <cols>
    <col min="1" max="1" width="10.3392857142857" style="4" customWidth="1"/>
    <col min="2" max="2" width="18.1071428571429" style="4" customWidth="1"/>
    <col min="3" max="3" width="11.3303571428571" style="4" customWidth="1"/>
    <col min="4" max="4" width="6.33035714285714" style="4" customWidth="1"/>
    <col min="5" max="5" width="6.22321428571429" style="4" customWidth="1"/>
    <col min="6" max="6" width="100" style="4" customWidth="1"/>
    <col min="7" max="7" width="11.8928571428571" style="4" customWidth="1"/>
    <col min="8" max="8" width="10.3303571428571" style="4" customWidth="1"/>
    <col min="9" max="9" width="13.7767857142857" style="4" customWidth="1"/>
    <col min="10" max="10" width="7.22321428571429" style="4" customWidth="1"/>
    <col min="11" max="11" width="18" style="4" customWidth="1"/>
    <col min="12" max="12" width="12.5625" style="4" customWidth="1"/>
    <col min="13" max="13" width="10.4375" style="4" customWidth="1"/>
    <col min="14" max="14" width="13.2232142857143" style="4" customWidth="1"/>
    <col min="15" max="15" width="10.7767857142857" style="4" customWidth="1"/>
    <col min="16" max="16" width="16.8928571428571" style="4" customWidth="1"/>
    <col min="17" max="17" width="16" style="5" customWidth="1"/>
    <col min="18" max="18" width="8.66964285714286" style="4" customWidth="1"/>
    <col min="19" max="19" width="10.6696428571429" style="4" customWidth="1"/>
    <col min="20" max="20" width="9.10714285714286" style="4" customWidth="1"/>
    <col min="21" max="21" width="9.89285714285714" style="4" customWidth="1"/>
    <col min="22" max="22" width="15.2232142857143" style="4" customWidth="1"/>
    <col min="23" max="25" width="23.1071428571429" style="4" customWidth="1"/>
    <col min="26" max="26" width="13.2232142857143" style="6" customWidth="1"/>
    <col min="27" max="27" width="7.89285714285714" style="7" customWidth="1"/>
    <col min="28" max="28" width="47.6696428571429" style="4" customWidth="1"/>
    <col min="29" max="29" width="12.8928571428571" style="4" customWidth="1"/>
    <col min="30" max="30" width="19.8928571428571" style="4" customWidth="1"/>
    <col min="31" max="31" width="7.66964285714286" style="4" customWidth="1"/>
    <col min="32" max="32" width="16.6696428571429" style="4" customWidth="1"/>
    <col min="33" max="33" width="16.3303571428571" style="4" customWidth="1"/>
    <col min="34" max="34" width="19.8928571428571" style="4" customWidth="1"/>
    <col min="35" max="35" width="20.4375" style="4" customWidth="1"/>
    <col min="36" max="36" width="21.4375" style="4" customWidth="1"/>
    <col min="37" max="37" width="48.4375" style="4" customWidth="1"/>
    <col min="38" max="38" width="48.1071428571429" style="4" customWidth="1"/>
    <col min="39" max="39" width="46.5625" style="4" customWidth="1"/>
    <col min="40" max="40" width="51.2232142857143" style="4" customWidth="1"/>
    <col min="41" max="41" width="50.6696428571429" style="4" customWidth="1"/>
    <col min="42" max="44" width="15" style="4" customWidth="1"/>
    <col min="45" max="45" width="9.4375" style="4" customWidth="1"/>
    <col min="46" max="46" width="13.3303571428571" style="4" customWidth="1"/>
    <col min="47" max="47" width="15.6696428571429" style="4" customWidth="1"/>
    <col min="48" max="48" width="14.3303571428571" style="4" customWidth="1"/>
    <col min="49" max="49" width="12.6696428571429" style="4" customWidth="1"/>
    <col min="50" max="50" width="17.2232142857143" style="4" customWidth="1"/>
    <col min="51" max="51" width="26.2232142857143" style="4" customWidth="1"/>
    <col min="52" max="52" width="16.3303571428571" style="4" customWidth="1"/>
    <col min="53" max="53" width="21.8928571428571" style="4" customWidth="1"/>
    <col min="54" max="54" width="17" style="4" customWidth="1"/>
    <col min="55" max="55" width="20.7767857142857" style="4" customWidth="1"/>
    <col min="56" max="56" width="22.6696428571429" style="4" customWidth="1"/>
    <col min="57" max="57" width="17.3303571428571" style="4" customWidth="1"/>
    <col min="58" max="58" width="23.4375" style="4" customWidth="1"/>
    <col min="59" max="63" width="9.10714285714286" style="4" customWidth="1"/>
    <col min="64" max="64" width="71.7767857142857" style="4" customWidth="1"/>
    <col min="65" max="65" width="23" style="4" customWidth="1"/>
    <col min="66" max="70" width="18.8928571428571" style="4" customWidth="1"/>
    <col min="71" max="71" width="11.6696428571429" style="4" customWidth="1"/>
    <col min="72" max="76" width="35.2232142857143" style="4" customWidth="1"/>
    <col min="77" max="77" width="13.2232142857143" style="4" customWidth="1"/>
    <col min="78" max="78" width="7.33035714285714" style="4" customWidth="1"/>
    <col min="79" max="79" width="6.4375" style="4" customWidth="1"/>
    <col min="80" max="80" width="10.8928571428571" style="4" customWidth="1"/>
    <col min="81" max="81" width="12" style="4" customWidth="1"/>
    <col min="82" max="82" width="12.1071428571429" style="4" customWidth="1"/>
    <col min="83" max="83" width="14.2232142857143" style="4" customWidth="1"/>
    <col min="84" max="84" width="16.8928571428571" style="4" customWidth="1"/>
    <col min="85" max="85" width="14.3303571428571" style="6" customWidth="1"/>
    <col min="86" max="86" width="35.2232142857143" style="4" customWidth="1"/>
    <col min="87" max="87" width="9.89285714285714" style="6" customWidth="1"/>
    <col min="88" max="88" width="10.4375" style="6" customWidth="1"/>
    <col min="89" max="89" width="10.3303571428571" style="4" customWidth="1"/>
    <col min="90" max="90" width="28.4375" style="4" customWidth="1"/>
    <col min="91" max="91" width="10.4375" style="6" customWidth="1"/>
    <col min="92" max="92" width="17.6696428571429" style="4" customWidth="1"/>
    <col min="93" max="93" width="14.2232142857143" style="6" customWidth="1"/>
    <col min="94" max="94" width="12.8928571428571" style="6" customWidth="1"/>
    <col min="95" max="95" width="13.8928571428571" style="6" customWidth="1"/>
    <col min="96" max="96" width="14.4375" style="6" customWidth="1"/>
    <col min="97" max="97" width="28.1071428571429" style="4" customWidth="1"/>
    <col min="98" max="98" width="32.1071428571429" style="4" customWidth="1"/>
    <col min="99" max="99" width="24.4375" style="4" customWidth="1"/>
    <col min="100" max="100" width="13.6696428571429" style="4" customWidth="1"/>
    <col min="101" max="101" width="38.7767857142857" style="4" customWidth="1"/>
    <col min="102" max="102" width="42.6696428571429" style="4" customWidth="1"/>
    <col min="103" max="103" width="36.1071428571429" style="4" customWidth="1"/>
    <col min="104" max="104" width="41.6696428571429" style="4" customWidth="1"/>
    <col min="105" max="105" width="18.7767857142857" style="4" customWidth="1"/>
    <col min="106" max="106" width="17.2232142857143" style="4" customWidth="1"/>
    <col min="107" max="109" width="14.6696428571429" style="4" customWidth="1"/>
    <col min="110" max="112" width="17.1071428571429" style="7" customWidth="1"/>
    <col min="113" max="113" width="19.6696428571429" style="6" customWidth="1"/>
    <col min="114" max="114" width="27.4375" style="4" customWidth="1"/>
    <col min="115" max="115" width="25.3303571428571" style="7" customWidth="1"/>
    <col min="116" max="116" width="23.6696428571429" style="7" customWidth="1"/>
    <col min="117" max="117" width="22.2232142857143" style="4" customWidth="1"/>
    <col min="118" max="118" width="19.2232142857143" style="6" customWidth="1"/>
    <col min="119" max="119" width="41" style="4" customWidth="1"/>
    <col min="120" max="120" width="20.4375" style="6" customWidth="1"/>
    <col min="121" max="121" width="33.7767857142857" style="4" customWidth="1"/>
    <col min="122" max="126" width="34.8928571428571" style="4" customWidth="1"/>
    <col min="127" max="127" width="10.3303571428571" style="4" customWidth="1"/>
    <col min="128" max="128" width="25.6696428571429" style="4" customWidth="1"/>
    <col min="129" max="129" width="10.8928571428571" style="6" customWidth="1"/>
    <col min="130" max="130" width="25.4375" style="4" customWidth="1"/>
    <col min="131" max="131" width="7.22321428571429" style="6" customWidth="1"/>
    <col min="132" max="132" width="26.1071428571429" style="4" customWidth="1"/>
    <col min="133" max="133" width="14.8928571428571" style="6" customWidth="1"/>
    <col min="134" max="136" width="44" style="4" customWidth="1"/>
    <col min="137" max="137" width="13.2232142857143" style="4" customWidth="1"/>
    <col min="138" max="138" width="12.8928571428571" style="4" customWidth="1"/>
    <col min="139" max="139" width="8.66964285714286" style="4" customWidth="1"/>
    <col min="140" max="140" width="12.7767857142857" style="7" customWidth="1"/>
    <col min="141" max="141" width="9.4375" style="6" customWidth="1"/>
    <col min="142" max="142" width="14" style="5" customWidth="1"/>
    <col min="143" max="143" width="12.8928571428571" style="5" customWidth="1"/>
    <col min="144" max="144" width="24.2232142857143" style="7" customWidth="1"/>
    <col min="145" max="145" width="15.4375" style="7" customWidth="1"/>
    <col min="146" max="146" width="14.6696428571429" style="7" customWidth="1"/>
    <col min="147" max="148" width="19.3303571428571" style="4" customWidth="1"/>
    <col min="149" max="149" width="27.1071428571429" style="4" customWidth="1"/>
    <col min="150" max="150" width="11.4375" style="5" customWidth="1"/>
    <col min="151" max="151" width="12.2232142857143" style="5" customWidth="1"/>
    <col min="152" max="152" width="17.3303571428571" style="4" customWidth="1"/>
    <col min="153" max="153" width="12.2232142857143" style="5" customWidth="1"/>
    <col min="154" max="154" width="23.6696428571429" style="6" customWidth="1"/>
    <col min="155" max="155" width="20.4375" style="4" customWidth="1"/>
    <col min="156" max="156" width="23.3303571428571" style="7" customWidth="1"/>
    <col min="157" max="157" width="13.3303571428571" style="5" customWidth="1"/>
    <col min="158" max="158" width="16.8928571428571" style="7" customWidth="1"/>
    <col min="159" max="159" width="21.6696428571429" style="4" customWidth="1"/>
    <col min="160" max="160" width="14" style="5" customWidth="1"/>
    <col min="161" max="161" width="13.6696428571429" style="4" customWidth="1"/>
    <col min="162" max="162" width="24.3303571428571" style="4" customWidth="1"/>
    <col min="163" max="163" width="5.10714285714286" style="4" customWidth="1"/>
    <col min="164" max="164" width="15.8928571428571" style="4" customWidth="1"/>
    <col min="165" max="165" width="21" style="7" customWidth="1"/>
    <col min="166" max="166" width="25.3303571428571" style="8" customWidth="1"/>
    <col min="167" max="167" width="17.1071428571429" style="4" customWidth="1"/>
    <col min="168" max="168" width="20.6696428571429" style="7" customWidth="1"/>
    <col min="169" max="169" width="14.1071428571429" style="6" customWidth="1"/>
    <col min="170" max="170" width="20.6696428571429" style="7" customWidth="1"/>
    <col min="171" max="171" width="14.1071428571429" style="6" customWidth="1"/>
    <col min="172" max="172" width="20.6696428571429" style="7" customWidth="1"/>
    <col min="173" max="173" width="14.1071428571429" style="6" customWidth="1"/>
    <col min="174" max="174" width="20.6696428571429" style="7" customWidth="1"/>
    <col min="175" max="175" width="14.1071428571429" style="6" customWidth="1"/>
    <col min="176" max="176" width="20.6696428571429" style="7" customWidth="1"/>
    <col min="177" max="177" width="14.1071428571429" style="6" customWidth="1"/>
    <col min="178" max="178" width="23.1071428571429" style="4" customWidth="1"/>
    <col min="179" max="179" width="31.3303571428571" style="7" customWidth="1"/>
    <col min="180" max="180" width="25.1071428571429" style="6" customWidth="1"/>
    <col min="181" max="181" width="31.3303571428571" style="7" customWidth="1"/>
    <col min="182" max="182" width="25.1071428571429" style="6" customWidth="1"/>
    <col min="183" max="183" width="31.3303571428571" style="7" customWidth="1"/>
    <col min="184" max="184" width="25.1071428571429" style="6" customWidth="1"/>
    <col min="185" max="185" width="19.7767857142857" style="4" customWidth="1"/>
    <col min="186" max="186" width="44.6696428571429" style="4" customWidth="1"/>
    <col min="187" max="187" width="12.2232142857143" style="4" customWidth="1"/>
    <col min="188" max="188" width="9" style="9" customWidth="1"/>
    <col min="189" max="16384" width="9" style="9"/>
  </cols>
  <sheetData>
    <row r="1" spans="1:187">
      <c r="A1" s="10" t="s">
        <v>974</v>
      </c>
      <c r="B1" s="10" t="s">
        <v>975</v>
      </c>
      <c r="C1" s="10" t="s">
        <v>976</v>
      </c>
      <c r="D1" s="10" t="s">
        <v>977</v>
      </c>
      <c r="E1" s="10" t="s">
        <v>978</v>
      </c>
      <c r="F1" s="10"/>
      <c r="G1" s="10"/>
      <c r="H1" s="10"/>
      <c r="I1" s="10"/>
      <c r="J1" s="10"/>
      <c r="K1" s="10"/>
      <c r="L1" s="10"/>
      <c r="M1" s="10"/>
      <c r="N1" s="10"/>
      <c r="O1" s="10"/>
      <c r="P1" s="10"/>
      <c r="Q1" s="11"/>
      <c r="R1" s="10"/>
      <c r="S1" s="10"/>
      <c r="T1" s="10"/>
      <c r="U1" s="10"/>
      <c r="V1" s="10"/>
      <c r="W1" s="10"/>
      <c r="X1" s="10"/>
      <c r="Y1" s="10"/>
      <c r="Z1" s="12"/>
      <c r="AA1" s="13"/>
      <c r="AB1" s="10"/>
      <c r="AC1" s="10"/>
      <c r="AD1" s="10"/>
      <c r="AE1" s="10"/>
      <c r="AF1" s="10"/>
      <c r="AG1" s="10"/>
      <c r="AH1" s="10"/>
      <c r="AI1" s="10"/>
      <c r="AJ1" s="10"/>
      <c r="AK1" s="14" t="s">
        <v>979</v>
      </c>
      <c r="AL1" s="14"/>
      <c r="AM1" s="14"/>
      <c r="AN1" s="14"/>
      <c r="AO1" s="14"/>
      <c r="AP1" s="15"/>
      <c r="AQ1" s="15"/>
      <c r="AR1" s="15"/>
      <c r="AS1" s="16" t="s">
        <v>980</v>
      </c>
      <c r="AT1" s="16"/>
      <c r="AU1" s="16"/>
      <c r="AV1" s="16"/>
      <c r="AW1" s="17" t="s">
        <v>981</v>
      </c>
      <c r="AX1" s="17"/>
      <c r="AY1" s="17"/>
      <c r="AZ1" s="17"/>
      <c r="BA1" s="17"/>
      <c r="BB1" s="17"/>
      <c r="BC1" s="17"/>
      <c r="BD1" s="17"/>
      <c r="BE1" s="17"/>
      <c r="BF1" s="17"/>
      <c r="BG1" s="17"/>
      <c r="BH1" s="17"/>
      <c r="BI1" s="17"/>
      <c r="BJ1" s="17"/>
      <c r="BK1" s="17"/>
      <c r="BL1" s="18" t="s">
        <v>982</v>
      </c>
      <c r="BM1" s="18"/>
      <c r="BN1" s="18"/>
      <c r="BO1" s="18"/>
      <c r="BP1" s="18"/>
      <c r="BQ1" s="18"/>
      <c r="BR1" s="18"/>
      <c r="BS1" s="18"/>
      <c r="BT1" s="18"/>
      <c r="BU1" s="18"/>
      <c r="BV1" s="18"/>
      <c r="BW1" s="18"/>
      <c r="BX1" s="18"/>
      <c r="BY1" s="18"/>
      <c r="BZ1" s="18"/>
      <c r="CA1" s="18"/>
      <c r="CB1" s="18"/>
      <c r="CC1" s="18"/>
      <c r="CD1" s="18"/>
      <c r="CE1" s="18"/>
      <c r="CF1" s="19" t="s">
        <v>983</v>
      </c>
      <c r="CG1" s="20" t="s">
        <v>984</v>
      </c>
      <c r="CH1" s="21"/>
      <c r="CI1" s="20"/>
      <c r="CJ1" s="20"/>
      <c r="CK1" s="21"/>
      <c r="CL1" s="21"/>
      <c r="CM1" s="20"/>
      <c r="CN1" s="22" t="s">
        <v>985</v>
      </c>
      <c r="CO1" s="23"/>
      <c r="CP1" s="23"/>
      <c r="CQ1" s="23"/>
      <c r="CR1" s="23"/>
      <c r="CS1" s="22"/>
      <c r="CT1" s="22"/>
      <c r="CU1" s="24" t="s">
        <v>986</v>
      </c>
      <c r="CV1" s="24"/>
      <c r="CW1" s="24"/>
      <c r="CX1" s="24"/>
      <c r="CY1" s="24"/>
      <c r="CZ1" s="24"/>
      <c r="DA1" s="24"/>
      <c r="DB1" s="24"/>
      <c r="DC1" s="24"/>
      <c r="DD1" s="24"/>
      <c r="DE1" s="24"/>
      <c r="DF1" s="25"/>
      <c r="DG1" s="25"/>
      <c r="DH1" s="25"/>
      <c r="DI1" s="26"/>
      <c r="DJ1" s="24"/>
      <c r="DK1" s="25"/>
      <c r="DL1" s="25"/>
      <c r="DM1" s="24"/>
      <c r="DN1" s="26"/>
      <c r="DO1" s="24"/>
      <c r="DP1" s="26"/>
      <c r="DQ1" s="24"/>
      <c r="DR1" s="24"/>
      <c r="DS1" s="24"/>
      <c r="DT1" s="24"/>
      <c r="DU1" s="24"/>
      <c r="DV1" s="24"/>
      <c r="DW1" s="24"/>
      <c r="DX1" s="24"/>
      <c r="DY1" s="26"/>
      <c r="DZ1" s="24"/>
      <c r="EA1" s="26"/>
      <c r="EB1" s="24"/>
      <c r="EC1" s="26"/>
      <c r="ED1" s="24"/>
      <c r="EE1" s="24"/>
      <c r="EF1" s="24"/>
      <c r="EG1" s="27" t="s">
        <v>987</v>
      </c>
      <c r="EH1" s="27"/>
      <c r="EI1" s="27"/>
      <c r="EJ1" s="28"/>
      <c r="EK1" s="29"/>
      <c r="EL1" s="30"/>
      <c r="EM1" s="30"/>
      <c r="EN1" s="28"/>
      <c r="EO1" s="28"/>
      <c r="EP1" s="28"/>
      <c r="EQ1" s="27"/>
      <c r="ER1" s="27"/>
      <c r="ES1" s="27"/>
      <c r="ET1" s="30"/>
      <c r="EU1" s="30"/>
      <c r="EV1" s="27"/>
      <c r="EW1" s="30"/>
      <c r="EX1" s="29"/>
      <c r="EY1" s="27"/>
      <c r="EZ1" s="28"/>
      <c r="FA1" s="30"/>
      <c r="FB1" s="28"/>
      <c r="FC1" s="27"/>
      <c r="FD1" s="30"/>
      <c r="FE1" s="27"/>
      <c r="FF1" s="27"/>
      <c r="FG1" s="27"/>
      <c r="FH1" s="27"/>
      <c r="FI1" s="28"/>
      <c r="FJ1" s="31"/>
      <c r="FK1" s="32"/>
      <c r="FL1" s="33"/>
      <c r="FM1" s="34"/>
      <c r="FN1" s="33"/>
      <c r="FO1" s="34"/>
      <c r="FP1" s="33"/>
      <c r="FQ1" s="34"/>
      <c r="FR1" s="33"/>
      <c r="FS1" s="34"/>
      <c r="FT1" s="33"/>
      <c r="FU1" s="34"/>
      <c r="FV1" s="32"/>
      <c r="FW1" s="33"/>
      <c r="FX1" s="34"/>
      <c r="FY1" s="33"/>
      <c r="FZ1" s="34"/>
      <c r="GA1" s="33"/>
      <c r="GB1" s="34"/>
      <c r="GC1" s="32"/>
      <c r="GD1" s="32"/>
      <c r="GE1" s="32"/>
    </row>
    <row r="2" ht="28.05" customHeight="1" spans="1:187">
      <c r="A2" s="35" t="s">
        <v>988</v>
      </c>
      <c r="B2" s="35" t="s">
        <v>989</v>
      </c>
      <c r="C2" s="35" t="s">
        <v>990</v>
      </c>
      <c r="D2" s="35" t="s">
        <v>991</v>
      </c>
      <c r="E2" s="35" t="s">
        <v>992</v>
      </c>
      <c r="F2" s="35" t="s">
        <v>993</v>
      </c>
      <c r="G2" s="35" t="s">
        <v>994</v>
      </c>
      <c r="H2" s="35" t="s">
        <v>995</v>
      </c>
      <c r="I2" s="35" t="s">
        <v>996</v>
      </c>
      <c r="J2" s="35" t="s">
        <v>997</v>
      </c>
      <c r="K2" s="35" t="s">
        <v>998</v>
      </c>
      <c r="L2" s="35" t="s">
        <v>999</v>
      </c>
      <c r="M2" s="35" t="s">
        <v>1000</v>
      </c>
      <c r="N2" s="35" t="s">
        <v>1001</v>
      </c>
      <c r="O2" s="35" t="s">
        <v>1002</v>
      </c>
      <c r="P2" s="35" t="s">
        <v>1003</v>
      </c>
      <c r="Q2" s="36" t="s">
        <v>1004</v>
      </c>
      <c r="R2" s="35" t="s">
        <v>1005</v>
      </c>
      <c r="S2" s="35" t="s">
        <v>1006</v>
      </c>
      <c r="T2" s="35" t="s">
        <v>1007</v>
      </c>
      <c r="U2" s="35" t="s">
        <v>1008</v>
      </c>
      <c r="V2" s="35" t="s">
        <v>1009</v>
      </c>
      <c r="W2" s="35" t="s">
        <v>1010</v>
      </c>
      <c r="X2" s="35" t="s">
        <v>1010</v>
      </c>
      <c r="Y2" s="35" t="s">
        <v>1010</v>
      </c>
      <c r="Z2" s="37" t="s">
        <v>1011</v>
      </c>
      <c r="AA2" s="38" t="s">
        <v>1012</v>
      </c>
      <c r="AB2" s="35" t="s">
        <v>1013</v>
      </c>
      <c r="AC2" s="35" t="s">
        <v>1014</v>
      </c>
      <c r="AD2" s="35" t="s">
        <v>1015</v>
      </c>
      <c r="AE2" s="35" t="s">
        <v>1016</v>
      </c>
      <c r="AF2" s="35" t="s">
        <v>1017</v>
      </c>
      <c r="AG2" s="35" t="s">
        <v>1018</v>
      </c>
      <c r="AH2" s="35" t="s">
        <v>1019</v>
      </c>
      <c r="AI2" s="35" t="s">
        <v>1020</v>
      </c>
      <c r="AJ2" s="35" t="s">
        <v>1021</v>
      </c>
      <c r="AK2" s="39" t="s">
        <v>1022</v>
      </c>
      <c r="AL2" s="40" t="s">
        <v>1023</v>
      </c>
      <c r="AM2" s="39" t="s">
        <v>1024</v>
      </c>
      <c r="AN2" s="39" t="s">
        <v>1025</v>
      </c>
      <c r="AO2" s="39" t="s">
        <v>1026</v>
      </c>
      <c r="AP2" s="41" t="s">
        <v>1027</v>
      </c>
      <c r="AQ2" s="41" t="s">
        <v>1028</v>
      </c>
      <c r="AR2" s="41" t="s">
        <v>1029</v>
      </c>
      <c r="AS2" s="42" t="s">
        <v>1030</v>
      </c>
      <c r="AT2" s="39" t="s">
        <v>1031</v>
      </c>
      <c r="AU2" s="42" t="s">
        <v>1032</v>
      </c>
      <c r="AV2" s="42" t="s">
        <v>1033</v>
      </c>
      <c r="AW2" s="43" t="s">
        <v>1034</v>
      </c>
      <c r="AX2" s="43" t="s">
        <v>1035</v>
      </c>
      <c r="AY2" s="43" t="s">
        <v>1036</v>
      </c>
      <c r="AZ2" s="43" t="s">
        <v>1037</v>
      </c>
      <c r="BA2" s="43" t="s">
        <v>1038</v>
      </c>
      <c r="BB2" s="43" t="s">
        <v>1039</v>
      </c>
      <c r="BC2" s="43" t="s">
        <v>1040</v>
      </c>
      <c r="BD2" s="43" t="s">
        <v>1041</v>
      </c>
      <c r="BE2" s="43" t="s">
        <v>1042</v>
      </c>
      <c r="BF2" s="43" t="s">
        <v>1043</v>
      </c>
      <c r="BG2" s="43" t="s">
        <v>0</v>
      </c>
      <c r="BH2" s="43" t="s">
        <v>0</v>
      </c>
      <c r="BI2" s="43" t="s">
        <v>0</v>
      </c>
      <c r="BJ2" s="43" t="s">
        <v>0</v>
      </c>
      <c r="BK2" s="43" t="s">
        <v>0</v>
      </c>
      <c r="BL2" s="44" t="s">
        <v>1044</v>
      </c>
      <c r="BM2" s="44" t="s">
        <v>1045</v>
      </c>
      <c r="BN2" s="44" t="s">
        <v>1046</v>
      </c>
      <c r="BO2" s="44" t="s">
        <v>1046</v>
      </c>
      <c r="BP2" s="44" t="s">
        <v>1046</v>
      </c>
      <c r="BQ2" s="44" t="s">
        <v>1046</v>
      </c>
      <c r="BR2" s="44" t="s">
        <v>1046</v>
      </c>
      <c r="BS2" s="44" t="s">
        <v>1047</v>
      </c>
      <c r="BT2" s="44" t="s">
        <v>1048</v>
      </c>
      <c r="BU2" s="44" t="s">
        <v>1048</v>
      </c>
      <c r="BV2" s="44" t="s">
        <v>1048</v>
      </c>
      <c r="BW2" s="44" t="s">
        <v>1048</v>
      </c>
      <c r="BX2" s="44" t="s">
        <v>1048</v>
      </c>
      <c r="BY2" s="44" t="s">
        <v>1049</v>
      </c>
      <c r="BZ2" s="44" t="s">
        <v>1050</v>
      </c>
      <c r="CA2" s="44" t="s">
        <v>1051</v>
      </c>
      <c r="CB2" s="44" t="s">
        <v>1052</v>
      </c>
      <c r="CC2" s="44" t="s">
        <v>1053</v>
      </c>
      <c r="CD2" s="44" t="s">
        <v>1054</v>
      </c>
      <c r="CE2" s="44" t="s">
        <v>1055</v>
      </c>
      <c r="CF2" s="45" t="s">
        <v>1056</v>
      </c>
      <c r="CG2" s="46" t="s">
        <v>1057</v>
      </c>
      <c r="CH2" s="47" t="s">
        <v>1058</v>
      </c>
      <c r="CI2" s="46" t="s">
        <v>1059</v>
      </c>
      <c r="CJ2" s="46" t="s">
        <v>1060</v>
      </c>
      <c r="CK2" s="47" t="s">
        <v>1061</v>
      </c>
      <c r="CL2" s="47" t="s">
        <v>1062</v>
      </c>
      <c r="CM2" s="46" t="s">
        <v>1063</v>
      </c>
      <c r="CN2" s="48" t="s">
        <v>1064</v>
      </c>
      <c r="CO2" s="49" t="s">
        <v>1065</v>
      </c>
      <c r="CP2" s="49" t="s">
        <v>1066</v>
      </c>
      <c r="CQ2" s="49" t="s">
        <v>1067</v>
      </c>
      <c r="CR2" s="49" t="s">
        <v>1068</v>
      </c>
      <c r="CS2" s="48" t="s">
        <v>1069</v>
      </c>
      <c r="CT2" s="48" t="s">
        <v>1070</v>
      </c>
      <c r="CU2" s="50" t="s">
        <v>1071</v>
      </c>
      <c r="CV2" s="50" t="s">
        <v>1072</v>
      </c>
      <c r="CW2" s="50" t="s">
        <v>1073</v>
      </c>
      <c r="CX2" s="50" t="s">
        <v>1074</v>
      </c>
      <c r="CY2" s="50" t="s">
        <v>1075</v>
      </c>
      <c r="CZ2" s="50" t="s">
        <v>1076</v>
      </c>
      <c r="DA2" s="50" t="s">
        <v>1077</v>
      </c>
      <c r="DB2" s="50" t="s">
        <v>1078</v>
      </c>
      <c r="DC2" s="50" t="s">
        <v>1079</v>
      </c>
      <c r="DD2" s="50" t="s">
        <v>1079</v>
      </c>
      <c r="DE2" s="50" t="s">
        <v>1079</v>
      </c>
      <c r="DF2" s="51" t="s">
        <v>1080</v>
      </c>
      <c r="DG2" s="51" t="s">
        <v>1080</v>
      </c>
      <c r="DH2" s="51" t="s">
        <v>1080</v>
      </c>
      <c r="DI2" s="52" t="s">
        <v>1081</v>
      </c>
      <c r="DJ2" s="50" t="s">
        <v>1082</v>
      </c>
      <c r="DK2" s="51" t="s">
        <v>1083</v>
      </c>
      <c r="DL2" s="51" t="s">
        <v>1084</v>
      </c>
      <c r="DM2" s="50" t="s">
        <v>1085</v>
      </c>
      <c r="DN2" s="52" t="s">
        <v>1086</v>
      </c>
      <c r="DO2" s="50" t="s">
        <v>1087</v>
      </c>
      <c r="DP2" s="52" t="s">
        <v>1088</v>
      </c>
      <c r="DQ2" s="50" t="s">
        <v>1089</v>
      </c>
      <c r="DR2" s="50" t="s">
        <v>1090</v>
      </c>
      <c r="DS2" s="50" t="s">
        <v>1090</v>
      </c>
      <c r="DT2" s="50" t="s">
        <v>1090</v>
      </c>
      <c r="DU2" s="50" t="s">
        <v>1090</v>
      </c>
      <c r="DV2" s="50" t="s">
        <v>1090</v>
      </c>
      <c r="DW2" s="50" t="s">
        <v>1091</v>
      </c>
      <c r="DX2" s="50" t="s">
        <v>1092</v>
      </c>
      <c r="DY2" s="52" t="s">
        <v>1093</v>
      </c>
      <c r="DZ2" s="50" t="s">
        <v>1094</v>
      </c>
      <c r="EA2" s="52" t="s">
        <v>1095</v>
      </c>
      <c r="EB2" s="50" t="s">
        <v>1096</v>
      </c>
      <c r="EC2" s="52" t="s">
        <v>1097</v>
      </c>
      <c r="ED2" s="50" t="s">
        <v>1098</v>
      </c>
      <c r="EE2" s="50" t="s">
        <v>1098</v>
      </c>
      <c r="EF2" s="50" t="s">
        <v>1098</v>
      </c>
      <c r="EG2" s="53" t="s">
        <v>1099</v>
      </c>
      <c r="EH2" s="53" t="s">
        <v>1100</v>
      </c>
      <c r="EI2" s="53" t="s">
        <v>1101</v>
      </c>
      <c r="EJ2" s="54" t="s">
        <v>1102</v>
      </c>
      <c r="EK2" s="55" t="s">
        <v>1103</v>
      </c>
      <c r="EL2" s="56" t="s">
        <v>1104</v>
      </c>
      <c r="EM2" s="56" t="s">
        <v>1105</v>
      </c>
      <c r="EN2" s="54" t="s">
        <v>1106</v>
      </c>
      <c r="EO2" s="54" t="s">
        <v>1107</v>
      </c>
      <c r="EP2" s="54" t="s">
        <v>1108</v>
      </c>
      <c r="EQ2" s="53" t="s">
        <v>1109</v>
      </c>
      <c r="ER2" s="53" t="s">
        <v>1110</v>
      </c>
      <c r="ES2" s="53" t="s">
        <v>1111</v>
      </c>
      <c r="ET2" s="56" t="s">
        <v>1112</v>
      </c>
      <c r="EU2" s="56" t="s">
        <v>1113</v>
      </c>
      <c r="EV2" s="53" t="s">
        <v>1114</v>
      </c>
      <c r="EW2" s="56" t="s">
        <v>1115</v>
      </c>
      <c r="EX2" s="55" t="s">
        <v>1116</v>
      </c>
      <c r="EY2" s="53" t="s">
        <v>1117</v>
      </c>
      <c r="EZ2" s="54" t="s">
        <v>1118</v>
      </c>
      <c r="FA2" s="56" t="s">
        <v>1119</v>
      </c>
      <c r="FB2" s="54" t="s">
        <v>1120</v>
      </c>
      <c r="FC2" s="53" t="s">
        <v>1121</v>
      </c>
      <c r="FD2" s="56" t="s">
        <v>1122</v>
      </c>
      <c r="FE2" s="53" t="s">
        <v>1123</v>
      </c>
      <c r="FF2" s="53" t="s">
        <v>1124</v>
      </c>
      <c r="FG2" s="53" t="s">
        <v>1125</v>
      </c>
      <c r="FH2" s="53" t="s">
        <v>1126</v>
      </c>
      <c r="FI2" s="54" t="s">
        <v>1127</v>
      </c>
      <c r="FJ2" s="57" t="s">
        <v>1128</v>
      </c>
      <c r="FK2" s="58" t="s">
        <v>1129</v>
      </c>
      <c r="FL2" s="59" t="s">
        <v>1130</v>
      </c>
      <c r="FM2" s="60" t="s">
        <v>1131</v>
      </c>
      <c r="FN2" s="59" t="s">
        <v>1132</v>
      </c>
      <c r="FO2" s="60" t="s">
        <v>1133</v>
      </c>
      <c r="FP2" s="59" t="s">
        <v>1134</v>
      </c>
      <c r="FQ2" s="60" t="s">
        <v>1135</v>
      </c>
      <c r="FR2" s="59" t="s">
        <v>1136</v>
      </c>
      <c r="FS2" s="60" t="s">
        <v>1137</v>
      </c>
      <c r="FT2" s="59" t="s">
        <v>1138</v>
      </c>
      <c r="FU2" s="60" t="s">
        <v>1139</v>
      </c>
      <c r="FV2" s="58" t="s">
        <v>1140</v>
      </c>
      <c r="FW2" s="59" t="s">
        <v>1141</v>
      </c>
      <c r="FX2" s="60" t="s">
        <v>1142</v>
      </c>
      <c r="FY2" s="59" t="s">
        <v>1143</v>
      </c>
      <c r="FZ2" s="60" t="s">
        <v>1144</v>
      </c>
      <c r="GA2" s="59" t="s">
        <v>1145</v>
      </c>
      <c r="GB2" s="60" t="s">
        <v>1146</v>
      </c>
      <c r="GC2" s="58" t="s">
        <v>1147</v>
      </c>
      <c r="GD2" s="58" t="s">
        <v>1148</v>
      </c>
      <c r="GE2" s="58" t="s">
        <v>1149</v>
      </c>
    </row>
    <row r="3" spans="1:187">
      <c r="A3" s="35" t="s">
        <v>1150</v>
      </c>
      <c r="B3" s="35" t="s">
        <v>1151</v>
      </c>
      <c r="C3" s="35" t="s">
        <v>1152</v>
      </c>
      <c r="D3" s="35" t="s">
        <v>1153</v>
      </c>
      <c r="E3" s="35" t="s">
        <v>1154</v>
      </c>
      <c r="F3" s="40" t="s">
        <v>1155</v>
      </c>
      <c r="G3" s="35" t="s">
        <v>1156</v>
      </c>
      <c r="H3" s="39" t="s">
        <v>1157</v>
      </c>
      <c r="I3" s="39" t="s">
        <v>1158</v>
      </c>
      <c r="J3" s="39" t="s">
        <v>1159</v>
      </c>
      <c r="K3" s="35" t="s">
        <v>1160</v>
      </c>
      <c r="L3" s="35" t="s">
        <v>1161</v>
      </c>
      <c r="M3" s="35" t="s">
        <v>1162</v>
      </c>
      <c r="N3" s="40" t="s">
        <v>1163</v>
      </c>
      <c r="O3" s="35" t="s">
        <v>1164</v>
      </c>
      <c r="P3" s="35" t="s">
        <v>1165</v>
      </c>
      <c r="Q3" s="36" t="s">
        <v>1166</v>
      </c>
      <c r="R3" s="39" t="s">
        <v>1167</v>
      </c>
      <c r="S3" s="40" t="s">
        <v>1168</v>
      </c>
      <c r="T3" s="35" t="s">
        <v>1169</v>
      </c>
      <c r="U3" s="35" t="s">
        <v>1170</v>
      </c>
      <c r="V3" s="35" t="s">
        <v>1009</v>
      </c>
      <c r="W3" s="35" t="s">
        <v>1171</v>
      </c>
      <c r="X3" s="35" t="s">
        <v>1172</v>
      </c>
      <c r="Y3" s="35" t="s">
        <v>1173</v>
      </c>
      <c r="Z3" s="61" t="s">
        <v>1174</v>
      </c>
      <c r="AA3" s="38" t="s">
        <v>1175</v>
      </c>
      <c r="AB3" s="40" t="s">
        <v>1176</v>
      </c>
      <c r="AC3" s="35" t="s">
        <v>1177</v>
      </c>
      <c r="AD3" s="35" t="s">
        <v>1178</v>
      </c>
      <c r="AE3" s="35" t="s">
        <v>1179</v>
      </c>
      <c r="AF3" s="35" t="s">
        <v>1180</v>
      </c>
      <c r="AG3" s="39" t="s">
        <v>1181</v>
      </c>
      <c r="AH3" s="35" t="s">
        <v>1182</v>
      </c>
      <c r="AI3" s="35" t="s">
        <v>1183</v>
      </c>
      <c r="AJ3" s="35" t="s">
        <v>1184</v>
      </c>
      <c r="AK3" s="39" t="s">
        <v>1185</v>
      </c>
      <c r="AL3" s="40" t="s">
        <v>1186</v>
      </c>
      <c r="AM3" s="39" t="s">
        <v>1187</v>
      </c>
      <c r="AN3" s="39" t="s">
        <v>1188</v>
      </c>
      <c r="AO3" s="39" t="s">
        <v>1189</v>
      </c>
      <c r="AP3" s="41" t="s">
        <v>1190</v>
      </c>
      <c r="AQ3" s="41" t="s">
        <v>1191</v>
      </c>
      <c r="AR3" s="41" t="s">
        <v>1192</v>
      </c>
      <c r="AS3" s="42" t="s">
        <v>1193</v>
      </c>
      <c r="AT3" s="39" t="s">
        <v>1194</v>
      </c>
      <c r="AU3" s="42" t="s">
        <v>1195</v>
      </c>
      <c r="AV3" s="42" t="s">
        <v>1196</v>
      </c>
      <c r="AW3" s="43" t="s">
        <v>1197</v>
      </c>
      <c r="AX3" s="43" t="s">
        <v>1198</v>
      </c>
      <c r="AY3" s="43" t="s">
        <v>1199</v>
      </c>
      <c r="AZ3" s="43" t="s">
        <v>1200</v>
      </c>
      <c r="BA3" s="43" t="s">
        <v>1201</v>
      </c>
      <c r="BB3" s="39" t="s">
        <v>1202</v>
      </c>
      <c r="BC3" s="39" t="s">
        <v>1203</v>
      </c>
      <c r="BD3" s="39" t="s">
        <v>1204</v>
      </c>
      <c r="BE3" s="43" t="s">
        <v>1205</v>
      </c>
      <c r="BF3" s="43" t="s">
        <v>1206</v>
      </c>
      <c r="BG3" s="43" t="s">
        <v>1207</v>
      </c>
      <c r="BH3" s="43" t="s">
        <v>1208</v>
      </c>
      <c r="BI3" s="43" t="s">
        <v>1209</v>
      </c>
      <c r="BJ3" s="43" t="s">
        <v>1210</v>
      </c>
      <c r="BK3" s="43" t="s">
        <v>1211</v>
      </c>
      <c r="BL3" s="40" t="s">
        <v>1212</v>
      </c>
      <c r="BM3" s="44" t="s">
        <v>1213</v>
      </c>
      <c r="BN3" s="44" t="s">
        <v>1214</v>
      </c>
      <c r="BO3" s="40" t="s">
        <v>1215</v>
      </c>
      <c r="BP3" s="40" t="s">
        <v>1216</v>
      </c>
      <c r="BQ3" s="40" t="s">
        <v>1217</v>
      </c>
      <c r="BR3" s="44" t="s">
        <v>1218</v>
      </c>
      <c r="BS3" s="44" t="s">
        <v>1219</v>
      </c>
      <c r="BT3" s="44" t="s">
        <v>1220</v>
      </c>
      <c r="BU3" s="44" t="s">
        <v>1221</v>
      </c>
      <c r="BV3" s="44" t="s">
        <v>1222</v>
      </c>
      <c r="BW3" s="44" t="s">
        <v>1223</v>
      </c>
      <c r="BX3" s="44" t="s">
        <v>1224</v>
      </c>
      <c r="BY3" s="44" t="s">
        <v>1225</v>
      </c>
      <c r="BZ3" s="44" t="s">
        <v>1226</v>
      </c>
      <c r="CA3" s="44" t="s">
        <v>1051</v>
      </c>
      <c r="CB3" s="44" t="s">
        <v>1052</v>
      </c>
      <c r="CC3" s="44" t="s">
        <v>1053</v>
      </c>
      <c r="CD3" s="44" t="s">
        <v>1054</v>
      </c>
      <c r="CE3" s="44" t="s">
        <v>1055</v>
      </c>
      <c r="CF3" s="40" t="s">
        <v>1227</v>
      </c>
      <c r="CG3" s="46" t="s">
        <v>1228</v>
      </c>
      <c r="CH3" s="47" t="s">
        <v>1229</v>
      </c>
      <c r="CI3" s="46" t="s">
        <v>1059</v>
      </c>
      <c r="CJ3" s="46" t="s">
        <v>1060</v>
      </c>
      <c r="CK3" s="47" t="s">
        <v>1230</v>
      </c>
      <c r="CL3" s="47" t="s">
        <v>1231</v>
      </c>
      <c r="CM3" s="46" t="s">
        <v>1063</v>
      </c>
      <c r="CN3" s="48" t="s">
        <v>1232</v>
      </c>
      <c r="CO3" s="49" t="s">
        <v>1233</v>
      </c>
      <c r="CP3" s="49" t="s">
        <v>1234</v>
      </c>
      <c r="CQ3" s="49" t="s">
        <v>1235</v>
      </c>
      <c r="CR3" s="61" t="s">
        <v>1236</v>
      </c>
      <c r="CS3" s="48" t="s">
        <v>1237</v>
      </c>
      <c r="CT3" s="48" t="s">
        <v>1238</v>
      </c>
      <c r="CU3" s="50" t="s">
        <v>1239</v>
      </c>
      <c r="CV3" s="50" t="s">
        <v>1240</v>
      </c>
      <c r="CW3" s="50" t="s">
        <v>1241</v>
      </c>
      <c r="CX3" s="50" t="s">
        <v>1242</v>
      </c>
      <c r="CY3" s="50" t="s">
        <v>1243</v>
      </c>
      <c r="CZ3" s="50" t="s">
        <v>1244</v>
      </c>
      <c r="DA3" s="50" t="s">
        <v>1245</v>
      </c>
      <c r="DB3" s="50" t="s">
        <v>1246</v>
      </c>
      <c r="DC3" s="50" t="s">
        <v>1247</v>
      </c>
      <c r="DD3" s="50" t="s">
        <v>1248</v>
      </c>
      <c r="DE3" s="50" t="s">
        <v>1249</v>
      </c>
      <c r="DF3" s="51" t="s">
        <v>1250</v>
      </c>
      <c r="DG3" s="51" t="s">
        <v>1251</v>
      </c>
      <c r="DH3" s="51" t="s">
        <v>1252</v>
      </c>
      <c r="DI3" s="52" t="s">
        <v>1253</v>
      </c>
      <c r="DJ3" s="50" t="s">
        <v>1082</v>
      </c>
      <c r="DK3" s="51" t="s">
        <v>1254</v>
      </c>
      <c r="DL3" s="51" t="s">
        <v>1255</v>
      </c>
      <c r="DM3" s="50" t="s">
        <v>1256</v>
      </c>
      <c r="DN3" s="52" t="s">
        <v>1257</v>
      </c>
      <c r="DO3" s="50" t="s">
        <v>1087</v>
      </c>
      <c r="DP3" s="52" t="s">
        <v>1258</v>
      </c>
      <c r="DQ3" s="50" t="s">
        <v>1089</v>
      </c>
      <c r="DR3" s="50" t="s">
        <v>1259</v>
      </c>
      <c r="DS3" s="50" t="s">
        <v>1260</v>
      </c>
      <c r="DT3" s="50" t="s">
        <v>1261</v>
      </c>
      <c r="DU3" s="50" t="s">
        <v>1262</v>
      </c>
      <c r="DV3" s="50" t="s">
        <v>1263</v>
      </c>
      <c r="DW3" s="50" t="s">
        <v>1264</v>
      </c>
      <c r="DX3" s="50" t="s">
        <v>1265</v>
      </c>
      <c r="DY3" s="52" t="s">
        <v>1266</v>
      </c>
      <c r="DZ3" s="50" t="s">
        <v>1094</v>
      </c>
      <c r="EA3" s="52" t="s">
        <v>1267</v>
      </c>
      <c r="EB3" s="50" t="s">
        <v>1096</v>
      </c>
      <c r="EC3" s="52" t="s">
        <v>1268</v>
      </c>
      <c r="ED3" s="50" t="s">
        <v>1269</v>
      </c>
      <c r="EE3" s="50" t="s">
        <v>1270</v>
      </c>
      <c r="EF3" s="50" t="s">
        <v>1271</v>
      </c>
      <c r="EG3" s="53" t="s">
        <v>277</v>
      </c>
      <c r="EH3" s="53" t="s">
        <v>1100</v>
      </c>
      <c r="EI3" s="53" t="s">
        <v>1272</v>
      </c>
      <c r="EJ3" s="54" t="s">
        <v>1273</v>
      </c>
      <c r="EK3" s="55" t="s">
        <v>1274</v>
      </c>
      <c r="EL3" s="56" t="s">
        <v>1275</v>
      </c>
      <c r="EM3" s="56" t="s">
        <v>1276</v>
      </c>
      <c r="EN3" s="54" t="s">
        <v>1277</v>
      </c>
      <c r="EO3" s="54" t="s">
        <v>1278</v>
      </c>
      <c r="EP3" s="54" t="s">
        <v>1279</v>
      </c>
      <c r="EQ3" s="53" t="s">
        <v>1280</v>
      </c>
      <c r="ER3" s="53" t="s">
        <v>1281</v>
      </c>
      <c r="ES3" s="53" t="s">
        <v>1282</v>
      </c>
      <c r="ET3" s="56" t="s">
        <v>1283</v>
      </c>
      <c r="EU3" s="56" t="s">
        <v>1284</v>
      </c>
      <c r="EV3" s="53" t="s">
        <v>1285</v>
      </c>
      <c r="EW3" s="56" t="s">
        <v>1286</v>
      </c>
      <c r="EX3" s="55" t="s">
        <v>1287</v>
      </c>
      <c r="EY3" s="53" t="s">
        <v>1288</v>
      </c>
      <c r="EZ3" s="54" t="s">
        <v>1289</v>
      </c>
      <c r="FA3" s="56" t="s">
        <v>1290</v>
      </c>
      <c r="FB3" s="54" t="s">
        <v>1291</v>
      </c>
      <c r="FC3" s="53" t="s">
        <v>1292</v>
      </c>
      <c r="FD3" s="56" t="s">
        <v>1293</v>
      </c>
      <c r="FE3" s="53" t="s">
        <v>1294</v>
      </c>
      <c r="FF3" s="53" t="s">
        <v>1295</v>
      </c>
      <c r="FG3" s="53" t="s">
        <v>1296</v>
      </c>
      <c r="FH3" s="53" t="s">
        <v>1297</v>
      </c>
      <c r="FI3" s="54" t="s">
        <v>1298</v>
      </c>
      <c r="FJ3" s="57" t="s">
        <v>1299</v>
      </c>
      <c r="FK3" s="58" t="s">
        <v>1300</v>
      </c>
      <c r="FL3" s="59" t="s">
        <v>1301</v>
      </c>
      <c r="FM3" s="60" t="s">
        <v>1302</v>
      </c>
      <c r="FN3" s="59" t="s">
        <v>1303</v>
      </c>
      <c r="FO3" s="60" t="s">
        <v>1304</v>
      </c>
      <c r="FP3" s="59" t="s">
        <v>1305</v>
      </c>
      <c r="FQ3" s="60" t="s">
        <v>1306</v>
      </c>
      <c r="FR3" s="59" t="s">
        <v>1307</v>
      </c>
      <c r="FS3" s="60" t="s">
        <v>1308</v>
      </c>
      <c r="FT3" s="59" t="s">
        <v>1309</v>
      </c>
      <c r="FU3" s="60" t="s">
        <v>1310</v>
      </c>
      <c r="FV3" s="58" t="s">
        <v>1311</v>
      </c>
      <c r="FW3" s="59" t="s">
        <v>1312</v>
      </c>
      <c r="FX3" s="60" t="s">
        <v>1313</v>
      </c>
      <c r="FY3" s="59" t="s">
        <v>1314</v>
      </c>
      <c r="FZ3" s="60" t="s">
        <v>1315</v>
      </c>
      <c r="GA3" s="59" t="s">
        <v>1316</v>
      </c>
      <c r="GB3" s="60" t="s">
        <v>1317</v>
      </c>
      <c r="GC3" s="58" t="s">
        <v>1318</v>
      </c>
      <c r="GD3" s="58" t="s">
        <v>1319</v>
      </c>
      <c r="GE3" s="58" t="s">
        <v>1320</v>
      </c>
    </row>
    <row r="4" s="2" customFormat="1" spans="1:187">
      <c r="A4" s="62" t="s">
        <v>1321</v>
      </c>
      <c r="B4" s="63" t="s">
        <v>1322</v>
      </c>
      <c r="C4" s="62" t="s">
        <v>1323</v>
      </c>
      <c r="D4" s="62"/>
      <c r="E4" s="62"/>
      <c r="F4" s="64" t="e">
        <f>"Ever-Pretty Women's Chiffon Crew Neck Evening Dress Pleated Short Sleeve Knee-Length Wedding Guest Dresses"&amp;" "&amp;I4&amp;" "&amp;J4</f>
        <v>#REF!</v>
      </c>
      <c r="G4" s="65" t="s">
        <v>1324</v>
      </c>
      <c r="H4" s="3" t="s">
        <v>1325</v>
      </c>
      <c r="I4" s="3" t="s">
        <v>1326</v>
      </c>
      <c r="J4" s="65" t="e">
        <f>VLOOKUP(MID($B4,10,2),#REF!,2,0)</f>
        <v>#REF!</v>
      </c>
      <c r="K4" s="62"/>
      <c r="L4" s="62" t="s">
        <v>1327</v>
      </c>
      <c r="M4" s="62" t="s">
        <v>1328</v>
      </c>
      <c r="N4" s="62" t="s">
        <v>1329</v>
      </c>
      <c r="O4" s="62" t="s">
        <v>1330</v>
      </c>
      <c r="P4" s="62" t="s">
        <v>1331</v>
      </c>
      <c r="Q4" s="66"/>
      <c r="R4" s="65" t="e">
        <f>VLOOKUP(MID($B4,10,2),#REF!,3,0)</f>
        <v>#REF!</v>
      </c>
      <c r="S4" s="62" t="s">
        <v>1332</v>
      </c>
      <c r="T4" s="62" t="s">
        <v>612</v>
      </c>
      <c r="U4" s="62" t="s">
        <v>1333</v>
      </c>
      <c r="V4" s="64" t="s">
        <v>1334</v>
      </c>
      <c r="W4" s="62"/>
      <c r="X4" s="62"/>
      <c r="Y4" s="62"/>
      <c r="Z4" s="67">
        <v>55.99</v>
      </c>
      <c r="AA4" s="68">
        <v>2</v>
      </c>
      <c r="AB4" s="69" t="s">
        <v>1335</v>
      </c>
      <c r="AC4" s="65" t="s">
        <v>1336</v>
      </c>
      <c r="AD4" s="65" t="s">
        <v>1337</v>
      </c>
      <c r="AE4" s="65" t="s">
        <v>1338</v>
      </c>
      <c r="AF4" s="65" t="s">
        <v>1339</v>
      </c>
      <c r="AG4" s="3" t="e">
        <f t="shared" ref="AG4:AG15" si="0">R4</f>
        <v>#REF!</v>
      </c>
      <c r="AH4" s="65"/>
      <c r="AI4" s="65" t="s">
        <v>1340</v>
      </c>
      <c r="AJ4" s="65" t="s">
        <v>1340</v>
      </c>
      <c r="AK4" s="70" t="s">
        <v>1341</v>
      </c>
      <c r="AL4" s="2" t="s">
        <v>1342</v>
      </c>
      <c r="AM4" s="2" t="s">
        <v>1343</v>
      </c>
      <c r="AN4" s="62" t="s">
        <v>1344</v>
      </c>
      <c r="AO4" s="62" t="s">
        <v>1345</v>
      </c>
      <c r="AP4" s="62"/>
      <c r="AQ4" s="62"/>
      <c r="AR4" s="62"/>
      <c r="AS4" s="65" t="s">
        <v>1346</v>
      </c>
      <c r="AT4" s="71" t="str">
        <f>LEFT(B4,7)&amp;"-UK1"</f>
        <v>EG02053-UK1</v>
      </c>
      <c r="AU4" s="65" t="s">
        <v>980</v>
      </c>
      <c r="AV4" s="62" t="s">
        <v>1347</v>
      </c>
      <c r="AW4" s="62" t="s">
        <v>830</v>
      </c>
      <c r="AX4" s="2" t="s">
        <v>1348</v>
      </c>
      <c r="AY4" s="62" t="s">
        <v>1349</v>
      </c>
      <c r="AZ4" s="62"/>
      <c r="BA4" s="3" t="s">
        <v>1350</v>
      </c>
      <c r="BB4" s="72" t="str">
        <f t="shared" ref="BB4:BB15" si="1">B4</f>
        <v>EG02053AL04-UK1</v>
      </c>
      <c r="BC4" s="72" t="str">
        <f t="shared" ref="BC4:BC15" si="2">B4</f>
        <v>EG02053AL04-UK1</v>
      </c>
      <c r="BD4" s="72" t="str">
        <f t="shared" ref="BD4:BD15" si="3">B4</f>
        <v>EG02053AL04-UK1</v>
      </c>
      <c r="BE4" s="62"/>
      <c r="BF4" s="62"/>
      <c r="BG4" s="62"/>
      <c r="BH4" s="62"/>
      <c r="BI4" s="62"/>
      <c r="BJ4" s="62"/>
      <c r="BK4" s="62"/>
      <c r="BL4" s="64" t="s">
        <v>1351</v>
      </c>
      <c r="BM4" s="62"/>
      <c r="BN4" s="73" t="s">
        <v>1352</v>
      </c>
      <c r="BO4" s="73" t="s">
        <v>1353</v>
      </c>
      <c r="BP4" s="64" t="s">
        <v>1354</v>
      </c>
      <c r="BQ4" s="2" t="s">
        <v>1355</v>
      </c>
      <c r="BR4" s="74" t="s">
        <v>1356</v>
      </c>
      <c r="BS4" s="62"/>
      <c r="BT4" s="62"/>
      <c r="BU4" s="62"/>
      <c r="BV4" s="62"/>
      <c r="BW4" s="62"/>
      <c r="BX4" s="62"/>
      <c r="BY4" s="62"/>
      <c r="BZ4" s="62"/>
      <c r="CA4" s="62"/>
      <c r="CB4" s="62"/>
      <c r="CC4" s="62"/>
      <c r="CD4" s="62"/>
      <c r="CE4" s="62"/>
      <c r="CF4" s="62" t="s">
        <v>1357</v>
      </c>
      <c r="CG4" s="75"/>
      <c r="CH4" s="62"/>
      <c r="CI4" s="75"/>
      <c r="CJ4" s="75"/>
      <c r="CK4" s="62"/>
      <c r="CL4" s="62"/>
      <c r="CM4" s="75"/>
      <c r="CN4" s="62"/>
      <c r="CO4" s="76">
        <v>13</v>
      </c>
      <c r="CP4" s="76">
        <v>9</v>
      </c>
      <c r="CQ4" s="76">
        <v>1</v>
      </c>
      <c r="CR4" s="77">
        <v>360</v>
      </c>
      <c r="CS4" s="76" t="s">
        <v>1358</v>
      </c>
      <c r="CT4" s="76" t="s">
        <v>1359</v>
      </c>
      <c r="CU4" s="62"/>
      <c r="CV4" s="62"/>
      <c r="CW4" s="62"/>
      <c r="CX4" s="62"/>
      <c r="CY4" s="62"/>
      <c r="CZ4" s="62" t="s">
        <v>612</v>
      </c>
      <c r="DA4" s="62" t="s">
        <v>612</v>
      </c>
      <c r="DB4" s="62"/>
      <c r="DC4" s="62"/>
      <c r="DD4" s="62"/>
      <c r="DE4" s="62"/>
      <c r="DF4" s="78"/>
      <c r="DG4" s="78"/>
      <c r="DH4" s="78"/>
      <c r="DI4" s="75"/>
      <c r="DJ4" s="62"/>
      <c r="DK4" s="78"/>
      <c r="DL4" s="78"/>
      <c r="DM4" s="62"/>
      <c r="DN4" s="75"/>
      <c r="DO4" s="62"/>
      <c r="DP4" s="75"/>
      <c r="DQ4" s="62"/>
      <c r="DR4" s="62"/>
      <c r="DS4" s="62"/>
      <c r="DT4" s="62"/>
      <c r="DU4" s="62"/>
      <c r="DV4" s="62"/>
      <c r="DW4" s="62"/>
      <c r="DX4" s="62"/>
      <c r="DY4" s="75"/>
      <c r="DZ4" s="62"/>
      <c r="EA4" s="75"/>
      <c r="EB4" s="62"/>
      <c r="EC4" s="75"/>
      <c r="ED4" s="62"/>
      <c r="EE4" s="62"/>
      <c r="EF4" s="62"/>
      <c r="EG4" s="62" t="s">
        <v>610</v>
      </c>
      <c r="EH4" s="62"/>
      <c r="EI4" s="62" t="s">
        <v>1360</v>
      </c>
      <c r="EJ4" s="78"/>
      <c r="EK4" s="75"/>
      <c r="EL4" s="66"/>
      <c r="EM4" s="66"/>
      <c r="EN4" s="78"/>
      <c r="EO4" s="78"/>
      <c r="EP4" s="78"/>
      <c r="EQ4" s="62"/>
      <c r="ER4" s="62"/>
      <c r="ES4" s="62"/>
      <c r="ET4" s="79"/>
      <c r="EU4" s="66"/>
      <c r="EV4" s="62"/>
      <c r="EW4" s="66"/>
      <c r="EX4" s="75"/>
      <c r="EY4" s="62"/>
      <c r="EZ4" s="78"/>
      <c r="FA4" s="66"/>
      <c r="FB4" s="78"/>
      <c r="FC4" s="62"/>
      <c r="FD4" s="66"/>
      <c r="FE4" s="62"/>
      <c r="FF4" s="62"/>
      <c r="FG4" s="62"/>
      <c r="FH4" s="62"/>
      <c r="FI4" s="78"/>
      <c r="FJ4" s="8">
        <v>65.99</v>
      </c>
      <c r="FK4" s="62"/>
      <c r="FL4" s="78"/>
      <c r="FM4" s="75"/>
      <c r="FN4" s="78"/>
      <c r="FO4" s="75"/>
      <c r="FP4" s="78"/>
      <c r="FQ4" s="75"/>
      <c r="FR4" s="78"/>
      <c r="FS4" s="75"/>
      <c r="FT4" s="78"/>
      <c r="FU4" s="75"/>
      <c r="FV4" s="62"/>
      <c r="FW4" s="78"/>
      <c r="FX4" s="75"/>
      <c r="FY4" s="78"/>
      <c r="FZ4" s="75"/>
      <c r="GA4" s="78"/>
      <c r="GB4" s="75"/>
      <c r="GC4" s="62"/>
      <c r="GD4" s="62"/>
      <c r="GE4" s="62"/>
    </row>
    <row r="5" s="3" customFormat="1" ht="15" customHeight="1" spans="1:187">
      <c r="A5" s="65" t="s">
        <v>1321</v>
      </c>
      <c r="B5" s="63" t="s">
        <v>1361</v>
      </c>
      <c r="C5" s="65" t="s">
        <v>1323</v>
      </c>
      <c r="D5" s="65"/>
      <c r="E5" s="65"/>
      <c r="F5" s="64" t="e">
        <f t="shared" ref="F5:F27" si="4">"Ever-Pretty Women's Chiffon Crew Neck Evening Dress Pleated Short Sleeve Knee-Length Wedding Guest Dresses"&amp;" "&amp;I5&amp;" "&amp;J5</f>
        <v>#REF!</v>
      </c>
      <c r="G5" s="65" t="s">
        <v>1324</v>
      </c>
      <c r="H5" s="3" t="s">
        <v>1325</v>
      </c>
      <c r="I5" s="3" t="s">
        <v>1326</v>
      </c>
      <c r="J5" s="3" t="e">
        <f>VLOOKUP(MID($B5,10,2),#REF!,2,0)</f>
        <v>#REF!</v>
      </c>
      <c r="K5" s="65"/>
      <c r="L5" s="62" t="s">
        <v>1327</v>
      </c>
      <c r="M5" s="62" t="s">
        <v>1328</v>
      </c>
      <c r="N5" s="62" t="s">
        <v>1329</v>
      </c>
      <c r="O5" s="62" t="s">
        <v>1330</v>
      </c>
      <c r="P5" s="62" t="s">
        <v>1331</v>
      </c>
      <c r="Q5" s="80"/>
      <c r="R5" s="3" t="e">
        <f>VLOOKUP(MID($B5,10,2),#REF!,3,0)</f>
        <v>#REF!</v>
      </c>
      <c r="S5" s="62" t="s">
        <v>1332</v>
      </c>
      <c r="T5" s="65" t="s">
        <v>612</v>
      </c>
      <c r="U5" s="65" t="s">
        <v>1333</v>
      </c>
      <c r="V5" s="64" t="s">
        <v>1334</v>
      </c>
      <c r="W5" s="65"/>
      <c r="X5" s="65"/>
      <c r="Y5" s="65"/>
      <c r="Z5" s="67">
        <v>55.99</v>
      </c>
      <c r="AA5" s="68">
        <v>2</v>
      </c>
      <c r="AB5" s="69" t="s">
        <v>1335</v>
      </c>
      <c r="AC5" s="65" t="s">
        <v>1336</v>
      </c>
      <c r="AD5" s="65" t="s">
        <v>1337</v>
      </c>
      <c r="AE5" s="65" t="s">
        <v>1338</v>
      </c>
      <c r="AF5" s="65" t="s">
        <v>1339</v>
      </c>
      <c r="AG5" s="3" t="e">
        <f t="shared" si="0"/>
        <v>#REF!</v>
      </c>
      <c r="AH5" s="65"/>
      <c r="AI5" s="65" t="s">
        <v>1340</v>
      </c>
      <c r="AJ5" s="65" t="s">
        <v>1340</v>
      </c>
      <c r="AK5" s="70" t="s">
        <v>1341</v>
      </c>
      <c r="AL5" s="2" t="s">
        <v>1342</v>
      </c>
      <c r="AM5" s="2" t="s">
        <v>1343</v>
      </c>
      <c r="AN5" s="62" t="s">
        <v>1344</v>
      </c>
      <c r="AO5" s="62" t="s">
        <v>1345</v>
      </c>
      <c r="AP5" s="65"/>
      <c r="AQ5" s="65"/>
      <c r="AR5" s="65"/>
      <c r="AS5" s="65" t="s">
        <v>1346</v>
      </c>
      <c r="AT5" s="71" t="str">
        <f t="shared" ref="AT5:AT15" si="5">LEFT(B5,7)&amp;"-UK1"</f>
        <v>EG02053-UK1</v>
      </c>
      <c r="AU5" s="65" t="s">
        <v>980</v>
      </c>
      <c r="AV5" s="65" t="s">
        <v>1347</v>
      </c>
      <c r="AW5" s="65" t="s">
        <v>830</v>
      </c>
      <c r="AX5" s="2" t="s">
        <v>1348</v>
      </c>
      <c r="AY5" s="65" t="s">
        <v>1349</v>
      </c>
      <c r="AZ5" s="65"/>
      <c r="BA5" s="3" t="s">
        <v>1350</v>
      </c>
      <c r="BB5" s="72" t="str">
        <f t="shared" si="1"/>
        <v>EG02053AL06-UK1</v>
      </c>
      <c r="BC5" s="72" t="str">
        <f t="shared" si="2"/>
        <v>EG02053AL06-UK1</v>
      </c>
      <c r="BD5" s="72" t="str">
        <f t="shared" si="3"/>
        <v>EG02053AL06-UK1</v>
      </c>
      <c r="BE5" s="65"/>
      <c r="BF5" s="65"/>
      <c r="BG5" s="65"/>
      <c r="BH5" s="65"/>
      <c r="BI5" s="65"/>
      <c r="BJ5" s="65"/>
      <c r="BK5" s="65"/>
      <c r="BL5" s="64" t="s">
        <v>1351</v>
      </c>
      <c r="BM5" s="65"/>
      <c r="BN5" s="73" t="s">
        <v>1352</v>
      </c>
      <c r="BO5" s="73" t="s">
        <v>1353</v>
      </c>
      <c r="BP5" s="64" t="s">
        <v>1354</v>
      </c>
      <c r="BQ5" s="2" t="s">
        <v>1355</v>
      </c>
      <c r="BR5" s="74" t="s">
        <v>1356</v>
      </c>
      <c r="BS5" s="65"/>
      <c r="BT5" s="65"/>
      <c r="BU5" s="65"/>
      <c r="BV5" s="65"/>
      <c r="BW5" s="65"/>
      <c r="BX5" s="65"/>
      <c r="BY5" s="65"/>
      <c r="BZ5" s="65"/>
      <c r="CA5" s="65"/>
      <c r="CB5" s="65"/>
      <c r="CC5" s="65"/>
      <c r="CD5" s="65"/>
      <c r="CE5" s="65"/>
      <c r="CF5" s="62" t="s">
        <v>1357</v>
      </c>
      <c r="CG5" s="81"/>
      <c r="CH5" s="65"/>
      <c r="CI5" s="81"/>
      <c r="CJ5" s="81"/>
      <c r="CK5" s="65"/>
      <c r="CL5" s="65"/>
      <c r="CM5" s="81"/>
      <c r="CN5" s="65"/>
      <c r="CO5" s="77">
        <v>13</v>
      </c>
      <c r="CP5" s="77">
        <v>9</v>
      </c>
      <c r="CQ5" s="77">
        <v>1</v>
      </c>
      <c r="CR5" s="77">
        <v>360</v>
      </c>
      <c r="CS5" s="77" t="s">
        <v>1358</v>
      </c>
      <c r="CT5" s="77" t="s">
        <v>1359</v>
      </c>
      <c r="CU5" s="65"/>
      <c r="CV5" s="65"/>
      <c r="CW5" s="65"/>
      <c r="CX5" s="65"/>
      <c r="CY5" s="65"/>
      <c r="CZ5" s="65" t="s">
        <v>612</v>
      </c>
      <c r="DA5" s="65" t="s">
        <v>612</v>
      </c>
      <c r="DB5" s="65"/>
      <c r="DC5" s="65"/>
      <c r="DD5" s="65"/>
      <c r="DE5" s="65"/>
      <c r="DF5" s="68"/>
      <c r="DG5" s="68"/>
      <c r="DH5" s="68"/>
      <c r="DI5" s="81"/>
      <c r="DJ5" s="65"/>
      <c r="DK5" s="68"/>
      <c r="DL5" s="68"/>
      <c r="DM5" s="65"/>
      <c r="DN5" s="81"/>
      <c r="DO5" s="65"/>
      <c r="DP5" s="81"/>
      <c r="DQ5" s="65"/>
      <c r="DR5" s="65"/>
      <c r="DS5" s="65"/>
      <c r="DT5" s="65"/>
      <c r="DU5" s="65"/>
      <c r="DV5" s="65"/>
      <c r="DW5" s="65"/>
      <c r="DX5" s="65"/>
      <c r="DY5" s="81"/>
      <c r="DZ5" s="65"/>
      <c r="EA5" s="81"/>
      <c r="EB5" s="65"/>
      <c r="EC5" s="81"/>
      <c r="ED5" s="65"/>
      <c r="EE5" s="65"/>
      <c r="EF5" s="65"/>
      <c r="EG5" s="65" t="s">
        <v>610</v>
      </c>
      <c r="EH5" s="65"/>
      <c r="EI5" s="65" t="s">
        <v>1360</v>
      </c>
      <c r="EJ5" s="68"/>
      <c r="EK5" s="81"/>
      <c r="EL5" s="80"/>
      <c r="EM5" s="80"/>
      <c r="EN5" s="68"/>
      <c r="EO5" s="68"/>
      <c r="EP5" s="68"/>
      <c r="EQ5" s="65"/>
      <c r="ER5" s="65"/>
      <c r="ES5" s="65"/>
      <c r="ET5" s="82"/>
      <c r="EU5" s="80"/>
      <c r="EV5" s="65"/>
      <c r="EW5" s="80"/>
      <c r="EX5" s="81"/>
      <c r="EY5" s="65"/>
      <c r="EZ5" s="68"/>
      <c r="FA5" s="80"/>
      <c r="FB5" s="68"/>
      <c r="FC5" s="65"/>
      <c r="FD5" s="80"/>
      <c r="FE5" s="65"/>
      <c r="FF5" s="65"/>
      <c r="FG5" s="65"/>
      <c r="FH5" s="65"/>
      <c r="FI5" s="68"/>
      <c r="FJ5" s="8">
        <v>65.99</v>
      </c>
      <c r="FK5" s="65"/>
      <c r="FL5" s="68"/>
      <c r="FM5" s="81"/>
      <c r="FN5" s="68"/>
      <c r="FO5" s="81"/>
      <c r="FP5" s="68"/>
      <c r="FQ5" s="81"/>
      <c r="FR5" s="68"/>
      <c r="FS5" s="81"/>
      <c r="FT5" s="68"/>
      <c r="FU5" s="81"/>
      <c r="FV5" s="65"/>
      <c r="FW5" s="68"/>
      <c r="FX5" s="81"/>
      <c r="FY5" s="68"/>
      <c r="FZ5" s="81"/>
      <c r="GA5" s="68"/>
      <c r="GB5" s="81"/>
      <c r="GC5" s="65"/>
      <c r="GD5" s="65"/>
      <c r="GE5" s="65"/>
    </row>
    <row r="6" s="3" customFormat="1" ht="15" customHeight="1" spans="1:187">
      <c r="A6" s="65" t="s">
        <v>1321</v>
      </c>
      <c r="B6" s="63" t="s">
        <v>1362</v>
      </c>
      <c r="C6" s="65" t="s">
        <v>1323</v>
      </c>
      <c r="D6" s="65"/>
      <c r="E6" s="65"/>
      <c r="F6" s="64" t="e">
        <f t="shared" si="4"/>
        <v>#REF!</v>
      </c>
      <c r="G6" s="65" t="s">
        <v>1324</v>
      </c>
      <c r="H6" s="3" t="s">
        <v>1325</v>
      </c>
      <c r="I6" s="3" t="s">
        <v>1326</v>
      </c>
      <c r="J6" s="65" t="e">
        <f>VLOOKUP(MID($B6,10,2),#REF!,2,0)</f>
        <v>#REF!</v>
      </c>
      <c r="K6" s="65"/>
      <c r="L6" s="62" t="s">
        <v>1327</v>
      </c>
      <c r="M6" s="62" t="s">
        <v>1328</v>
      </c>
      <c r="N6" s="62" t="s">
        <v>1329</v>
      </c>
      <c r="O6" s="62" t="s">
        <v>1330</v>
      </c>
      <c r="P6" s="62" t="s">
        <v>1331</v>
      </c>
      <c r="Q6" s="80"/>
      <c r="R6" s="65" t="e">
        <f>VLOOKUP(MID($B6,10,2),#REF!,3,0)</f>
        <v>#REF!</v>
      </c>
      <c r="S6" s="62" t="s">
        <v>1332</v>
      </c>
      <c r="T6" s="65" t="s">
        <v>612</v>
      </c>
      <c r="U6" s="65" t="s">
        <v>1333</v>
      </c>
      <c r="V6" s="64" t="s">
        <v>1334</v>
      </c>
      <c r="W6" s="65"/>
      <c r="X6" s="65"/>
      <c r="Y6" s="65"/>
      <c r="Z6" s="67">
        <v>55.99</v>
      </c>
      <c r="AA6" s="68">
        <v>2</v>
      </c>
      <c r="AB6" s="69" t="s">
        <v>1335</v>
      </c>
      <c r="AC6" s="65" t="s">
        <v>1336</v>
      </c>
      <c r="AD6" s="65" t="s">
        <v>1337</v>
      </c>
      <c r="AE6" s="65" t="s">
        <v>1338</v>
      </c>
      <c r="AF6" s="65" t="s">
        <v>1339</v>
      </c>
      <c r="AG6" s="65" t="e">
        <f t="shared" si="0"/>
        <v>#REF!</v>
      </c>
      <c r="AH6" s="65"/>
      <c r="AI6" s="65" t="s">
        <v>1340</v>
      </c>
      <c r="AJ6" s="65" t="s">
        <v>1340</v>
      </c>
      <c r="AK6" s="70" t="s">
        <v>1341</v>
      </c>
      <c r="AL6" s="2" t="s">
        <v>1342</v>
      </c>
      <c r="AM6" s="2" t="s">
        <v>1343</v>
      </c>
      <c r="AN6" s="62" t="s">
        <v>1344</v>
      </c>
      <c r="AO6" s="62" t="s">
        <v>1345</v>
      </c>
      <c r="AP6" s="65"/>
      <c r="AQ6" s="65"/>
      <c r="AR6" s="65"/>
      <c r="AS6" s="65" t="s">
        <v>1346</v>
      </c>
      <c r="AT6" s="71" t="str">
        <f t="shared" si="5"/>
        <v>EG02053-UK1</v>
      </c>
      <c r="AU6" s="65" t="s">
        <v>980</v>
      </c>
      <c r="AV6" s="65" t="s">
        <v>1347</v>
      </c>
      <c r="AW6" s="65" t="s">
        <v>830</v>
      </c>
      <c r="AX6" s="2" t="s">
        <v>1348</v>
      </c>
      <c r="AY6" s="65" t="s">
        <v>1349</v>
      </c>
      <c r="AZ6" s="65"/>
      <c r="BA6" s="3" t="s">
        <v>1350</v>
      </c>
      <c r="BB6" s="72" t="str">
        <f t="shared" si="1"/>
        <v>EG02053AL08-UK1</v>
      </c>
      <c r="BC6" s="72" t="str">
        <f t="shared" si="2"/>
        <v>EG02053AL08-UK1</v>
      </c>
      <c r="BD6" s="72" t="str">
        <f t="shared" si="3"/>
        <v>EG02053AL08-UK1</v>
      </c>
      <c r="BE6" s="65"/>
      <c r="BF6" s="65"/>
      <c r="BG6" s="65"/>
      <c r="BH6" s="65"/>
      <c r="BI6" s="65"/>
      <c r="BJ6" s="65"/>
      <c r="BK6" s="65"/>
      <c r="BL6" s="64" t="s">
        <v>1351</v>
      </c>
      <c r="BM6" s="65"/>
      <c r="BN6" s="73" t="s">
        <v>1352</v>
      </c>
      <c r="BO6" s="73" t="s">
        <v>1353</v>
      </c>
      <c r="BP6" s="64" t="s">
        <v>1354</v>
      </c>
      <c r="BQ6" s="2" t="s">
        <v>1355</v>
      </c>
      <c r="BR6" s="74" t="s">
        <v>1356</v>
      </c>
      <c r="BS6" s="65"/>
      <c r="BT6" s="65"/>
      <c r="BU6" s="65"/>
      <c r="BV6" s="65"/>
      <c r="BW6" s="65"/>
      <c r="BX6" s="65"/>
      <c r="BY6" s="65"/>
      <c r="BZ6" s="65"/>
      <c r="CA6" s="65"/>
      <c r="CB6" s="65"/>
      <c r="CC6" s="65"/>
      <c r="CD6" s="65"/>
      <c r="CE6" s="65"/>
      <c r="CF6" s="62" t="s">
        <v>1357</v>
      </c>
      <c r="CG6" s="81"/>
      <c r="CH6" s="65"/>
      <c r="CI6" s="81"/>
      <c r="CJ6" s="81"/>
      <c r="CK6" s="65"/>
      <c r="CL6" s="65"/>
      <c r="CM6" s="81"/>
      <c r="CN6" s="65"/>
      <c r="CO6" s="77">
        <v>13</v>
      </c>
      <c r="CP6" s="77">
        <v>9</v>
      </c>
      <c r="CQ6" s="77">
        <v>1</v>
      </c>
      <c r="CR6" s="77">
        <v>360</v>
      </c>
      <c r="CS6" s="77" t="s">
        <v>1358</v>
      </c>
      <c r="CT6" s="77" t="s">
        <v>1359</v>
      </c>
      <c r="CU6" s="65"/>
      <c r="CV6" s="65"/>
      <c r="CW6" s="65"/>
      <c r="CX6" s="65"/>
      <c r="CY6" s="65"/>
      <c r="CZ6" s="65" t="s">
        <v>612</v>
      </c>
      <c r="DA6" s="65" t="s">
        <v>612</v>
      </c>
      <c r="DB6" s="65"/>
      <c r="DC6" s="65"/>
      <c r="DD6" s="65"/>
      <c r="DE6" s="65"/>
      <c r="DF6" s="68"/>
      <c r="DG6" s="68"/>
      <c r="DH6" s="68"/>
      <c r="DI6" s="81"/>
      <c r="DJ6" s="65"/>
      <c r="DK6" s="68"/>
      <c r="DL6" s="68"/>
      <c r="DM6" s="65"/>
      <c r="DN6" s="81"/>
      <c r="DO6" s="65"/>
      <c r="DP6" s="81"/>
      <c r="DQ6" s="65"/>
      <c r="DR6" s="65"/>
      <c r="DS6" s="65"/>
      <c r="DT6" s="65"/>
      <c r="DU6" s="65"/>
      <c r="DV6" s="65"/>
      <c r="DW6" s="65"/>
      <c r="DX6" s="65"/>
      <c r="DY6" s="81"/>
      <c r="DZ6" s="65"/>
      <c r="EA6" s="81"/>
      <c r="EB6" s="65"/>
      <c r="EC6" s="81"/>
      <c r="ED6" s="65"/>
      <c r="EE6" s="65"/>
      <c r="EF6" s="65"/>
      <c r="EG6" s="65" t="s">
        <v>610</v>
      </c>
      <c r="EH6" s="65"/>
      <c r="EI6" s="65" t="s">
        <v>1360</v>
      </c>
      <c r="EJ6" s="68"/>
      <c r="EK6" s="81"/>
      <c r="EL6" s="80"/>
      <c r="EM6" s="80"/>
      <c r="EN6" s="68"/>
      <c r="EO6" s="68"/>
      <c r="EP6" s="68"/>
      <c r="EQ6" s="65"/>
      <c r="ER6" s="65"/>
      <c r="ES6" s="65"/>
      <c r="ET6" s="82"/>
      <c r="EU6" s="80"/>
      <c r="EV6" s="65"/>
      <c r="EW6" s="80"/>
      <c r="EX6" s="81"/>
      <c r="EY6" s="65"/>
      <c r="EZ6" s="68"/>
      <c r="FA6" s="80"/>
      <c r="FB6" s="68"/>
      <c r="FC6" s="65"/>
      <c r="FD6" s="80"/>
      <c r="FE6" s="65"/>
      <c r="FF6" s="65"/>
      <c r="FG6" s="65"/>
      <c r="FH6" s="65"/>
      <c r="FI6" s="68"/>
      <c r="FJ6" s="8">
        <v>65.99</v>
      </c>
      <c r="FK6" s="65"/>
      <c r="FL6" s="68"/>
      <c r="FM6" s="81"/>
      <c r="FN6" s="68"/>
      <c r="FO6" s="81"/>
      <c r="FP6" s="68"/>
      <c r="FQ6" s="81"/>
      <c r="FR6" s="68"/>
      <c r="FS6" s="81"/>
      <c r="FT6" s="68"/>
      <c r="FU6" s="81"/>
      <c r="FV6" s="65"/>
      <c r="FW6" s="68"/>
      <c r="FX6" s="81"/>
      <c r="FY6" s="68"/>
      <c r="FZ6" s="81"/>
      <c r="GA6" s="68"/>
      <c r="GB6" s="81"/>
      <c r="GC6" s="65"/>
      <c r="GD6" s="65"/>
      <c r="GE6" s="65"/>
    </row>
    <row r="7" s="3" customFormat="1" ht="15" customHeight="1" spans="1:187">
      <c r="A7" s="65" t="s">
        <v>1321</v>
      </c>
      <c r="B7" s="63" t="s">
        <v>1363</v>
      </c>
      <c r="C7" s="65" t="s">
        <v>1323</v>
      </c>
      <c r="D7" s="65"/>
      <c r="E7" s="65"/>
      <c r="F7" s="64" t="e">
        <f t="shared" si="4"/>
        <v>#REF!</v>
      </c>
      <c r="G7" s="65" t="s">
        <v>1324</v>
      </c>
      <c r="H7" s="3" t="s">
        <v>1325</v>
      </c>
      <c r="I7" s="3" t="s">
        <v>1326</v>
      </c>
      <c r="J7" s="65" t="e">
        <f>VLOOKUP(MID($B7,10,2),#REF!,2,0)</f>
        <v>#REF!</v>
      </c>
      <c r="K7" s="65"/>
      <c r="L7" s="62" t="s">
        <v>1327</v>
      </c>
      <c r="M7" s="62" t="s">
        <v>1328</v>
      </c>
      <c r="N7" s="62" t="s">
        <v>1329</v>
      </c>
      <c r="O7" s="62" t="s">
        <v>1330</v>
      </c>
      <c r="P7" s="62" t="s">
        <v>1331</v>
      </c>
      <c r="Q7" s="80"/>
      <c r="R7" s="65" t="e">
        <f>VLOOKUP(MID($B7,10,2),#REF!,3,0)</f>
        <v>#REF!</v>
      </c>
      <c r="S7" s="62" t="s">
        <v>1332</v>
      </c>
      <c r="T7" s="65" t="s">
        <v>612</v>
      </c>
      <c r="U7" s="65" t="s">
        <v>1333</v>
      </c>
      <c r="V7" s="64" t="s">
        <v>1334</v>
      </c>
      <c r="W7" s="65"/>
      <c r="X7" s="65"/>
      <c r="Y7" s="65"/>
      <c r="Z7" s="67">
        <v>55.99</v>
      </c>
      <c r="AA7" s="68">
        <v>2</v>
      </c>
      <c r="AB7" s="69" t="s">
        <v>1335</v>
      </c>
      <c r="AC7" s="65" t="s">
        <v>1336</v>
      </c>
      <c r="AD7" s="65" t="s">
        <v>1337</v>
      </c>
      <c r="AE7" s="65" t="s">
        <v>1338</v>
      </c>
      <c r="AF7" s="65" t="s">
        <v>1339</v>
      </c>
      <c r="AG7" s="65" t="e">
        <f t="shared" si="0"/>
        <v>#REF!</v>
      </c>
      <c r="AH7" s="65"/>
      <c r="AI7" s="65" t="s">
        <v>1340</v>
      </c>
      <c r="AJ7" s="65" t="s">
        <v>1340</v>
      </c>
      <c r="AK7" s="70" t="s">
        <v>1341</v>
      </c>
      <c r="AL7" s="2" t="s">
        <v>1342</v>
      </c>
      <c r="AM7" s="2" t="s">
        <v>1343</v>
      </c>
      <c r="AN7" s="62" t="s">
        <v>1344</v>
      </c>
      <c r="AO7" s="62" t="s">
        <v>1345</v>
      </c>
      <c r="AP7" s="65"/>
      <c r="AQ7" s="65"/>
      <c r="AR7" s="65"/>
      <c r="AS7" s="65" t="s">
        <v>1346</v>
      </c>
      <c r="AT7" s="71" t="str">
        <f t="shared" si="5"/>
        <v>EG02053-UK1</v>
      </c>
      <c r="AU7" s="65" t="s">
        <v>980</v>
      </c>
      <c r="AV7" s="65" t="s">
        <v>1347</v>
      </c>
      <c r="AW7" s="65" t="s">
        <v>830</v>
      </c>
      <c r="AX7" s="2" t="s">
        <v>1348</v>
      </c>
      <c r="AY7" s="65" t="s">
        <v>1349</v>
      </c>
      <c r="AZ7" s="65"/>
      <c r="BA7" s="3" t="s">
        <v>1350</v>
      </c>
      <c r="BB7" s="72" t="str">
        <f t="shared" si="1"/>
        <v>EG02053AL10-UK1</v>
      </c>
      <c r="BC7" s="72" t="str">
        <f t="shared" si="2"/>
        <v>EG02053AL10-UK1</v>
      </c>
      <c r="BD7" s="72" t="str">
        <f t="shared" si="3"/>
        <v>EG02053AL10-UK1</v>
      </c>
      <c r="BE7" s="65"/>
      <c r="BF7" s="65"/>
      <c r="BG7" s="65"/>
      <c r="BH7" s="65"/>
      <c r="BI7" s="65"/>
      <c r="BJ7" s="65"/>
      <c r="BK7" s="65"/>
      <c r="BL7" s="64" t="s">
        <v>1351</v>
      </c>
      <c r="BM7" s="65"/>
      <c r="BN7" s="73" t="s">
        <v>1352</v>
      </c>
      <c r="BO7" s="73" t="s">
        <v>1353</v>
      </c>
      <c r="BP7" s="64" t="s">
        <v>1354</v>
      </c>
      <c r="BQ7" s="2" t="s">
        <v>1355</v>
      </c>
      <c r="BR7" s="74" t="s">
        <v>1356</v>
      </c>
      <c r="BS7" s="65"/>
      <c r="BT7" s="65"/>
      <c r="BU7" s="65"/>
      <c r="BV7" s="65"/>
      <c r="BW7" s="65"/>
      <c r="BX7" s="65"/>
      <c r="BY7" s="65"/>
      <c r="BZ7" s="65"/>
      <c r="CA7" s="65"/>
      <c r="CB7" s="65"/>
      <c r="CC7" s="65"/>
      <c r="CD7" s="65"/>
      <c r="CE7" s="65"/>
      <c r="CF7" s="62" t="s">
        <v>1357</v>
      </c>
      <c r="CG7" s="81"/>
      <c r="CH7" s="65"/>
      <c r="CI7" s="81"/>
      <c r="CJ7" s="81"/>
      <c r="CK7" s="65"/>
      <c r="CL7" s="65"/>
      <c r="CM7" s="81"/>
      <c r="CN7" s="65"/>
      <c r="CO7" s="77">
        <v>13</v>
      </c>
      <c r="CP7" s="77">
        <v>9</v>
      </c>
      <c r="CQ7" s="77">
        <v>1</v>
      </c>
      <c r="CR7" s="77">
        <v>360</v>
      </c>
      <c r="CS7" s="77" t="s">
        <v>1358</v>
      </c>
      <c r="CT7" s="77" t="s">
        <v>1359</v>
      </c>
      <c r="CU7" s="65"/>
      <c r="CV7" s="65"/>
      <c r="CW7" s="65"/>
      <c r="CX7" s="65"/>
      <c r="CY7" s="65"/>
      <c r="CZ7" s="65" t="s">
        <v>612</v>
      </c>
      <c r="DA7" s="65" t="s">
        <v>612</v>
      </c>
      <c r="DB7" s="65"/>
      <c r="DC7" s="65"/>
      <c r="DD7" s="65"/>
      <c r="DE7" s="65"/>
      <c r="DF7" s="68"/>
      <c r="DG7" s="68"/>
      <c r="DH7" s="68"/>
      <c r="DI7" s="81"/>
      <c r="DJ7" s="65"/>
      <c r="DK7" s="68"/>
      <c r="DL7" s="68"/>
      <c r="DM7" s="65"/>
      <c r="DN7" s="81"/>
      <c r="DO7" s="65"/>
      <c r="DP7" s="81"/>
      <c r="DQ7" s="65"/>
      <c r="DR7" s="65"/>
      <c r="DS7" s="65"/>
      <c r="DT7" s="65"/>
      <c r="DU7" s="65"/>
      <c r="DV7" s="65"/>
      <c r="DW7" s="65"/>
      <c r="DX7" s="65"/>
      <c r="DY7" s="81"/>
      <c r="DZ7" s="65"/>
      <c r="EA7" s="81"/>
      <c r="EB7" s="65"/>
      <c r="EC7" s="81"/>
      <c r="ED7" s="65"/>
      <c r="EE7" s="65"/>
      <c r="EF7" s="65"/>
      <c r="EG7" s="65" t="s">
        <v>610</v>
      </c>
      <c r="EH7" s="65"/>
      <c r="EI7" s="65" t="s">
        <v>1360</v>
      </c>
      <c r="EJ7" s="68"/>
      <c r="EK7" s="81"/>
      <c r="EL7" s="80"/>
      <c r="EM7" s="80"/>
      <c r="EN7" s="68"/>
      <c r="EO7" s="68"/>
      <c r="EP7" s="68"/>
      <c r="EQ7" s="65"/>
      <c r="ER7" s="65"/>
      <c r="ES7" s="65"/>
      <c r="ET7" s="82"/>
      <c r="EU7" s="80"/>
      <c r="EV7" s="65"/>
      <c r="EW7" s="80"/>
      <c r="EX7" s="81"/>
      <c r="EY7" s="65"/>
      <c r="EZ7" s="68"/>
      <c r="FA7" s="80"/>
      <c r="FB7" s="68"/>
      <c r="FC7" s="65"/>
      <c r="FD7" s="80"/>
      <c r="FE7" s="65"/>
      <c r="FF7" s="65"/>
      <c r="FG7" s="65"/>
      <c r="FH7" s="65"/>
      <c r="FI7" s="68"/>
      <c r="FJ7" s="8">
        <v>65.99</v>
      </c>
      <c r="FK7" s="65"/>
      <c r="FL7" s="68"/>
      <c r="FM7" s="81"/>
      <c r="FN7" s="68"/>
      <c r="FO7" s="81"/>
      <c r="FP7" s="68"/>
      <c r="FQ7" s="81"/>
      <c r="FR7" s="68"/>
      <c r="FS7" s="81"/>
      <c r="FT7" s="68"/>
      <c r="FU7" s="81"/>
      <c r="FV7" s="65"/>
      <c r="FW7" s="68"/>
      <c r="FX7" s="81"/>
      <c r="FY7" s="68"/>
      <c r="FZ7" s="81"/>
      <c r="GA7" s="68"/>
      <c r="GB7" s="81"/>
      <c r="GC7" s="65"/>
      <c r="GD7" s="65"/>
      <c r="GE7" s="65"/>
    </row>
    <row r="8" spans="1:187">
      <c r="A8" s="65" t="s">
        <v>1321</v>
      </c>
      <c r="B8" s="63" t="s">
        <v>1364</v>
      </c>
      <c r="C8" s="65" t="s">
        <v>1323</v>
      </c>
      <c r="F8" s="64" t="e">
        <f t="shared" si="4"/>
        <v>#REF!</v>
      </c>
      <c r="G8" s="65" t="s">
        <v>1324</v>
      </c>
      <c r="H8" s="3" t="s">
        <v>1325</v>
      </c>
      <c r="I8" s="3" t="s">
        <v>1326</v>
      </c>
      <c r="J8" s="65" t="e">
        <f>VLOOKUP(MID($B8,10,2),#REF!,2,0)</f>
        <v>#REF!</v>
      </c>
      <c r="L8" s="62" t="s">
        <v>1327</v>
      </c>
      <c r="M8" s="62" t="s">
        <v>1328</v>
      </c>
      <c r="N8" s="62" t="s">
        <v>1329</v>
      </c>
      <c r="O8" s="62" t="s">
        <v>1330</v>
      </c>
      <c r="P8" s="62" t="s">
        <v>1331</v>
      </c>
      <c r="R8" s="65" t="e">
        <f>VLOOKUP(MID($B8,10,2),#REF!,3,0)</f>
        <v>#REF!</v>
      </c>
      <c r="S8" s="62" t="s">
        <v>1332</v>
      </c>
      <c r="T8" s="65" t="s">
        <v>612</v>
      </c>
      <c r="U8" s="65" t="s">
        <v>1333</v>
      </c>
      <c r="V8" s="64" t="s">
        <v>1334</v>
      </c>
      <c r="Z8" s="67">
        <v>55.99</v>
      </c>
      <c r="AA8" s="68">
        <v>2</v>
      </c>
      <c r="AB8" s="69" t="s">
        <v>1335</v>
      </c>
      <c r="AC8" s="65" t="s">
        <v>1336</v>
      </c>
      <c r="AD8" s="65" t="s">
        <v>1337</v>
      </c>
      <c r="AE8" s="65" t="s">
        <v>1338</v>
      </c>
      <c r="AF8" s="65" t="s">
        <v>1339</v>
      </c>
      <c r="AG8" s="65" t="e">
        <f t="shared" si="0"/>
        <v>#REF!</v>
      </c>
      <c r="AI8" s="65" t="s">
        <v>1340</v>
      </c>
      <c r="AJ8" s="65" t="s">
        <v>1340</v>
      </c>
      <c r="AK8" s="70" t="s">
        <v>1341</v>
      </c>
      <c r="AL8" s="2" t="s">
        <v>1342</v>
      </c>
      <c r="AM8" s="2" t="s">
        <v>1343</v>
      </c>
      <c r="AN8" s="62" t="s">
        <v>1344</v>
      </c>
      <c r="AO8" s="62" t="s">
        <v>1345</v>
      </c>
      <c r="AS8" s="65" t="s">
        <v>1346</v>
      </c>
      <c r="AT8" s="71" t="str">
        <f t="shared" si="5"/>
        <v>EG02053-UK1</v>
      </c>
      <c r="AU8" s="65" t="s">
        <v>980</v>
      </c>
      <c r="AV8" s="65" t="s">
        <v>1347</v>
      </c>
      <c r="AW8" s="65" t="s">
        <v>830</v>
      </c>
      <c r="AX8" s="2" t="s">
        <v>1348</v>
      </c>
      <c r="AY8" s="65" t="s">
        <v>1349</v>
      </c>
      <c r="BA8" s="3" t="s">
        <v>1350</v>
      </c>
      <c r="BB8" s="72" t="str">
        <f t="shared" si="1"/>
        <v>EG02053AL12-UK1</v>
      </c>
      <c r="BC8" s="72" t="str">
        <f t="shared" si="2"/>
        <v>EG02053AL12-UK1</v>
      </c>
      <c r="BD8" s="72" t="str">
        <f t="shared" si="3"/>
        <v>EG02053AL12-UK1</v>
      </c>
      <c r="BL8" s="64" t="s">
        <v>1351</v>
      </c>
      <c r="BM8" s="65"/>
      <c r="BN8" s="73" t="s">
        <v>1352</v>
      </c>
      <c r="BO8" s="73" t="s">
        <v>1353</v>
      </c>
      <c r="BP8" s="64" t="s">
        <v>1354</v>
      </c>
      <c r="BQ8" s="2" t="s">
        <v>1355</v>
      </c>
      <c r="BR8" s="74" t="s">
        <v>1356</v>
      </c>
      <c r="CF8" s="62" t="s">
        <v>1357</v>
      </c>
      <c r="CO8" s="77">
        <v>13</v>
      </c>
      <c r="CP8" s="77">
        <v>9</v>
      </c>
      <c r="CQ8" s="77">
        <v>1</v>
      </c>
      <c r="CR8" s="77">
        <v>360</v>
      </c>
      <c r="CS8" s="77" t="s">
        <v>1358</v>
      </c>
      <c r="CT8" s="77" t="s">
        <v>1359</v>
      </c>
      <c r="CZ8" s="65" t="s">
        <v>612</v>
      </c>
      <c r="DA8" s="65" t="s">
        <v>612</v>
      </c>
      <c r="EG8" s="65" t="s">
        <v>610</v>
      </c>
      <c r="EH8" s="65"/>
      <c r="EI8" s="65" t="s">
        <v>1360</v>
      </c>
      <c r="FJ8" s="8">
        <v>65.99</v>
      </c>
    </row>
    <row r="9" spans="1:187">
      <c r="A9" s="65" t="s">
        <v>1321</v>
      </c>
      <c r="B9" s="63" t="s">
        <v>1365</v>
      </c>
      <c r="C9" s="65" t="s">
        <v>1323</v>
      </c>
      <c r="F9" s="64" t="e">
        <f t="shared" si="4"/>
        <v>#REF!</v>
      </c>
      <c r="G9" s="65" t="s">
        <v>1324</v>
      </c>
      <c r="H9" s="3" t="s">
        <v>1325</v>
      </c>
      <c r="I9" s="3" t="s">
        <v>1326</v>
      </c>
      <c r="J9" s="65" t="e">
        <f>VLOOKUP(MID($B9,10,2),#REF!,2,0)</f>
        <v>#REF!</v>
      </c>
      <c r="L9" s="62" t="s">
        <v>1327</v>
      </c>
      <c r="M9" s="62" t="s">
        <v>1328</v>
      </c>
      <c r="N9" s="62" t="s">
        <v>1329</v>
      </c>
      <c r="O9" s="62" t="s">
        <v>1330</v>
      </c>
      <c r="P9" s="62" t="s">
        <v>1331</v>
      </c>
      <c r="R9" s="65" t="e">
        <f>VLOOKUP(MID($B9,10,2),#REF!,3,0)</f>
        <v>#REF!</v>
      </c>
      <c r="S9" s="62" t="s">
        <v>1332</v>
      </c>
      <c r="T9" s="65" t="s">
        <v>612</v>
      </c>
      <c r="U9" s="65" t="s">
        <v>1333</v>
      </c>
      <c r="V9" s="64" t="s">
        <v>1334</v>
      </c>
      <c r="Z9" s="67">
        <v>55.99</v>
      </c>
      <c r="AA9" s="68">
        <v>2</v>
      </c>
      <c r="AB9" s="69" t="s">
        <v>1335</v>
      </c>
      <c r="AC9" s="65" t="s">
        <v>1336</v>
      </c>
      <c r="AD9" s="65" t="s">
        <v>1337</v>
      </c>
      <c r="AE9" s="65" t="s">
        <v>1338</v>
      </c>
      <c r="AF9" s="65" t="s">
        <v>1339</v>
      </c>
      <c r="AG9" s="65" t="e">
        <f t="shared" si="0"/>
        <v>#REF!</v>
      </c>
      <c r="AI9" s="65" t="s">
        <v>1340</v>
      </c>
      <c r="AJ9" s="65" t="s">
        <v>1340</v>
      </c>
      <c r="AK9" s="70" t="s">
        <v>1341</v>
      </c>
      <c r="AL9" s="2" t="s">
        <v>1342</v>
      </c>
      <c r="AM9" s="2" t="s">
        <v>1343</v>
      </c>
      <c r="AN9" s="62" t="s">
        <v>1344</v>
      </c>
      <c r="AO9" s="62" t="s">
        <v>1345</v>
      </c>
      <c r="AS9" s="65" t="s">
        <v>1346</v>
      </c>
      <c r="AT9" s="71" t="str">
        <f t="shared" si="5"/>
        <v>EG02053-UK1</v>
      </c>
      <c r="AU9" s="65" t="s">
        <v>980</v>
      </c>
      <c r="AV9" s="65" t="s">
        <v>1347</v>
      </c>
      <c r="AW9" s="65" t="s">
        <v>830</v>
      </c>
      <c r="AX9" s="2" t="s">
        <v>1348</v>
      </c>
      <c r="AY9" s="65" t="s">
        <v>1349</v>
      </c>
      <c r="BA9" s="3" t="s">
        <v>1350</v>
      </c>
      <c r="BB9" s="72" t="str">
        <f t="shared" si="1"/>
        <v>EG02053AL14-UK1</v>
      </c>
      <c r="BC9" s="72" t="str">
        <f t="shared" si="2"/>
        <v>EG02053AL14-UK1</v>
      </c>
      <c r="BD9" s="72" t="str">
        <f t="shared" si="3"/>
        <v>EG02053AL14-UK1</v>
      </c>
      <c r="BL9" s="64" t="s">
        <v>1351</v>
      </c>
      <c r="BM9" s="65"/>
      <c r="BN9" s="73" t="s">
        <v>1352</v>
      </c>
      <c r="BO9" s="73" t="s">
        <v>1353</v>
      </c>
      <c r="BP9" s="64" t="s">
        <v>1354</v>
      </c>
      <c r="BQ9" s="2" t="s">
        <v>1355</v>
      </c>
      <c r="BR9" s="74" t="s">
        <v>1356</v>
      </c>
      <c r="CF9" s="62" t="s">
        <v>1357</v>
      </c>
      <c r="CO9" s="77">
        <v>13</v>
      </c>
      <c r="CP9" s="77">
        <v>9</v>
      </c>
      <c r="CQ9" s="77">
        <v>1</v>
      </c>
      <c r="CR9" s="77">
        <v>360</v>
      </c>
      <c r="CS9" s="77" t="s">
        <v>1358</v>
      </c>
      <c r="CT9" s="77" t="s">
        <v>1359</v>
      </c>
      <c r="CZ9" s="65" t="s">
        <v>612</v>
      </c>
      <c r="DA9" s="65" t="s">
        <v>612</v>
      </c>
      <c r="EG9" s="65" t="s">
        <v>610</v>
      </c>
      <c r="EH9" s="65"/>
      <c r="EI9" s="65" t="s">
        <v>1360</v>
      </c>
      <c r="FJ9" s="8">
        <v>65.99</v>
      </c>
    </row>
    <row r="10" spans="1:187">
      <c r="A10" s="65" t="s">
        <v>1321</v>
      </c>
      <c r="B10" s="63" t="s">
        <v>1366</v>
      </c>
      <c r="C10" s="65" t="s">
        <v>1323</v>
      </c>
      <c r="F10" s="64" t="e">
        <f t="shared" si="4"/>
        <v>#REF!</v>
      </c>
      <c r="G10" s="65" t="s">
        <v>1324</v>
      </c>
      <c r="H10" s="3" t="s">
        <v>1325</v>
      </c>
      <c r="I10" s="3" t="s">
        <v>1326</v>
      </c>
      <c r="J10" s="65" t="e">
        <f>VLOOKUP(MID($B10,10,2),#REF!,2,0)</f>
        <v>#REF!</v>
      </c>
      <c r="L10" s="62" t="s">
        <v>1327</v>
      </c>
      <c r="M10" s="62" t="s">
        <v>1328</v>
      </c>
      <c r="N10" s="62" t="s">
        <v>1329</v>
      </c>
      <c r="O10" s="62" t="s">
        <v>1330</v>
      </c>
      <c r="P10" s="62" t="s">
        <v>1331</v>
      </c>
      <c r="R10" s="65" t="e">
        <f>VLOOKUP(MID($B10,10,2),#REF!,3,0)</f>
        <v>#REF!</v>
      </c>
      <c r="S10" s="62" t="s">
        <v>1332</v>
      </c>
      <c r="T10" s="65" t="s">
        <v>612</v>
      </c>
      <c r="U10" s="65" t="s">
        <v>1333</v>
      </c>
      <c r="V10" s="64" t="s">
        <v>1334</v>
      </c>
      <c r="Z10" s="67">
        <v>55.99</v>
      </c>
      <c r="AA10" s="68">
        <v>2</v>
      </c>
      <c r="AB10" s="69" t="s">
        <v>1335</v>
      </c>
      <c r="AC10" s="65" t="s">
        <v>1336</v>
      </c>
      <c r="AD10" s="65" t="s">
        <v>1337</v>
      </c>
      <c r="AE10" s="65" t="s">
        <v>1338</v>
      </c>
      <c r="AF10" s="65" t="s">
        <v>1339</v>
      </c>
      <c r="AG10" s="65" t="e">
        <f t="shared" si="0"/>
        <v>#REF!</v>
      </c>
      <c r="AI10" s="65" t="s">
        <v>1340</v>
      </c>
      <c r="AJ10" s="65" t="s">
        <v>1340</v>
      </c>
      <c r="AK10" s="70" t="s">
        <v>1341</v>
      </c>
      <c r="AL10" s="2" t="s">
        <v>1342</v>
      </c>
      <c r="AM10" s="2" t="s">
        <v>1343</v>
      </c>
      <c r="AN10" s="62" t="s">
        <v>1344</v>
      </c>
      <c r="AO10" s="62" t="s">
        <v>1345</v>
      </c>
      <c r="AS10" s="65" t="s">
        <v>1346</v>
      </c>
      <c r="AT10" s="71" t="str">
        <f t="shared" si="5"/>
        <v>EG02053-UK1</v>
      </c>
      <c r="AU10" s="65" t="s">
        <v>980</v>
      </c>
      <c r="AV10" s="65" t="s">
        <v>1347</v>
      </c>
      <c r="AW10" s="65" t="s">
        <v>830</v>
      </c>
      <c r="AX10" s="2" t="s">
        <v>1348</v>
      </c>
      <c r="AY10" s="65" t="s">
        <v>1349</v>
      </c>
      <c r="BA10" s="3" t="s">
        <v>1350</v>
      </c>
      <c r="BB10" s="72" t="str">
        <f t="shared" si="1"/>
        <v>EG02053AL16-UK1</v>
      </c>
      <c r="BC10" s="72" t="str">
        <f t="shared" si="2"/>
        <v>EG02053AL16-UK1</v>
      </c>
      <c r="BD10" s="72" t="str">
        <f t="shared" si="3"/>
        <v>EG02053AL16-UK1</v>
      </c>
      <c r="BL10" s="64" t="s">
        <v>1351</v>
      </c>
      <c r="BM10" s="65"/>
      <c r="BN10" s="73" t="s">
        <v>1352</v>
      </c>
      <c r="BO10" s="73" t="s">
        <v>1353</v>
      </c>
      <c r="BP10" s="64" t="s">
        <v>1354</v>
      </c>
      <c r="BQ10" s="2" t="s">
        <v>1355</v>
      </c>
      <c r="BR10" s="74" t="s">
        <v>1356</v>
      </c>
      <c r="CF10" s="62" t="s">
        <v>1357</v>
      </c>
      <c r="CO10" s="77">
        <v>13</v>
      </c>
      <c r="CP10" s="77">
        <v>9</v>
      </c>
      <c r="CQ10" s="77">
        <v>1</v>
      </c>
      <c r="CR10" s="77">
        <v>360</v>
      </c>
      <c r="CS10" s="77" t="s">
        <v>1358</v>
      </c>
      <c r="CT10" s="77" t="s">
        <v>1359</v>
      </c>
      <c r="CZ10" s="65" t="s">
        <v>612</v>
      </c>
      <c r="DA10" s="65" t="s">
        <v>612</v>
      </c>
      <c r="EG10" s="65" t="s">
        <v>610</v>
      </c>
      <c r="EH10" s="65"/>
      <c r="EI10" s="65" t="s">
        <v>1360</v>
      </c>
      <c r="FJ10" s="8">
        <v>65.99</v>
      </c>
    </row>
    <row r="11" spans="1:187">
      <c r="A11" s="65" t="s">
        <v>1321</v>
      </c>
      <c r="B11" s="83" t="s">
        <v>1367</v>
      </c>
      <c r="C11" s="65" t="s">
        <v>1323</v>
      </c>
      <c r="F11" s="64" t="e">
        <f t="shared" si="4"/>
        <v>#REF!</v>
      </c>
      <c r="G11" s="65" t="s">
        <v>1324</v>
      </c>
      <c r="H11" s="3" t="s">
        <v>1325</v>
      </c>
      <c r="I11" s="3" t="s">
        <v>1326</v>
      </c>
      <c r="J11" s="65" t="e">
        <f>VLOOKUP(MID($B11,10,2),#REF!,2,0)</f>
        <v>#REF!</v>
      </c>
      <c r="L11" s="62" t="s">
        <v>1327</v>
      </c>
      <c r="M11" s="62" t="s">
        <v>1328</v>
      </c>
      <c r="N11" s="62" t="s">
        <v>1329</v>
      </c>
      <c r="O11" s="62" t="s">
        <v>1330</v>
      </c>
      <c r="P11" s="62" t="s">
        <v>1331</v>
      </c>
      <c r="R11" s="65" t="e">
        <f>VLOOKUP(MID($B11,10,2),#REF!,3,0)</f>
        <v>#REF!</v>
      </c>
      <c r="S11" s="62" t="s">
        <v>1332</v>
      </c>
      <c r="T11" s="65" t="s">
        <v>612</v>
      </c>
      <c r="U11" s="65" t="s">
        <v>1333</v>
      </c>
      <c r="V11" s="64" t="s">
        <v>1334</v>
      </c>
      <c r="Z11" s="67">
        <v>55.99</v>
      </c>
      <c r="AA11" s="68">
        <v>2</v>
      </c>
      <c r="AB11" s="69" t="s">
        <v>1335</v>
      </c>
      <c r="AC11" s="65" t="s">
        <v>1336</v>
      </c>
      <c r="AD11" s="65" t="s">
        <v>1337</v>
      </c>
      <c r="AE11" s="65" t="s">
        <v>1338</v>
      </c>
      <c r="AF11" s="65" t="s">
        <v>1339</v>
      </c>
      <c r="AG11" s="65" t="e">
        <f t="shared" si="0"/>
        <v>#REF!</v>
      </c>
      <c r="AI11" s="65" t="s">
        <v>1340</v>
      </c>
      <c r="AJ11" s="65" t="s">
        <v>1340</v>
      </c>
      <c r="AK11" s="70" t="s">
        <v>1341</v>
      </c>
      <c r="AL11" s="2" t="s">
        <v>1342</v>
      </c>
      <c r="AM11" s="2" t="s">
        <v>1343</v>
      </c>
      <c r="AN11" s="62" t="s">
        <v>1344</v>
      </c>
      <c r="AO11" s="62" t="s">
        <v>1345</v>
      </c>
      <c r="AS11" s="65" t="s">
        <v>1346</v>
      </c>
      <c r="AT11" s="71" t="str">
        <f t="shared" si="5"/>
        <v>EG02053-UK1</v>
      </c>
      <c r="AU11" s="65" t="s">
        <v>980</v>
      </c>
      <c r="AV11" s="65" t="s">
        <v>1347</v>
      </c>
      <c r="AW11" s="65" t="s">
        <v>830</v>
      </c>
      <c r="AX11" s="2" t="s">
        <v>1348</v>
      </c>
      <c r="AY11" s="65" t="s">
        <v>1349</v>
      </c>
      <c r="BA11" s="3" t="s">
        <v>1350</v>
      </c>
      <c r="BB11" s="72" t="str">
        <f t="shared" si="1"/>
        <v>EG02053AL18-UK1</v>
      </c>
      <c r="BC11" s="72" t="str">
        <f t="shared" si="2"/>
        <v>EG02053AL18-UK1</v>
      </c>
      <c r="BD11" s="72" t="str">
        <f t="shared" si="3"/>
        <v>EG02053AL18-UK1</v>
      </c>
      <c r="BL11" s="64" t="s">
        <v>1351</v>
      </c>
      <c r="BN11" s="73" t="s">
        <v>1352</v>
      </c>
      <c r="BO11" s="73" t="s">
        <v>1353</v>
      </c>
      <c r="BP11" s="64" t="s">
        <v>1354</v>
      </c>
      <c r="BQ11" s="2" t="s">
        <v>1355</v>
      </c>
      <c r="BR11" s="74" t="s">
        <v>1356</v>
      </c>
      <c r="CF11" s="62" t="s">
        <v>1357</v>
      </c>
      <c r="CO11" s="77">
        <v>13</v>
      </c>
      <c r="CP11" s="77">
        <v>9</v>
      </c>
      <c r="CQ11" s="77">
        <v>1</v>
      </c>
      <c r="CR11" s="77">
        <v>360</v>
      </c>
      <c r="CS11" s="77" t="s">
        <v>1358</v>
      </c>
      <c r="CT11" s="77" t="s">
        <v>1359</v>
      </c>
      <c r="CZ11" s="65" t="s">
        <v>612</v>
      </c>
      <c r="DA11" s="65" t="s">
        <v>612</v>
      </c>
      <c r="EG11" s="65" t="s">
        <v>610</v>
      </c>
      <c r="EH11" s="65"/>
      <c r="EI11" s="65" t="s">
        <v>1360</v>
      </c>
      <c r="FJ11" s="8">
        <v>65.99</v>
      </c>
    </row>
    <row r="12" spans="1:187">
      <c r="A12" s="65" t="s">
        <v>1321</v>
      </c>
      <c r="B12" s="83" t="s">
        <v>1368</v>
      </c>
      <c r="C12" s="65" t="s">
        <v>1323</v>
      </c>
      <c r="F12" s="64" t="e">
        <f t="shared" si="4"/>
        <v>#REF!</v>
      </c>
      <c r="G12" s="65" t="s">
        <v>1324</v>
      </c>
      <c r="H12" s="3" t="s">
        <v>1325</v>
      </c>
      <c r="I12" s="3" t="s">
        <v>1326</v>
      </c>
      <c r="J12" s="65" t="e">
        <f>VLOOKUP(MID($B12,10,2),#REF!,2,0)</f>
        <v>#REF!</v>
      </c>
      <c r="L12" s="62" t="s">
        <v>1327</v>
      </c>
      <c r="M12" s="62" t="s">
        <v>1328</v>
      </c>
      <c r="N12" s="62" t="s">
        <v>1329</v>
      </c>
      <c r="O12" s="62" t="s">
        <v>1330</v>
      </c>
      <c r="P12" s="62" t="s">
        <v>1331</v>
      </c>
      <c r="R12" s="65" t="e">
        <f>VLOOKUP(MID($B12,10,2),#REF!,3,0)</f>
        <v>#REF!</v>
      </c>
      <c r="S12" s="62" t="s">
        <v>1332</v>
      </c>
      <c r="T12" s="65" t="s">
        <v>612</v>
      </c>
      <c r="U12" s="65" t="s">
        <v>1333</v>
      </c>
      <c r="V12" s="64" t="s">
        <v>1334</v>
      </c>
      <c r="Z12" s="67">
        <v>55.99</v>
      </c>
      <c r="AA12" s="68">
        <v>2</v>
      </c>
      <c r="AB12" s="69" t="s">
        <v>1335</v>
      </c>
      <c r="AC12" s="65" t="s">
        <v>1336</v>
      </c>
      <c r="AD12" s="65" t="s">
        <v>1337</v>
      </c>
      <c r="AE12" s="65" t="s">
        <v>1338</v>
      </c>
      <c r="AF12" s="65" t="s">
        <v>1339</v>
      </c>
      <c r="AG12" s="65" t="e">
        <f t="shared" si="0"/>
        <v>#REF!</v>
      </c>
      <c r="AI12" s="65" t="s">
        <v>1340</v>
      </c>
      <c r="AJ12" s="65" t="s">
        <v>1340</v>
      </c>
      <c r="AK12" s="70" t="s">
        <v>1341</v>
      </c>
      <c r="AL12" s="2" t="s">
        <v>1342</v>
      </c>
      <c r="AM12" s="2" t="s">
        <v>1343</v>
      </c>
      <c r="AN12" s="62" t="s">
        <v>1344</v>
      </c>
      <c r="AO12" s="62" t="s">
        <v>1345</v>
      </c>
      <c r="AS12" s="65" t="s">
        <v>1346</v>
      </c>
      <c r="AT12" s="71" t="str">
        <f t="shared" si="5"/>
        <v>EG02053-UK1</v>
      </c>
      <c r="AU12" s="65" t="s">
        <v>980</v>
      </c>
      <c r="AV12" s="65" t="s">
        <v>1347</v>
      </c>
      <c r="AW12" s="65" t="s">
        <v>830</v>
      </c>
      <c r="AX12" s="2" t="s">
        <v>1348</v>
      </c>
      <c r="AY12" s="65" t="s">
        <v>1349</v>
      </c>
      <c r="BA12" s="3" t="s">
        <v>1350</v>
      </c>
      <c r="BB12" s="72" t="str">
        <f t="shared" si="1"/>
        <v>EG02053AL20-UK1</v>
      </c>
      <c r="BC12" s="72" t="str">
        <f t="shared" si="2"/>
        <v>EG02053AL20-UK1</v>
      </c>
      <c r="BD12" s="72" t="str">
        <f t="shared" si="3"/>
        <v>EG02053AL20-UK1</v>
      </c>
      <c r="BL12" s="64" t="s">
        <v>1351</v>
      </c>
      <c r="BN12" s="73" t="s">
        <v>1352</v>
      </c>
      <c r="BO12" s="73" t="s">
        <v>1353</v>
      </c>
      <c r="BP12" s="64" t="s">
        <v>1354</v>
      </c>
      <c r="BQ12" s="2" t="s">
        <v>1355</v>
      </c>
      <c r="BR12" s="74" t="s">
        <v>1356</v>
      </c>
      <c r="CF12" s="62" t="s">
        <v>1357</v>
      </c>
      <c r="CO12" s="77">
        <v>13</v>
      </c>
      <c r="CP12" s="77">
        <v>9</v>
      </c>
      <c r="CQ12" s="77">
        <v>1</v>
      </c>
      <c r="CR12" s="77">
        <v>360</v>
      </c>
      <c r="CS12" s="77" t="s">
        <v>1358</v>
      </c>
      <c r="CT12" s="77" t="s">
        <v>1359</v>
      </c>
      <c r="CZ12" s="65" t="s">
        <v>612</v>
      </c>
      <c r="DA12" s="65" t="s">
        <v>612</v>
      </c>
      <c r="EG12" s="65" t="s">
        <v>610</v>
      </c>
      <c r="EH12" s="65"/>
      <c r="EI12" s="65" t="s">
        <v>1360</v>
      </c>
      <c r="FJ12" s="8">
        <v>65.99</v>
      </c>
    </row>
    <row r="13" spans="1:187">
      <c r="A13" s="65" t="s">
        <v>1321</v>
      </c>
      <c r="B13" s="83" t="s">
        <v>1369</v>
      </c>
      <c r="C13" s="65" t="s">
        <v>1323</v>
      </c>
      <c r="F13" s="64" t="e">
        <f t="shared" si="4"/>
        <v>#REF!</v>
      </c>
      <c r="G13" s="65" t="s">
        <v>1324</v>
      </c>
      <c r="H13" s="3" t="s">
        <v>1325</v>
      </c>
      <c r="I13" s="3" t="s">
        <v>1326</v>
      </c>
      <c r="J13" s="65" t="e">
        <f>VLOOKUP(MID($B13,10,2),#REF!,2,0)</f>
        <v>#REF!</v>
      </c>
      <c r="L13" s="62" t="s">
        <v>1327</v>
      </c>
      <c r="M13" s="62" t="s">
        <v>1328</v>
      </c>
      <c r="N13" s="62" t="s">
        <v>1329</v>
      </c>
      <c r="O13" s="62" t="s">
        <v>1330</v>
      </c>
      <c r="P13" s="62" t="s">
        <v>1331</v>
      </c>
      <c r="R13" s="65" t="e">
        <f>VLOOKUP(MID($B13,10,2),#REF!,3,0)</f>
        <v>#REF!</v>
      </c>
      <c r="S13" s="62" t="s">
        <v>1332</v>
      </c>
      <c r="T13" s="65" t="s">
        <v>612</v>
      </c>
      <c r="U13" s="65" t="s">
        <v>1333</v>
      </c>
      <c r="V13" s="64" t="s">
        <v>1334</v>
      </c>
      <c r="Z13" s="67">
        <v>55.99</v>
      </c>
      <c r="AA13" s="68">
        <v>2</v>
      </c>
      <c r="AB13" s="69" t="s">
        <v>1335</v>
      </c>
      <c r="AC13" s="65" t="s">
        <v>1336</v>
      </c>
      <c r="AD13" s="65" t="s">
        <v>1337</v>
      </c>
      <c r="AE13" s="65" t="s">
        <v>1338</v>
      </c>
      <c r="AF13" s="65" t="s">
        <v>1339</v>
      </c>
      <c r="AG13" s="65" t="e">
        <f t="shared" si="0"/>
        <v>#REF!</v>
      </c>
      <c r="AI13" s="65" t="s">
        <v>1340</v>
      </c>
      <c r="AJ13" s="65" t="s">
        <v>1340</v>
      </c>
      <c r="AK13" s="70" t="s">
        <v>1341</v>
      </c>
      <c r="AL13" s="2" t="s">
        <v>1342</v>
      </c>
      <c r="AM13" s="2" t="s">
        <v>1343</v>
      </c>
      <c r="AN13" s="62" t="s">
        <v>1344</v>
      </c>
      <c r="AO13" s="62" t="s">
        <v>1345</v>
      </c>
      <c r="AS13" s="65" t="s">
        <v>1346</v>
      </c>
      <c r="AT13" s="71" t="str">
        <f t="shared" si="5"/>
        <v>EG02053-UK1</v>
      </c>
      <c r="AU13" s="65" t="s">
        <v>980</v>
      </c>
      <c r="AV13" s="65" t="s">
        <v>1347</v>
      </c>
      <c r="AW13" s="65" t="s">
        <v>830</v>
      </c>
      <c r="AX13" s="2" t="s">
        <v>1348</v>
      </c>
      <c r="AY13" s="65" t="s">
        <v>1349</v>
      </c>
      <c r="BA13" s="3" t="s">
        <v>1350</v>
      </c>
      <c r="BB13" s="72" t="str">
        <f t="shared" si="1"/>
        <v>EG02053AL22-UK1</v>
      </c>
      <c r="BC13" s="72" t="str">
        <f t="shared" si="2"/>
        <v>EG02053AL22-UK1</v>
      </c>
      <c r="BD13" s="72" t="str">
        <f t="shared" si="3"/>
        <v>EG02053AL22-UK1</v>
      </c>
      <c r="BL13" s="64" t="s">
        <v>1351</v>
      </c>
      <c r="BN13" s="73" t="s">
        <v>1352</v>
      </c>
      <c r="BO13" s="73" t="s">
        <v>1353</v>
      </c>
      <c r="BP13" s="64" t="s">
        <v>1354</v>
      </c>
      <c r="BQ13" s="2" t="s">
        <v>1355</v>
      </c>
      <c r="BR13" s="74" t="s">
        <v>1356</v>
      </c>
      <c r="CF13" s="62" t="s">
        <v>1357</v>
      </c>
      <c r="CO13" s="77">
        <v>13</v>
      </c>
      <c r="CP13" s="77">
        <v>9</v>
      </c>
      <c r="CQ13" s="77">
        <v>1</v>
      </c>
      <c r="CR13" s="77">
        <v>360</v>
      </c>
      <c r="CS13" s="77" t="s">
        <v>1358</v>
      </c>
      <c r="CT13" s="77" t="s">
        <v>1359</v>
      </c>
      <c r="CZ13" s="65" t="s">
        <v>612</v>
      </c>
      <c r="DA13" s="65" t="s">
        <v>612</v>
      </c>
      <c r="EG13" s="65" t="s">
        <v>610</v>
      </c>
      <c r="EH13" s="65"/>
      <c r="EI13" s="65" t="s">
        <v>1360</v>
      </c>
      <c r="FJ13" s="8">
        <v>65.99</v>
      </c>
    </row>
    <row r="14" spans="1:187">
      <c r="A14" s="65" t="s">
        <v>1321</v>
      </c>
      <c r="B14" s="83" t="s">
        <v>1370</v>
      </c>
      <c r="C14" s="65" t="s">
        <v>1323</v>
      </c>
      <c r="F14" s="64" t="e">
        <f t="shared" si="4"/>
        <v>#REF!</v>
      </c>
      <c r="G14" s="65" t="s">
        <v>1324</v>
      </c>
      <c r="H14" s="3" t="s">
        <v>1325</v>
      </c>
      <c r="I14" s="3" t="s">
        <v>1326</v>
      </c>
      <c r="J14" s="65" t="e">
        <f>VLOOKUP(MID($B14,10,2),#REF!,2,0)</f>
        <v>#REF!</v>
      </c>
      <c r="L14" s="62" t="s">
        <v>1327</v>
      </c>
      <c r="M14" s="62" t="s">
        <v>1328</v>
      </c>
      <c r="N14" s="62" t="s">
        <v>1329</v>
      </c>
      <c r="O14" s="62" t="s">
        <v>1330</v>
      </c>
      <c r="P14" s="62" t="s">
        <v>1331</v>
      </c>
      <c r="R14" s="65" t="e">
        <f>VLOOKUP(MID($B14,10,2),#REF!,3,0)</f>
        <v>#REF!</v>
      </c>
      <c r="S14" s="62" t="s">
        <v>1332</v>
      </c>
      <c r="T14" s="65" t="s">
        <v>612</v>
      </c>
      <c r="U14" s="65" t="s">
        <v>1333</v>
      </c>
      <c r="V14" s="64" t="s">
        <v>1334</v>
      </c>
      <c r="Z14" s="67">
        <v>55.99</v>
      </c>
      <c r="AA14" s="68">
        <v>2</v>
      </c>
      <c r="AB14" s="69" t="s">
        <v>1335</v>
      </c>
      <c r="AC14" s="65" t="s">
        <v>1336</v>
      </c>
      <c r="AD14" s="65" t="s">
        <v>1337</v>
      </c>
      <c r="AE14" s="65" t="s">
        <v>1338</v>
      </c>
      <c r="AF14" s="65" t="s">
        <v>1339</v>
      </c>
      <c r="AG14" s="65" t="e">
        <f t="shared" si="0"/>
        <v>#REF!</v>
      </c>
      <c r="AI14" s="65" t="s">
        <v>1340</v>
      </c>
      <c r="AJ14" s="65" t="s">
        <v>1340</v>
      </c>
      <c r="AK14" s="70" t="s">
        <v>1341</v>
      </c>
      <c r="AL14" s="2" t="s">
        <v>1342</v>
      </c>
      <c r="AM14" s="2" t="s">
        <v>1343</v>
      </c>
      <c r="AN14" s="62" t="s">
        <v>1344</v>
      </c>
      <c r="AO14" s="62" t="s">
        <v>1345</v>
      </c>
      <c r="AS14" s="65" t="s">
        <v>1346</v>
      </c>
      <c r="AT14" s="71" t="str">
        <f t="shared" si="5"/>
        <v>EG02053-UK1</v>
      </c>
      <c r="AU14" s="65" t="s">
        <v>980</v>
      </c>
      <c r="AV14" s="65" t="s">
        <v>1347</v>
      </c>
      <c r="AW14" s="65" t="s">
        <v>830</v>
      </c>
      <c r="AX14" s="2" t="s">
        <v>1348</v>
      </c>
      <c r="AY14" s="65" t="s">
        <v>1349</v>
      </c>
      <c r="BA14" s="3" t="s">
        <v>1350</v>
      </c>
      <c r="BB14" s="72" t="str">
        <f t="shared" si="1"/>
        <v>EG02053AL24-UK1</v>
      </c>
      <c r="BC14" s="72" t="str">
        <f t="shared" si="2"/>
        <v>EG02053AL24-UK1</v>
      </c>
      <c r="BD14" s="72" t="str">
        <f t="shared" si="3"/>
        <v>EG02053AL24-UK1</v>
      </c>
      <c r="BL14" s="64" t="s">
        <v>1351</v>
      </c>
      <c r="BN14" s="73" t="s">
        <v>1352</v>
      </c>
      <c r="BO14" s="73" t="s">
        <v>1353</v>
      </c>
      <c r="BP14" s="64" t="s">
        <v>1354</v>
      </c>
      <c r="BQ14" s="2" t="s">
        <v>1355</v>
      </c>
      <c r="BR14" s="74" t="s">
        <v>1356</v>
      </c>
      <c r="CF14" s="62" t="s">
        <v>1357</v>
      </c>
      <c r="CO14" s="77">
        <v>13</v>
      </c>
      <c r="CP14" s="77">
        <v>9</v>
      </c>
      <c r="CQ14" s="77">
        <v>1</v>
      </c>
      <c r="CR14" s="77">
        <v>360</v>
      </c>
      <c r="CS14" s="77" t="s">
        <v>1358</v>
      </c>
      <c r="CT14" s="77" t="s">
        <v>1359</v>
      </c>
      <c r="CZ14" s="65" t="s">
        <v>612</v>
      </c>
      <c r="DA14" s="65" t="s">
        <v>612</v>
      </c>
      <c r="EG14" s="65" t="s">
        <v>610</v>
      </c>
      <c r="EH14" s="65"/>
      <c r="EI14" s="65" t="s">
        <v>1360</v>
      </c>
      <c r="FJ14" s="8">
        <v>65.99</v>
      </c>
    </row>
    <row r="15" spans="1:187">
      <c r="A15" s="65" t="s">
        <v>1321</v>
      </c>
      <c r="B15" s="83" t="s">
        <v>1371</v>
      </c>
      <c r="C15" s="65" t="s">
        <v>1323</v>
      </c>
      <c r="F15" s="64" t="e">
        <f t="shared" si="4"/>
        <v>#REF!</v>
      </c>
      <c r="G15" s="65" t="s">
        <v>1324</v>
      </c>
      <c r="H15" s="3" t="s">
        <v>1325</v>
      </c>
      <c r="I15" s="3" t="s">
        <v>1326</v>
      </c>
      <c r="J15" s="65" t="e">
        <f>VLOOKUP(MID($B15,10,2),#REF!,2,0)</f>
        <v>#REF!</v>
      </c>
      <c r="L15" s="62" t="s">
        <v>1327</v>
      </c>
      <c r="M15" s="62" t="s">
        <v>1328</v>
      </c>
      <c r="N15" s="62" t="s">
        <v>1329</v>
      </c>
      <c r="O15" s="62" t="s">
        <v>1330</v>
      </c>
      <c r="P15" s="62" t="s">
        <v>1331</v>
      </c>
      <c r="R15" s="65" t="e">
        <f>VLOOKUP(MID($B15,10,2),#REF!,3,0)</f>
        <v>#REF!</v>
      </c>
      <c r="S15" s="62" t="s">
        <v>1332</v>
      </c>
      <c r="T15" s="65" t="s">
        <v>612</v>
      </c>
      <c r="U15" s="65" t="s">
        <v>1333</v>
      </c>
      <c r="V15" s="64" t="s">
        <v>1334</v>
      </c>
      <c r="Z15" s="67">
        <v>55.99</v>
      </c>
      <c r="AA15" s="68">
        <v>2</v>
      </c>
      <c r="AB15" s="69" t="s">
        <v>1335</v>
      </c>
      <c r="AC15" s="65" t="s">
        <v>1336</v>
      </c>
      <c r="AD15" s="65" t="s">
        <v>1337</v>
      </c>
      <c r="AE15" s="65" t="s">
        <v>1338</v>
      </c>
      <c r="AF15" s="65" t="s">
        <v>1339</v>
      </c>
      <c r="AG15" s="65" t="e">
        <f t="shared" si="0"/>
        <v>#REF!</v>
      </c>
      <c r="AI15" s="65" t="s">
        <v>1340</v>
      </c>
      <c r="AJ15" s="65" t="s">
        <v>1340</v>
      </c>
      <c r="AK15" s="70" t="s">
        <v>1341</v>
      </c>
      <c r="AL15" s="2" t="s">
        <v>1342</v>
      </c>
      <c r="AM15" s="2" t="s">
        <v>1343</v>
      </c>
      <c r="AN15" s="62" t="s">
        <v>1344</v>
      </c>
      <c r="AO15" s="62" t="s">
        <v>1345</v>
      </c>
      <c r="AS15" s="65" t="s">
        <v>1346</v>
      </c>
      <c r="AT15" s="71" t="str">
        <f t="shared" si="5"/>
        <v>EG02053-UK1</v>
      </c>
      <c r="AU15" s="65" t="s">
        <v>980</v>
      </c>
      <c r="AV15" s="65" t="s">
        <v>1347</v>
      </c>
      <c r="AW15" s="65" t="s">
        <v>830</v>
      </c>
      <c r="AX15" s="2" t="s">
        <v>1348</v>
      </c>
      <c r="AY15" s="65" t="s">
        <v>1349</v>
      </c>
      <c r="BA15" s="3" t="s">
        <v>1350</v>
      </c>
      <c r="BB15" s="72" t="str">
        <f t="shared" si="1"/>
        <v>EG02053AL26-UK1</v>
      </c>
      <c r="BC15" s="72" t="str">
        <f t="shared" si="2"/>
        <v>EG02053AL26-UK1</v>
      </c>
      <c r="BD15" s="72" t="str">
        <f t="shared" si="3"/>
        <v>EG02053AL26-UK1</v>
      </c>
      <c r="BL15" s="64" t="s">
        <v>1351</v>
      </c>
      <c r="BN15" s="73" t="s">
        <v>1352</v>
      </c>
      <c r="BO15" s="73" t="s">
        <v>1353</v>
      </c>
      <c r="BP15" s="64" t="s">
        <v>1354</v>
      </c>
      <c r="BQ15" s="2" t="s">
        <v>1355</v>
      </c>
      <c r="BR15" s="74" t="s">
        <v>1356</v>
      </c>
      <c r="CF15" s="62" t="s">
        <v>1357</v>
      </c>
      <c r="CO15" s="77">
        <v>13</v>
      </c>
      <c r="CP15" s="77">
        <v>9</v>
      </c>
      <c r="CQ15" s="77">
        <v>1</v>
      </c>
      <c r="CR15" s="77">
        <v>360</v>
      </c>
      <c r="CS15" s="77" t="s">
        <v>1358</v>
      </c>
      <c r="CT15" s="77" t="s">
        <v>1359</v>
      </c>
      <c r="CZ15" s="65" t="s">
        <v>612</v>
      </c>
      <c r="DA15" s="65" t="s">
        <v>612</v>
      </c>
      <c r="EG15" s="65" t="s">
        <v>610</v>
      </c>
      <c r="EH15" s="65"/>
      <c r="EI15" s="65" t="s">
        <v>1360</v>
      </c>
      <c r="FJ15" s="8">
        <v>65.99</v>
      </c>
    </row>
  </sheetData>
  <sheetProtection formatColumns="0" formatRows="0" insertRows="0" deleteColumns="0" deleteRows="0"/>
  <conditionalFormatting sqref="C4">
    <cfRule type="expression" dxfId="0" priority="17128">
      <formula>IF(VLOOKUP($C$3,requiredAttributePTDMap,MATCH($A4,attributeMapFeedProductType,0)+1,FALSE)&gt;0,1,0)</formula>
    </cfRule>
    <cfRule type="expression" dxfId="1" priority="17129">
      <formula>IF(VLOOKUP($C$3,optionalAttributePTDMap,MATCH($A4,attributeMapFeedProductType,0)+1,FALSE)&gt;0,1,0)</formula>
    </cfRule>
    <cfRule type="expression" dxfId="2" priority="17130">
      <formula>IF(VLOOKUP($C$3,preferredAttributePTDMap,MATCH($A4,attributeMapFeedProductType,0)+1,FALSE)&gt;0,1,0)</formula>
    </cfRule>
    <cfRule type="expression" dxfId="3" priority="17131">
      <formula>AND(IF(IFERROR(VLOOKUP($C$3,requiredAttributePTDMap,MATCH($A4,attributeMapFeedProductType,0)+1,FALSE),0)&gt;0,0,1),IF(IFERROR(VLOOKUP($C$3,optionalAttributePTDMap,MATCH($A4,attributeMapFeedProductType,0)+1,FALSE),0)&gt;0,0,1),IF(IFERROR(VLOOKUP($C$3,preferredAttributePTDMap,MATCH($A4,attributeMapFeedProductType,0)+1,FALSE),0)&gt;0,0,1),IF(IFERROR(MATCH($A4,attributeMapFeedProductType,0),0)&gt;0,1,0))</formula>
    </cfRule>
  </conditionalFormatting>
  <conditionalFormatting sqref="G4">
    <cfRule type="expression" dxfId="4" priority="111">
      <formula>IF(LEN(G4)&gt;0,1,0)</formula>
    </cfRule>
  </conditionalFormatting>
  <conditionalFormatting sqref="J4">
    <cfRule type="expression" dxfId="4" priority="106">
      <formula>IF(LEN(J4)&gt;0,1,0)</formula>
    </cfRule>
    <cfRule type="expression" dxfId="0" priority="107">
      <formula>IF(VLOOKUP($J$3,requiredAttributePTDMap,MATCH($A4,attributeMapFeedProductType,0)+1,FALSE)&gt;0,1,0)</formula>
    </cfRule>
    <cfRule type="expression" dxfId="1" priority="108">
      <formula>IF(VLOOKUP($J$3,optionalAttributePTDMap,MATCH($A4,attributeMapFeedProductType,0)+1,FALSE)&gt;0,1,0)</formula>
    </cfRule>
    <cfRule type="expression" dxfId="2" priority="109">
      <formula>IF(VLOOKUP($J$3,preferredAttributePTDMap,MATCH($A4,attributeMapFeedProductType,0)+1,FALSE)&gt;0,1,0)</formula>
    </cfRule>
    <cfRule type="expression" dxfId="3" priority="110">
      <formula>AND(IF(IFERROR(VLOOKUP($J$3,requiredAttributePTDMap,MATCH($A4,attributeMapFeedProductType,0)+1,FALSE),0)&gt;0,0,1),IF(IFERROR(VLOOKUP($J$3,optionalAttributePTDMap,MATCH($A4,attributeMapFeedProductType,0)+1,FALSE),0)&gt;0,0,1),IF(IFERROR(VLOOKUP($J$3,preferredAttributePTDMap,MATCH($A4,attributeMapFeedProductType,0)+1,FALSE),0)&gt;0,0,1),IF(IFERROR(MATCH($A4,attributeMapFeedProductType,0),0)&gt;0,1,0))</formula>
    </cfRule>
  </conditionalFormatting>
  <conditionalFormatting sqref="R4">
    <cfRule type="expression" dxfId="4" priority="101">
      <formula>IF(LEN(R4)&gt;0,1,0)</formula>
    </cfRule>
    <cfRule type="expression" dxfId="0" priority="102">
      <formula>IF(VLOOKUP($J$3,requiredAttributePTDMap,MATCH($A4,attributeMapFeedProductType,0)+1,FALSE)&gt;0,1,0)</formula>
    </cfRule>
    <cfRule type="expression" dxfId="1" priority="103">
      <formula>IF(VLOOKUP($J$3,optionalAttributePTDMap,MATCH($A4,attributeMapFeedProductType,0)+1,FALSE)&gt;0,1,0)</formula>
    </cfRule>
    <cfRule type="expression" dxfId="2" priority="104">
      <formula>IF(VLOOKUP($J$3,preferredAttributePTDMap,MATCH($A4,attributeMapFeedProductType,0)+1,FALSE)&gt;0,1,0)</formula>
    </cfRule>
    <cfRule type="expression" dxfId="3" priority="105">
      <formula>AND(IF(IFERROR(VLOOKUP($J$3,requiredAttributePTDMap,MATCH($A4,attributeMapFeedProductType,0)+1,FALSE),0)&gt;0,0,1),IF(IFERROR(VLOOKUP($J$3,optionalAttributePTDMap,MATCH($A4,attributeMapFeedProductType,0)+1,FALSE),0)&gt;0,0,1),IF(IFERROR(VLOOKUP($J$3,preferredAttributePTDMap,MATCH($A4,attributeMapFeedProductType,0)+1,FALSE),0)&gt;0,0,1),IF(IFERROR(MATCH($A4,attributeMapFeedProductType,0),0)&gt;0,1,0))</formula>
    </cfRule>
  </conditionalFormatting>
  <conditionalFormatting sqref="W4:Y4">
    <cfRule type="expression" dxfId="4" priority="17227">
      <formula>IF(LEN(W4)&gt;0,1,0)</formula>
    </cfRule>
  </conditionalFormatting>
  <conditionalFormatting sqref="AC4">
    <cfRule type="expression" dxfId="0" priority="77">
      <formula>IF(VLOOKUP($AC$3,requiredAttributePTDMap,MATCH($A4,attributeMapFeedProductType,0)+1,FALSE)&gt;0,1,0)</formula>
    </cfRule>
    <cfRule type="expression" dxfId="1" priority="78">
      <formula>IF(VLOOKUP($AC$3,optionalAttributePTDMap,MATCH($A4,attributeMapFeedProductType,0)+1,FALSE)&gt;0,1,0)</formula>
    </cfRule>
    <cfRule type="expression" dxfId="2" priority="79">
      <formula>IF(VLOOKUP($AC$3,preferredAttributePTDMap,MATCH($A4,attributeMapFeedProductType,0)+1,FALSE)&gt;0,1,0)</formula>
    </cfRule>
    <cfRule type="expression" dxfId="3" priority="80">
      <formula>AND(IF(IFERROR(VLOOKUP($AC$3,requiredAttributePTDMap,MATCH($A4,attributeMapFeedProductType,0)+1,FALSE),0)&gt;0,0,1),IF(IFERROR(VLOOKUP($AC$3,optionalAttributePTDMap,MATCH($A4,attributeMapFeedProductType,0)+1,FALSE),0)&gt;0,0,1),IF(IFERROR(VLOOKUP($AC$3,preferredAttributePTDMap,MATCH($A4,attributeMapFeedProductType,0)+1,FALSE),0)&gt;0,0,1),IF(IFERROR(MATCH($A4,attributeMapFeedProductType,0),0)&gt;0,1,0))</formula>
    </cfRule>
  </conditionalFormatting>
  <conditionalFormatting sqref="AC4:AG4">
    <cfRule type="expression" dxfId="4" priority="71">
      <formula>IF(LEN(AC4)&gt;0,1,0)</formula>
    </cfRule>
  </conditionalFormatting>
  <conditionalFormatting sqref="AD4">
    <cfRule type="expression" dxfId="0" priority="81">
      <formula>IF(VLOOKUP($AD$3,requiredAttributePTDMap,MATCH($A4,attributeMapFeedProductType,0)+1,FALSE)&gt;0,1,0)</formula>
    </cfRule>
    <cfRule type="expression" dxfId="1" priority="82">
      <formula>IF(VLOOKUP($AD$3,optionalAttributePTDMap,MATCH($A4,attributeMapFeedProductType,0)+1,FALSE)&gt;0,1,0)</formula>
    </cfRule>
    <cfRule type="expression" dxfId="2" priority="83">
      <formula>IF(VLOOKUP($AD$3,preferredAttributePTDMap,MATCH($A4,attributeMapFeedProductType,0)+1,FALSE)&gt;0,1,0)</formula>
    </cfRule>
    <cfRule type="expression" dxfId="3" priority="84">
      <formula>AND(IF(IFERROR(VLOOKUP($AD$3,requiredAttributePTDMap,MATCH($A4,attributeMapFeedProductType,0)+1,FALSE),0)&gt;0,0,1),IF(IFERROR(VLOOKUP($AD$3,optionalAttributePTDMap,MATCH($A4,attributeMapFeedProductType,0)+1,FALSE),0)&gt;0,0,1),IF(IFERROR(VLOOKUP($AD$3,preferredAttributePTDMap,MATCH($A4,attributeMapFeedProductType,0)+1,FALSE),0)&gt;0,0,1),IF(IFERROR(MATCH($A4,attributeMapFeedProductType,0),0)&gt;0,1,0))</formula>
    </cfRule>
  </conditionalFormatting>
  <conditionalFormatting sqref="AE4">
    <cfRule type="expression" dxfId="0" priority="85">
      <formula>IF(VLOOKUP($AE$3,requiredAttributePTDMap,MATCH($A4,attributeMapFeedProductType,0)+1,FALSE)&gt;0,1,0)</formula>
    </cfRule>
    <cfRule type="expression" dxfId="1" priority="86">
      <formula>IF(VLOOKUP($AE$3,optionalAttributePTDMap,MATCH($A4,attributeMapFeedProductType,0)+1,FALSE)&gt;0,1,0)</formula>
    </cfRule>
    <cfRule type="expression" dxfId="2" priority="87">
      <formula>IF(VLOOKUP($AE$3,preferredAttributePTDMap,MATCH($A4,attributeMapFeedProductType,0)+1,FALSE)&gt;0,1,0)</formula>
    </cfRule>
    <cfRule type="expression" dxfId="3" priority="88">
      <formula>AND(IF(IFERROR(VLOOKUP($AE$3,requiredAttributePTDMap,MATCH($A4,attributeMapFeedProductType,0)+1,FALSE),0)&gt;0,0,1),IF(IFERROR(VLOOKUP($AE$3,optionalAttributePTDMap,MATCH($A4,attributeMapFeedProductType,0)+1,FALSE),0)&gt;0,0,1),IF(IFERROR(VLOOKUP($AE$3,preferredAttributePTDMap,MATCH($A4,attributeMapFeedProductType,0)+1,FALSE),0)&gt;0,0,1),IF(IFERROR(MATCH($A4,attributeMapFeedProductType,0),0)&gt;0,1,0))</formula>
    </cfRule>
  </conditionalFormatting>
  <conditionalFormatting sqref="AF4">
    <cfRule type="expression" dxfId="0" priority="89">
      <formula>IF(VLOOKUP($AF$3,requiredAttributePTDMap,MATCH($A4,attributeMapFeedProductType,0)+1,FALSE)&gt;0,1,0)</formula>
    </cfRule>
    <cfRule type="expression" dxfId="1" priority="90">
      <formula>IF(VLOOKUP($AF$3,optionalAttributePTDMap,MATCH($A4,attributeMapFeedProductType,0)+1,FALSE)&gt;0,1,0)</formula>
    </cfRule>
    <cfRule type="expression" dxfId="2" priority="91">
      <formula>IF(VLOOKUP($AF$3,preferredAttributePTDMap,MATCH($A4,attributeMapFeedProductType,0)+1,FALSE)&gt;0,1,0)</formula>
    </cfRule>
    <cfRule type="expression" dxfId="3" priority="92">
      <formula>AND(IF(IFERROR(VLOOKUP($AF$3,requiredAttributePTDMap,MATCH($A4,attributeMapFeedProductType,0)+1,FALSE),0)&gt;0,0,1),IF(IFERROR(VLOOKUP($AF$3,optionalAttributePTDMap,MATCH($A4,attributeMapFeedProductType,0)+1,FALSE),0)&gt;0,0,1),IF(IFERROR(VLOOKUP($AF$3,preferredAttributePTDMap,MATCH($A4,attributeMapFeedProductType,0)+1,FALSE),0)&gt;0,0,1),IF(IFERROR(MATCH($A4,attributeMapFeedProductType,0),0)&gt;0,1,0))</formula>
    </cfRule>
  </conditionalFormatting>
  <conditionalFormatting sqref="AG4">
    <cfRule type="expression" dxfId="0" priority="72">
      <formula>IF(VLOOKUP($J$3,requiredAttributePTDMap,MATCH($A4,attributeMapFeedProductType,0)+1,FALSE)&gt;0,1,0)</formula>
    </cfRule>
    <cfRule type="expression" dxfId="1" priority="73">
      <formula>IF(VLOOKUP($J$3,optionalAttributePTDMap,MATCH($A4,attributeMapFeedProductType,0)+1,FALSE)&gt;0,1,0)</formula>
    </cfRule>
    <cfRule type="expression" dxfId="2" priority="74">
      <formula>IF(VLOOKUP($J$3,preferredAttributePTDMap,MATCH($A4,attributeMapFeedProductType,0)+1,FALSE)&gt;0,1,0)</formula>
    </cfRule>
    <cfRule type="expression" dxfId="3" priority="75">
      <formula>AND(IF(IFERROR(VLOOKUP($J$3,requiredAttributePTDMap,MATCH($A4,attributeMapFeedProductType,0)+1,FALSE),0)&gt;0,0,1),IF(IFERROR(VLOOKUP($J$3,optionalAttributePTDMap,MATCH($A4,attributeMapFeedProductType,0)+1,FALSE),0)&gt;0,0,1),IF(IFERROR(VLOOKUP($J$3,preferredAttributePTDMap,MATCH($A4,attributeMapFeedProductType,0)+1,FALSE),0)&gt;0,0,1),IF(IFERROR(MATCH($A4,attributeMapFeedProductType,0),0)&gt;0,1,0))</formula>
    </cfRule>
  </conditionalFormatting>
  <conditionalFormatting sqref="AI4">
    <cfRule type="expression" dxfId="0" priority="93">
      <formula>IF(VLOOKUP($AI$3,requiredAttributePTDMap,MATCH($A4,attributeMapFeedProductType,0)+1,FALSE)&gt;0,1,0)</formula>
    </cfRule>
    <cfRule type="expression" dxfId="1" priority="94">
      <formula>IF(VLOOKUP($AI$3,optionalAttributePTDMap,MATCH($A4,attributeMapFeedProductType,0)+1,FALSE)&gt;0,1,0)</formula>
    </cfRule>
    <cfRule type="expression" dxfId="2" priority="95">
      <formula>IF(VLOOKUP($AI$3,preferredAttributePTDMap,MATCH($A4,attributeMapFeedProductType,0)+1,FALSE)&gt;0,1,0)</formula>
    </cfRule>
    <cfRule type="expression" dxfId="3" priority="96">
      <formula>AND(IF(IFERROR(VLOOKUP($AI$3,requiredAttributePTDMap,MATCH($A4,attributeMapFeedProductType,0)+1,FALSE),0)&gt;0,0,1),IF(IFERROR(VLOOKUP($AI$3,optionalAttributePTDMap,MATCH($A4,attributeMapFeedProductType,0)+1,FALSE),0)&gt;0,0,1),IF(IFERROR(VLOOKUP($AI$3,preferredAttributePTDMap,MATCH($A4,attributeMapFeedProductType,0)+1,FALSE),0)&gt;0,0,1),IF(IFERROR(MATCH($A4,attributeMapFeedProductType,0),0)&gt;0,1,0))</formula>
    </cfRule>
  </conditionalFormatting>
  <conditionalFormatting sqref="AI4:AJ4">
    <cfRule type="expression" dxfId="4" priority="76">
      <formula>IF(LEN(AI4)&gt;0,1,0)</formula>
    </cfRule>
  </conditionalFormatting>
  <conditionalFormatting sqref="AJ4">
    <cfRule type="expression" dxfId="0" priority="97">
      <formula>IF(VLOOKUP($AJ$3,requiredAttributePTDMap,MATCH($A4,attributeMapFeedProductType,0)+1,FALSE)&gt;0,1,0)</formula>
    </cfRule>
    <cfRule type="expression" dxfId="1" priority="98">
      <formula>IF(VLOOKUP($AJ$3,optionalAttributePTDMap,MATCH($A4,attributeMapFeedProductType,0)+1,FALSE)&gt;0,1,0)</formula>
    </cfRule>
    <cfRule type="expression" dxfId="2" priority="99">
      <formula>IF(VLOOKUP($AJ$3,preferredAttributePTDMap,MATCH($A4,attributeMapFeedProductType,0)+1,FALSE)&gt;0,1,0)</formula>
    </cfRule>
    <cfRule type="expression" dxfId="3" priority="100">
      <formula>AND(IF(IFERROR(VLOOKUP($AJ$3,requiredAttributePTDMap,MATCH($A4,attributeMapFeedProductType,0)+1,FALSE),0)&gt;0,0,1),IF(IFERROR(VLOOKUP($AJ$3,optionalAttributePTDMap,MATCH($A4,attributeMapFeedProductType,0)+1,FALSE),0)&gt;0,0,1),IF(IFERROR(VLOOKUP($AJ$3,preferredAttributePTDMap,MATCH($A4,attributeMapFeedProductType,0)+1,FALSE),0)&gt;0,0,1),IF(IFERROR(MATCH($A4,attributeMapFeedProductType,0),0)&gt;0,1,0))</formula>
    </cfRule>
  </conditionalFormatting>
  <conditionalFormatting sqref="AP4">
    <cfRule type="expression" dxfId="0" priority="17323">
      <formula>IF(VLOOKUP($AP$3,requiredAttributePTDMap,MATCH($A4,attributeMapFeedProductType,0)+1,FALSE)&gt;0,1,0)</formula>
    </cfRule>
    <cfRule type="expression" dxfId="1" priority="17324">
      <formula>IF(VLOOKUP($AP$3,optionalAttributePTDMap,MATCH($A4,attributeMapFeedProductType,0)+1,FALSE)&gt;0,1,0)</formula>
    </cfRule>
    <cfRule type="expression" dxfId="2" priority="17325">
      <formula>IF(VLOOKUP($AP$3,preferredAttributePTDMap,MATCH($A4,attributeMapFeedProductType,0)+1,FALSE)&gt;0,1,0)</formula>
    </cfRule>
    <cfRule type="expression" dxfId="3" priority="17326">
      <formula>AND(IF(IFERROR(VLOOKUP($AP$3,requiredAttributePTDMap,MATCH($A4,attributeMapFeedProductType,0)+1,FALSE),0)&gt;0,0,1),IF(IFERROR(VLOOKUP($AP$3,optionalAttributePTDMap,MATCH($A4,attributeMapFeedProductType,0)+1,FALSE),0)&gt;0,0,1),IF(IFERROR(VLOOKUP($AP$3,preferredAttributePTDMap,MATCH($A4,attributeMapFeedProductType,0)+1,FALSE),0)&gt;0,0,1),IF(IFERROR(MATCH($A4,attributeMapFeedProductType,0),0)&gt;0,1,0))</formula>
    </cfRule>
  </conditionalFormatting>
  <conditionalFormatting sqref="AP4:AR4">
    <cfRule type="expression" dxfId="4" priority="17322">
      <formula>IF(LEN(AP4)&gt;0,1,0)</formula>
    </cfRule>
  </conditionalFormatting>
  <conditionalFormatting sqref="AS4">
    <cfRule type="expression" dxfId="4" priority="70">
      <formula>IF(LEN(AS4)&gt;0,1,0)</formula>
    </cfRule>
  </conditionalFormatting>
  <conditionalFormatting sqref="AU4">
    <cfRule type="expression" dxfId="4" priority="65">
      <formula>IF(LEN(AU4)&gt;0,1,0)</formula>
    </cfRule>
    <cfRule type="expression" dxfId="0" priority="66">
      <formula>IF(VLOOKUP($AU$3,requiredAttributePTDMap,MATCH($A4,attributeMapFeedProductType,0)+1,FALSE)&gt;0,1,0)</formula>
    </cfRule>
    <cfRule type="expression" dxfId="1" priority="67">
      <formula>IF(VLOOKUP($AU$3,optionalAttributePTDMap,MATCH($A4,attributeMapFeedProductType,0)+1,FALSE)&gt;0,1,0)</formula>
    </cfRule>
    <cfRule type="expression" dxfId="2" priority="68">
      <formula>IF(VLOOKUP($AU$3,preferredAttributePTDMap,MATCH($A4,attributeMapFeedProductType,0)+1,FALSE)&gt;0,1,0)</formula>
    </cfRule>
    <cfRule type="expression" dxfId="3" priority="69">
      <formula>AND(IF(IFERROR(VLOOKUP($AU$3,requiredAttributePTDMap,MATCH($A4,attributeMapFeedProductType,0)+1,FALSE),0)&gt;0,0,1),IF(IFERROR(VLOOKUP($AU$3,optionalAttributePTDMap,MATCH($A4,attributeMapFeedProductType,0)+1,FALSE),0)&gt;0,0,1),IF(IFERROR(VLOOKUP($AU$3,preferredAttributePTDMap,MATCH($A4,attributeMapFeedProductType,0)+1,FALSE),0)&gt;0,0,1),IF(IFERROR(MATCH($A4,attributeMapFeedProductType,0),0)&gt;0,1,0))</formula>
    </cfRule>
  </conditionalFormatting>
  <conditionalFormatting sqref="AZ4">
    <cfRule type="expression" dxfId="4" priority="17372">
      <formula>IF(LEN(AZ4)&gt;0,1,0)</formula>
    </cfRule>
  </conditionalFormatting>
  <conditionalFormatting sqref="BA4">
    <cfRule type="expression" dxfId="4" priority="55">
      <formula>IF(LEN(BA4)&gt;0,1,0)</formula>
    </cfRule>
    <cfRule type="expression" dxfId="0" priority="56">
      <formula>IF(VLOOKUP($AN$3,requiredAttributePTDMap,MATCH($A4,attributeMapFeedProductType,0)+1,FALSE)&gt;0,1,0)</formula>
    </cfRule>
    <cfRule type="expression" dxfId="1" priority="57">
      <formula>IF(VLOOKUP($AN$3,optionalAttributePTDMap,MATCH($A4,attributeMapFeedProductType,0)+1,FALSE)&gt;0,1,0)</formula>
    </cfRule>
    <cfRule type="expression" dxfId="2" priority="58">
      <formula>IF(VLOOKUP($AN$3,preferredAttributePTDMap,MATCH($A4,attributeMapFeedProductType,0)+1,FALSE)&gt;0,1,0)</formula>
    </cfRule>
    <cfRule type="expression" dxfId="3" priority="59">
      <formula>AND(IF(IFERROR(VLOOKUP($AN$3,requiredAttributePTDMap,MATCH($A4,attributeMapFeedProductType,0)+1,FALSE),0)&gt;0,0,1),IF(IFERROR(VLOOKUP($AN$3,optionalAttributePTDMap,MATCH($A4,attributeMapFeedProductType,0)+1,FALSE),0)&gt;0,0,1),IF(IFERROR(VLOOKUP($AN$3,preferredAttributePTDMap,MATCH($A4,attributeMapFeedProductType,0)+1,FALSE),0)&gt;0,0,1),IF(IFERROR(MATCH($A4,attributeMapFeedProductType,0),0)&gt;0,1,0))</formula>
    </cfRule>
  </conditionalFormatting>
  <conditionalFormatting sqref="BE4:BK4">
    <cfRule type="expression" dxfId="4" priority="17382">
      <formula>IF(LEN(BE4)&gt;0,1,0)</formula>
    </cfRule>
  </conditionalFormatting>
  <conditionalFormatting sqref="BS4:CE4">
    <cfRule type="expression" dxfId="4" priority="17467">
      <formula>IF(LEN(BS4)&gt;0,1,0)</formula>
    </cfRule>
  </conditionalFormatting>
  <conditionalFormatting sqref="CG4:CN4">
    <cfRule type="expression" dxfId="4" priority="17537">
      <formula>IF(LEN(CG4)&gt;0,1,0)</formula>
    </cfRule>
  </conditionalFormatting>
  <conditionalFormatting sqref="CO4">
    <cfRule type="expression" dxfId="0" priority="13760">
      <formula>IF(VLOOKUP($BZ$3,requiredAttributePTDMap,MATCH(#REF!,attributeMapFeedProductType,0)+1,FALSE)&gt;0,1,0)</formula>
    </cfRule>
    <cfRule type="expression" dxfId="1" priority="13775">
      <formula>IF(VLOOKUP($BZ$3,optionalAttributePTDMap,MATCH(#REF!,attributeMapFeedProductType,0)+1,FALSE)&gt;0,1,0)</formula>
    </cfRule>
    <cfRule type="expression" dxfId="2" priority="13790">
      <formula>IF(VLOOKUP($BZ$3,preferredAttributePTDMap,MATCH(#REF!,attributeMapFeedProductType,0)+1,FALSE)&gt;0,1,0)</formula>
    </cfRule>
    <cfRule type="expression" dxfId="3" priority="13805">
      <formula>AND(IF(IFERROR(VLOOKUP($BZ$3,requiredAttributePTDMap,MATCH(#REF!,attributeMapFeedProductType,0)+1,FALSE),0)&gt;0,0,1),IF(IFERROR(VLOOKUP($BZ$3,optionalAttributePTDMap,MATCH(#REF!,attributeMapFeedProductType,0)+1,FALSE),0)&gt;0,0,1),IF(IFERROR(VLOOKUP($BZ$3,preferredAttributePTDMap,MATCH(#REF!,attributeMapFeedProductType,0)+1,FALSE),0)&gt;0,0,1),IF(IFERROR(MATCH(#REF!,attributeMapFeedProductType,0),0)&gt;0,1,0))</formula>
    </cfRule>
  </conditionalFormatting>
  <conditionalFormatting sqref="CP4">
    <cfRule type="expression" dxfId="0" priority="13835">
      <formula>IF(VLOOKUP($CA$3,requiredAttributePTDMap,MATCH(#REF!,attributeMapFeedProductType,0)+1,FALSE)&gt;0,1,0)</formula>
    </cfRule>
    <cfRule type="expression" dxfId="1" priority="13850">
      <formula>IF(VLOOKUP($CA$3,optionalAttributePTDMap,MATCH(#REF!,attributeMapFeedProductType,0)+1,FALSE)&gt;0,1,0)</formula>
    </cfRule>
    <cfRule type="expression" dxfId="2" priority="13865">
      <formula>IF(VLOOKUP($CA$3,preferredAttributePTDMap,MATCH(#REF!,attributeMapFeedProductType,0)+1,FALSE)&gt;0,1,0)</formula>
    </cfRule>
    <cfRule type="expression" dxfId="3" priority="13880">
      <formula>AND(IF(IFERROR(VLOOKUP($CA$3,requiredAttributePTDMap,MATCH(#REF!,attributeMapFeedProductType,0)+1,FALSE),0)&gt;0,0,1),IF(IFERROR(VLOOKUP($CA$3,optionalAttributePTDMap,MATCH(#REF!,attributeMapFeedProductType,0)+1,FALSE),0)&gt;0,0,1),IF(IFERROR(VLOOKUP($CA$3,preferredAttributePTDMap,MATCH(#REF!,attributeMapFeedProductType,0)+1,FALSE),0)&gt;0,0,1),IF(IFERROR(MATCH(#REF!,attributeMapFeedProductType,0),0)&gt;0,1,0))</formula>
    </cfRule>
  </conditionalFormatting>
  <conditionalFormatting sqref="CQ4">
    <cfRule type="expression" dxfId="0" priority="13910">
      <formula>IF(VLOOKUP($CB$3,requiredAttributePTDMap,MATCH(#REF!,attributeMapFeedProductType,0)+1,FALSE)&gt;0,1,0)</formula>
    </cfRule>
    <cfRule type="expression" dxfId="1" priority="13925">
      <formula>IF(VLOOKUP($CB$3,optionalAttributePTDMap,MATCH(#REF!,attributeMapFeedProductType,0)+1,FALSE)&gt;0,1,0)</formula>
    </cfRule>
    <cfRule type="expression" dxfId="2" priority="13940">
      <formula>IF(VLOOKUP($CB$3,preferredAttributePTDMap,MATCH(#REF!,attributeMapFeedProductType,0)+1,FALSE)&gt;0,1,0)</formula>
    </cfRule>
    <cfRule type="expression" dxfId="3" priority="13955">
      <formula>AND(IF(IFERROR(VLOOKUP($CB$3,requiredAttributePTDMap,MATCH(#REF!,attributeMapFeedProductType,0)+1,FALSE),0)&gt;0,0,1),IF(IFERROR(VLOOKUP($CB$3,optionalAttributePTDMap,MATCH(#REF!,attributeMapFeedProductType,0)+1,FALSE),0)&gt;0,0,1),IF(IFERROR(VLOOKUP($CB$3,preferredAttributePTDMap,MATCH(#REF!,attributeMapFeedProductType,0)+1,FALSE),0)&gt;0,0,1),IF(IFERROR(MATCH(#REF!,attributeMapFeedProductType,0),0)&gt;0,1,0))</formula>
    </cfRule>
  </conditionalFormatting>
  <conditionalFormatting sqref="CS4">
    <cfRule type="expression" dxfId="0" priority="13610">
      <formula>IF(VLOOKUP($CD$3,requiredAttributePTDMap,MATCH(#REF!,attributeMapFeedProductType,0)+1,FALSE)&gt;0,1,0)</formula>
    </cfRule>
    <cfRule type="expression" dxfId="1" priority="13625">
      <formula>IF(VLOOKUP($CD$3,optionalAttributePTDMap,MATCH(#REF!,attributeMapFeedProductType,0)+1,FALSE)&gt;0,1,0)</formula>
    </cfRule>
    <cfRule type="expression" dxfId="2" priority="13640">
      <formula>IF(VLOOKUP($CD$3,preferredAttributePTDMap,MATCH(#REF!,attributeMapFeedProductType,0)+1,FALSE)&gt;0,1,0)</formula>
    </cfRule>
    <cfRule type="expression" dxfId="3" priority="13655">
      <formula>AND(IF(IFERROR(VLOOKUP($CD$3,requiredAttributePTDMap,MATCH(#REF!,attributeMapFeedProductType,0)+1,FALSE),0)&gt;0,0,1),IF(IFERROR(VLOOKUP($CD$3,optionalAttributePTDMap,MATCH(#REF!,attributeMapFeedProductType,0)+1,FALSE),0)&gt;0,0,1),IF(IFERROR(VLOOKUP($CD$3,preferredAttributePTDMap,MATCH(#REF!,attributeMapFeedProductType,0)+1,FALSE),0)&gt;0,0,1),IF(IFERROR(MATCH(#REF!,attributeMapFeedProductType,0),0)&gt;0,1,0))</formula>
    </cfRule>
  </conditionalFormatting>
  <conditionalFormatting sqref="CT4">
    <cfRule type="expression" dxfId="0" priority="13685">
      <formula>IF(VLOOKUP($CE$3,requiredAttributePTDMap,MATCH(#REF!,attributeMapFeedProductType,0)+1,FALSE)&gt;0,1,0)</formula>
    </cfRule>
    <cfRule type="expression" dxfId="1" priority="13700">
      <formula>IF(VLOOKUP($CE$3,optionalAttributePTDMap,MATCH(#REF!,attributeMapFeedProductType,0)+1,FALSE)&gt;0,1,0)</formula>
    </cfRule>
    <cfRule type="expression" dxfId="2" priority="13715">
      <formula>IF(VLOOKUP($CE$3,preferredAttributePTDMap,MATCH(#REF!,attributeMapFeedProductType,0)+1,FALSE)&gt;0,1,0)</formula>
    </cfRule>
    <cfRule type="expression" dxfId="3" priority="13730">
      <formula>AND(IF(IFERROR(VLOOKUP($CE$3,requiredAttributePTDMap,MATCH(#REF!,attributeMapFeedProductType,0)+1,FALSE),0)&gt;0,0,1),IF(IFERROR(VLOOKUP($CE$3,optionalAttributePTDMap,MATCH(#REF!,attributeMapFeedProductType,0)+1,FALSE),0)&gt;0,0,1),IF(IFERROR(VLOOKUP($CE$3,preferredAttributePTDMap,MATCH(#REF!,attributeMapFeedProductType,0)+1,FALSE),0)&gt;0,0,1),IF(IFERROR(MATCH(#REF!,attributeMapFeedProductType,0),0)&gt;0,1,0))</formula>
    </cfRule>
  </conditionalFormatting>
  <conditionalFormatting sqref="CU4:CY4">
    <cfRule type="expression" dxfId="4" priority="17607">
      <formula>IF(LEN(CU4)&gt;0,1,0)</formula>
    </cfRule>
  </conditionalFormatting>
  <conditionalFormatting sqref="DB4:EB4">
    <cfRule type="expression" dxfId="3" priority="17646">
      <formula>AND(AND((0)),1=1)</formula>
    </cfRule>
  </conditionalFormatting>
  <conditionalFormatting sqref="EB4:EC4">
    <cfRule type="expression" dxfId="4" priority="17830">
      <formula>IF(LEN(EB4)&gt;0,1,0)</formula>
    </cfRule>
  </conditionalFormatting>
  <conditionalFormatting sqref="ED4:EF4">
    <cfRule type="expression" dxfId="3" priority="17840">
      <formula>AND(AND((0)),1=1)</formula>
    </cfRule>
  </conditionalFormatting>
  <conditionalFormatting sqref="B4:B7">
    <cfRule type="expression" dxfId="4" priority="46">
      <formula>IF(LEN(B4)&gt;0,1,0)</formula>
    </cfRule>
    <cfRule type="expression" dxfId="0" priority="47">
      <formula>IF(VLOOKUP($C$3,requiredAttributePTDMap,MATCH($A4,attributeMapFeedProductType,0)+1,FALSE)&gt;0,1,0)</formula>
    </cfRule>
    <cfRule type="expression" dxfId="1" priority="48">
      <formula>IF(VLOOKUP($C$3,optionalAttributePTDMap,MATCH($A4,attributeMapFeedProductType,0)+1,FALSE)&gt;0,1,0)</formula>
    </cfRule>
    <cfRule type="expression" dxfId="2" priority="49">
      <formula>IF(VLOOKUP($C$3,preferredAttributePTDMap,MATCH($A4,attributeMapFeedProductType,0)+1,FALSE)&gt;0,1,0)</formula>
    </cfRule>
    <cfRule type="expression" dxfId="3" priority="50">
      <formula>AND(IF(IFERROR(VLOOKUP($C$3,requiredAttributePTDMap,MATCH($A4,attributeMapFeedProductType,0)+1,FALSE),0)&gt;0,0,1),IF(IFERROR(VLOOKUP($C$3,optionalAttributePTDMap,MATCH($A4,attributeMapFeedProductType,0)+1,FALSE),0)&gt;0,0,1),IF(IFERROR(VLOOKUP($C$3,preferredAttributePTDMap,MATCH($A4,attributeMapFeedProductType,0)+1,FALSE),0)&gt;0,0,1),IF(IFERROR(MATCH($A4,attributeMapFeedProductType,0),0)&gt;0,1,0))</formula>
    </cfRule>
  </conditionalFormatting>
  <conditionalFormatting sqref="F4:F1048576">
    <cfRule type="expression" dxfId="0" priority="17143">
      <formula>IF(VLOOKUP($F$3,requiredAttributePTDMap,MATCH($A4,attributeMapFeedProductType,0)+1,FALSE)&gt;0,1,0)</formula>
    </cfRule>
    <cfRule type="expression" dxfId="1" priority="17144">
      <formula>IF(VLOOKUP($F$3,optionalAttributePTDMap,MATCH($A4,attributeMapFeedProductType,0)+1,FALSE)&gt;0,1,0)</formula>
    </cfRule>
    <cfRule type="expression" dxfId="2" priority="17145">
      <formula>IF(VLOOKUP($F$3,preferredAttributePTDMap,MATCH($A4,attributeMapFeedProductType,0)+1,FALSE)&gt;0,1,0)</formula>
    </cfRule>
    <cfRule type="expression" dxfId="3" priority="17146">
      <formula>AND(IF(IFERROR(VLOOKUP($F$3,requiredAttributePTDMap,MATCH($A4,attributeMapFeedProductType,0)+1,FALSE),0)&gt;0,0,1),IF(IFERROR(VLOOKUP($F$3,optionalAttributePTDMap,MATCH($A4,attributeMapFeedProductType,0)+1,FALSE),0)&gt;0,0,1),IF(IFERROR(VLOOKUP($F$3,preferredAttributePTDMap,MATCH($A4,attributeMapFeedProductType,0)+1,FALSE),0)&gt;0,0,1),IF(IFERROR(MATCH($A4,attributeMapFeedProductType,0),0)&gt;0,1,0))</formula>
    </cfRule>
  </conditionalFormatting>
  <conditionalFormatting sqref="F4:F15">
    <cfRule type="expression" dxfId="4" priority="128">
      <formula>IF(LEN(F4)&gt;0,1,0)</formula>
    </cfRule>
  </conditionalFormatting>
  <conditionalFormatting sqref="G4:G1048576">
    <cfRule type="expression" dxfId="0" priority="17148">
      <formula>IF(VLOOKUP($G$3,requiredAttributePTDMap,MATCH($A4,attributeMapFeedProductType,0)+1,FALSE)&gt;0,1,0)</formula>
    </cfRule>
    <cfRule type="expression" dxfId="1" priority="17149">
      <formula>IF(VLOOKUP($G$3,optionalAttributePTDMap,MATCH($A4,attributeMapFeedProductType,0)+1,FALSE)&gt;0,1,0)</formula>
    </cfRule>
    <cfRule type="expression" dxfId="2" priority="17150">
      <formula>IF(VLOOKUP($G$3,preferredAttributePTDMap,MATCH($A4,attributeMapFeedProductType,0)+1,FALSE)&gt;0,1,0)</formula>
    </cfRule>
    <cfRule type="expression" dxfId="3" priority="17151">
      <formula>AND(IF(IFERROR(VLOOKUP($G$3,requiredAttributePTDMap,MATCH($A4,attributeMapFeedProductType,0)+1,FALSE),0)&gt;0,0,1),IF(IFERROR(VLOOKUP($G$3,optionalAttributePTDMap,MATCH($A4,attributeMapFeedProductType,0)+1,FALSE),0)&gt;0,0,1),IF(IFERROR(VLOOKUP($G$3,preferredAttributePTDMap,MATCH($A4,attributeMapFeedProductType,0)+1,FALSE),0)&gt;0,0,1),IF(IFERROR(MATCH($A4,attributeMapFeedProductType,0),0)&gt;0,1,0))</formula>
    </cfRule>
  </conditionalFormatting>
  <conditionalFormatting sqref="G5:G15">
    <cfRule type="expression" dxfId="4" priority="129">
      <formula>IF(LEN(G5)&gt;0,1,0)</formula>
    </cfRule>
  </conditionalFormatting>
  <conditionalFormatting sqref="H4:H1048576">
    <cfRule type="expression" dxfId="0" priority="17153">
      <formula>IF(VLOOKUP($H$3,requiredAttributePTDMap,MATCH($A4,attributeMapFeedProductType,0)+1,FALSE)&gt;0,1,0)</formula>
    </cfRule>
    <cfRule type="expression" dxfId="1" priority="17154">
      <formula>IF(VLOOKUP($H$3,optionalAttributePTDMap,MATCH($A4,attributeMapFeedProductType,0)+1,FALSE)&gt;0,1,0)</formula>
    </cfRule>
    <cfRule type="expression" dxfId="2" priority="17155">
      <formula>IF(VLOOKUP($H$3,preferredAttributePTDMap,MATCH($A4,attributeMapFeedProductType,0)+1,FALSE)&gt;0,1,0)</formula>
    </cfRule>
    <cfRule type="expression" dxfId="3" priority="17156">
      <formula>AND(IF(IFERROR(VLOOKUP($H$3,requiredAttributePTDMap,MATCH($A4,attributeMapFeedProductType,0)+1,FALSE),0)&gt;0,0,1),IF(IFERROR(VLOOKUP($H$3,optionalAttributePTDMap,MATCH($A4,attributeMapFeedProductType,0)+1,FALSE),0)&gt;0,0,1),IF(IFERROR(VLOOKUP($H$3,preferredAttributePTDMap,MATCH($A4,attributeMapFeedProductType,0)+1,FALSE),0)&gt;0,0,1),IF(IFERROR(MATCH($A4,attributeMapFeedProductType,0),0)&gt;0,1,0))</formula>
    </cfRule>
  </conditionalFormatting>
  <conditionalFormatting sqref="H4:H15">
    <cfRule type="expression" dxfId="4" priority="112">
      <formula>IF(LEN(H4)&gt;0,1,0)</formula>
    </cfRule>
    <cfRule type="expression" dxfId="0" priority="113">
      <formula>IF(VLOOKUP($G$3,requiredAttributePTDMap,MATCH($A4,attributeMapFeedProductType,0)+1,FALSE)&gt;0,1,0)</formula>
    </cfRule>
    <cfRule type="expression" dxfId="1" priority="114">
      <formula>IF(VLOOKUP($G$3,optionalAttributePTDMap,MATCH($A4,attributeMapFeedProductType,0)+1,FALSE)&gt;0,1,0)</formula>
    </cfRule>
    <cfRule type="expression" dxfId="2" priority="115">
      <formula>IF(VLOOKUP($G$3,preferredAttributePTDMap,MATCH($A4,attributeMapFeedProductType,0)+1,FALSE)&gt;0,1,0)</formula>
    </cfRule>
    <cfRule type="expression" dxfId="3" priority="116">
      <formula>AND(IF(IFERROR(VLOOKUP($G$3,requiredAttributePTDMap,MATCH($A4,attributeMapFeedProductType,0)+1,FALSE),0)&gt;0,0,1),IF(IFERROR(VLOOKUP($G$3,optionalAttributePTDMap,MATCH($A4,attributeMapFeedProductType,0)+1,FALSE),0)&gt;0,0,1),IF(IFERROR(VLOOKUP($G$3,preferredAttributePTDMap,MATCH($A4,attributeMapFeedProductType,0)+1,FALSE),0)&gt;0,0,1),IF(IFERROR(MATCH($A4,attributeMapFeedProductType,0),0)&gt;0,1,0))</formula>
    </cfRule>
  </conditionalFormatting>
  <conditionalFormatting sqref="I16:I1048576">
    <cfRule type="expression" dxfId="0" priority="17158">
      <formula>IF(VLOOKUP($I$3,requiredAttributePTDMap,MATCH($A16,attributeMapFeedProductType,0)+1,FALSE)&gt;0,1,0)</formula>
    </cfRule>
    <cfRule type="expression" dxfId="1" priority="17159">
      <formula>IF(VLOOKUP($I$3,optionalAttributePTDMap,MATCH($A16,attributeMapFeedProductType,0)+1,FALSE)&gt;0,1,0)</formula>
    </cfRule>
    <cfRule type="expression" dxfId="2" priority="17160">
      <formula>IF(VLOOKUP($I$3,preferredAttributePTDMap,MATCH($A16,attributeMapFeedProductType,0)+1,FALSE)&gt;0,1,0)</formula>
    </cfRule>
    <cfRule type="expression" dxfId="3" priority="17161">
      <formula>AND(IF(IFERROR(VLOOKUP($I$3,requiredAttributePTDMap,MATCH($A16,attributeMapFeedProductType,0)+1,FALSE),0)&gt;0,0,1),IF(IFERROR(VLOOKUP($I$3,optionalAttributePTDMap,MATCH($A16,attributeMapFeedProductType,0)+1,FALSE),0)&gt;0,0,1),IF(IFERROR(VLOOKUP($I$3,preferredAttributePTDMap,MATCH($A16,attributeMapFeedProductType,0)+1,FALSE),0)&gt;0,0,1),IF(IFERROR(MATCH($A16,attributeMapFeedProductType,0),0)&gt;0,1,0))</formula>
    </cfRule>
  </conditionalFormatting>
  <conditionalFormatting sqref="K4:K1048576">
    <cfRule type="expression" dxfId="0" priority="15542">
      <formula>IF(VLOOKUP($K$3,requiredAttributePTDMap,MATCH($A4,attributeMapFeedProductType,0)+1,FALSE)&gt;0,1,0)</formula>
    </cfRule>
    <cfRule type="expression" dxfId="1" priority="15543">
      <formula>IF(VLOOKUP($K$3,optionalAttributePTDMap,MATCH($A4,attributeMapFeedProductType,0)+1,FALSE)&gt;0,1,0)</formula>
    </cfRule>
    <cfRule type="expression" dxfId="2" priority="15544">
      <formula>IF(VLOOKUP($K$3,preferredAttributePTDMap,MATCH($A4,attributeMapFeedProductType,0)+1,FALSE)&gt;0,1,0)</formula>
    </cfRule>
    <cfRule type="expression" dxfId="3" priority="15545">
      <formula>AND(IF(IFERROR(VLOOKUP($K$3,requiredAttributePTDMap,MATCH($A4,attributeMapFeedProductType,0)+1,FALSE),0)&gt;0,0,1),IF(IFERROR(VLOOKUP($K$3,optionalAttributePTDMap,MATCH($A4,attributeMapFeedProductType,0)+1,FALSE),0)&gt;0,0,1),IF(IFERROR(VLOOKUP($K$3,preferredAttributePTDMap,MATCH($A4,attributeMapFeedProductType,0)+1,FALSE),0)&gt;0,0,1),IF(IFERROR(MATCH($A4,attributeMapFeedProductType,0),0)&gt;0,1,0))</formula>
    </cfRule>
  </conditionalFormatting>
  <conditionalFormatting sqref="L4:L1048576">
    <cfRule type="expression" dxfId="0" priority="15420">
      <formula>IF(VLOOKUP($L$3,requiredAttributePTDMap,MATCH($A4,attributeMapFeedProductType,0)+1,FALSE)&gt;0,1,0)</formula>
    </cfRule>
    <cfRule type="expression" dxfId="1" priority="15435">
      <formula>IF(VLOOKUP($L$3,optionalAttributePTDMap,MATCH($A4,attributeMapFeedProductType,0)+1,FALSE)&gt;0,1,0)</formula>
    </cfRule>
    <cfRule type="expression" dxfId="2" priority="15450">
      <formula>IF(VLOOKUP($L$3,preferredAttributePTDMap,MATCH($A4,attributeMapFeedProductType,0)+1,FALSE)&gt;0,1,0)</formula>
    </cfRule>
    <cfRule type="expression" dxfId="3" priority="15465">
      <formula>AND(IF(IFERROR(VLOOKUP($L$3,requiredAttributePTDMap,MATCH($A4,attributeMapFeedProductType,0)+1,FALSE),0)&gt;0,0,1),IF(IFERROR(VLOOKUP($L$3,optionalAttributePTDMap,MATCH($A4,attributeMapFeedProductType,0)+1,FALSE),0)&gt;0,0,1),IF(IFERROR(VLOOKUP($L$3,preferredAttributePTDMap,MATCH($A4,attributeMapFeedProductType,0)+1,FALSE),0)&gt;0,0,1),IF(IFERROR(MATCH($A4,attributeMapFeedProductType,0),0)&gt;0,1,0))</formula>
    </cfRule>
  </conditionalFormatting>
  <conditionalFormatting sqref="M4:M1048576">
    <cfRule type="expression" dxfId="0" priority="15495">
      <formula>IF(VLOOKUP($M$3,requiredAttributePTDMap,MATCH($A4,attributeMapFeedProductType,0)+1,FALSE)&gt;0,1,0)</formula>
    </cfRule>
    <cfRule type="expression" dxfId="1" priority="15510">
      <formula>IF(VLOOKUP($M$3,optionalAttributePTDMap,MATCH($A4,attributeMapFeedProductType,0)+1,FALSE)&gt;0,1,0)</formula>
    </cfRule>
    <cfRule type="expression" dxfId="2" priority="15525">
      <formula>IF(VLOOKUP($M$3,preferredAttributePTDMap,MATCH($A4,attributeMapFeedProductType,0)+1,FALSE)&gt;0,1,0)</formula>
    </cfRule>
    <cfRule type="expression" dxfId="3" priority="15540">
      <formula>AND(IF(IFERROR(VLOOKUP($M$3,requiredAttributePTDMap,MATCH($A4,attributeMapFeedProductType,0)+1,FALSE),0)&gt;0,0,1),IF(IFERROR(VLOOKUP($M$3,optionalAttributePTDMap,MATCH($A4,attributeMapFeedProductType,0)+1,FALSE),0)&gt;0,0,1),IF(IFERROR(VLOOKUP($M$3,preferredAttributePTDMap,MATCH($A4,attributeMapFeedProductType,0)+1,FALSE),0)&gt;0,0,1),IF(IFERROR(MATCH($A4,attributeMapFeedProductType,0),0)&gt;0,1,0))</formula>
    </cfRule>
  </conditionalFormatting>
  <conditionalFormatting sqref="N4:N1048576">
    <cfRule type="expression" dxfId="0" priority="15167">
      <formula>IF(VLOOKUP($N$3,requiredAttributePTDMap,MATCH($A4,attributeMapFeedProductType,0)+1,FALSE)&gt;0,1,0)</formula>
    </cfRule>
    <cfRule type="expression" dxfId="1" priority="15168">
      <formula>IF(VLOOKUP($N$3,optionalAttributePTDMap,MATCH($A4,attributeMapFeedProductType,0)+1,FALSE)&gt;0,1,0)</formula>
    </cfRule>
    <cfRule type="expression" dxfId="2" priority="15169">
      <formula>IF(VLOOKUP($N$3,preferredAttributePTDMap,MATCH($A4,attributeMapFeedProductType,0)+1,FALSE)&gt;0,1,0)</formula>
    </cfRule>
    <cfRule type="expression" dxfId="3" priority="15170">
      <formula>AND(IF(IFERROR(VLOOKUP($N$3,requiredAttributePTDMap,MATCH($A4,attributeMapFeedProductType,0)+1,FALSE),0)&gt;0,0,1),IF(IFERROR(VLOOKUP($N$3,optionalAttributePTDMap,MATCH($A4,attributeMapFeedProductType,0)+1,FALSE),0)&gt;0,0,1),IF(IFERROR(VLOOKUP($N$3,preferredAttributePTDMap,MATCH($A4,attributeMapFeedProductType,0)+1,FALSE),0)&gt;0,0,1),IF(IFERROR(MATCH($A4,attributeMapFeedProductType,0),0)&gt;0,1,0))</formula>
    </cfRule>
  </conditionalFormatting>
  <conditionalFormatting sqref="O4:O1048576">
    <cfRule type="expression" dxfId="0" priority="15382">
      <formula>IF(VLOOKUP($O$3,requiredAttributePTDMap,MATCH($A4,attributeMapFeedProductType,0)+1,FALSE)&gt;0,1,0)</formula>
    </cfRule>
    <cfRule type="expression" dxfId="1" priority="15383">
      <formula>IF(VLOOKUP($O$3,optionalAttributePTDMap,MATCH($A4,attributeMapFeedProductType,0)+1,FALSE)&gt;0,1,0)</formula>
    </cfRule>
    <cfRule type="expression" dxfId="2" priority="15384">
      <formula>IF(VLOOKUP($O$3,preferredAttributePTDMap,MATCH($A4,attributeMapFeedProductType,0)+1,FALSE)&gt;0,1,0)</formula>
    </cfRule>
    <cfRule type="expression" dxfId="3" priority="15385">
      <formula>AND(IF(IFERROR(VLOOKUP($O$3,requiredAttributePTDMap,MATCH($A4,attributeMapFeedProductType,0)+1,FALSE),0)&gt;0,0,1),IF(IFERROR(VLOOKUP($O$3,optionalAttributePTDMap,MATCH($A4,attributeMapFeedProductType,0)+1,FALSE),0)&gt;0,0,1),IF(IFERROR(VLOOKUP($O$3,preferredAttributePTDMap,MATCH($A4,attributeMapFeedProductType,0)+1,FALSE),0)&gt;0,0,1),IF(IFERROR(MATCH($A4,attributeMapFeedProductType,0),0)&gt;0,1,0))</formula>
    </cfRule>
  </conditionalFormatting>
  <conditionalFormatting sqref="P4:P1048576">
    <cfRule type="expression" dxfId="0" priority="15387">
      <formula>IF(VLOOKUP($P$3,requiredAttributePTDMap,MATCH($A4,attributeMapFeedProductType,0)+1,FALSE)&gt;0,1,0)</formula>
    </cfRule>
    <cfRule type="expression" dxfId="1" priority="15388">
      <formula>IF(VLOOKUP($P$3,optionalAttributePTDMap,MATCH($A4,attributeMapFeedProductType,0)+1,FALSE)&gt;0,1,0)</formula>
    </cfRule>
    <cfRule type="expression" dxfId="2" priority="15389">
      <formula>IF(VLOOKUP($P$3,preferredAttributePTDMap,MATCH($A4,attributeMapFeedProductType,0)+1,FALSE)&gt;0,1,0)</formula>
    </cfRule>
    <cfRule type="expression" dxfId="3" priority="15390">
      <formula>AND(IF(IFERROR(VLOOKUP($P$3,requiredAttributePTDMap,MATCH($A4,attributeMapFeedProductType,0)+1,FALSE),0)&gt;0,0,1),IF(IFERROR(VLOOKUP($P$3,optionalAttributePTDMap,MATCH($A4,attributeMapFeedProductType,0)+1,FALSE),0)&gt;0,0,1),IF(IFERROR(VLOOKUP($P$3,preferredAttributePTDMap,MATCH($A4,attributeMapFeedProductType,0)+1,FALSE),0)&gt;0,0,1),IF(IFERROR(MATCH($A4,attributeMapFeedProductType,0),0)&gt;0,1,0))</formula>
    </cfRule>
  </conditionalFormatting>
  <conditionalFormatting sqref="R16:R1048576">
    <cfRule type="expression" dxfId="0" priority="17203">
      <formula>IF(VLOOKUP($R$3,requiredAttributePTDMap,MATCH($A16,attributeMapFeedProductType,0)+1,FALSE)&gt;0,1,0)</formula>
    </cfRule>
    <cfRule type="expression" dxfId="1" priority="17204">
      <formula>IF(VLOOKUP($R$3,optionalAttributePTDMap,MATCH($A16,attributeMapFeedProductType,0)+1,FALSE)&gt;0,1,0)</formula>
    </cfRule>
    <cfRule type="expression" dxfId="2" priority="17205">
      <formula>IF(VLOOKUP($R$3,preferredAttributePTDMap,MATCH($A16,attributeMapFeedProductType,0)+1,FALSE)&gt;0,1,0)</formula>
    </cfRule>
    <cfRule type="expression" dxfId="3" priority="17206">
      <formula>AND(IF(IFERROR(VLOOKUP($R$3,requiredAttributePTDMap,MATCH($A16,attributeMapFeedProductType,0)+1,FALSE),0)&gt;0,0,1),IF(IFERROR(VLOOKUP($R$3,optionalAttributePTDMap,MATCH($A16,attributeMapFeedProductType,0)+1,FALSE),0)&gt;0,0,1),IF(IFERROR(VLOOKUP($R$3,preferredAttributePTDMap,MATCH($A16,attributeMapFeedProductType,0)+1,FALSE),0)&gt;0,0,1),IF(IFERROR(MATCH($A16,attributeMapFeedProductType,0),0)&gt;0,1,0))</formula>
    </cfRule>
  </conditionalFormatting>
  <conditionalFormatting sqref="S4:S1048576">
    <cfRule type="expression" dxfId="0" priority="14958">
      <formula>IF(VLOOKUP($S$3,requiredAttributePTDMap,MATCH($A4,attributeMapFeedProductType,0)+1,FALSE)&gt;0,1,0)</formula>
    </cfRule>
    <cfRule type="expression" dxfId="1" priority="14973">
      <formula>IF(VLOOKUP($S$3,optionalAttributePTDMap,MATCH($A4,attributeMapFeedProductType,0)+1,FALSE)&gt;0,1,0)</formula>
    </cfRule>
    <cfRule type="expression" dxfId="2" priority="14988">
      <formula>IF(VLOOKUP($S$3,preferredAttributePTDMap,MATCH($A4,attributeMapFeedProductType,0)+1,FALSE)&gt;0,1,0)</formula>
    </cfRule>
    <cfRule type="expression" dxfId="3" priority="15003">
      <formula>AND(IF(IFERROR(VLOOKUP($S$3,requiredAttributePTDMap,MATCH($A4,attributeMapFeedProductType,0)+1,FALSE),0)&gt;0,0,1),IF(IFERROR(VLOOKUP($S$3,optionalAttributePTDMap,MATCH($A4,attributeMapFeedProductType,0)+1,FALSE),0)&gt;0,0,1),IF(IFERROR(VLOOKUP($S$3,preferredAttributePTDMap,MATCH($A4,attributeMapFeedProductType,0)+1,FALSE),0)&gt;0,0,1),IF(IFERROR(MATCH($A4,attributeMapFeedProductType,0),0)&gt;0,1,0))</formula>
    </cfRule>
  </conditionalFormatting>
  <conditionalFormatting sqref="T4:T1048576">
    <cfRule type="expression" dxfId="0" priority="15033">
      <formula>IF(VLOOKUP($T$3,requiredAttributePTDMap,MATCH($A4,attributeMapFeedProductType,0)+1,FALSE)&gt;0,1,0)</formula>
    </cfRule>
    <cfRule type="expression" dxfId="1" priority="15048">
      <formula>IF(VLOOKUP($T$3,optionalAttributePTDMap,MATCH($A4,attributeMapFeedProductType,0)+1,FALSE)&gt;0,1,0)</formula>
    </cfRule>
    <cfRule type="expression" dxfId="2" priority="15063">
      <formula>IF(VLOOKUP($T$3,preferredAttributePTDMap,MATCH($A4,attributeMapFeedProductType,0)+1,FALSE)&gt;0,1,0)</formula>
    </cfRule>
    <cfRule type="expression" dxfId="3" priority="15078">
      <formula>AND(IF(IFERROR(VLOOKUP($T$3,requiredAttributePTDMap,MATCH($A4,attributeMapFeedProductType,0)+1,FALSE),0)&gt;0,0,1),IF(IFERROR(VLOOKUP($T$3,optionalAttributePTDMap,MATCH($A4,attributeMapFeedProductType,0)+1,FALSE),0)&gt;0,0,1),IF(IFERROR(VLOOKUP($T$3,preferredAttributePTDMap,MATCH($A4,attributeMapFeedProductType,0)+1,FALSE),0)&gt;0,0,1),IF(IFERROR(MATCH($A4,attributeMapFeedProductType,0),0)&gt;0,1,0))</formula>
    </cfRule>
  </conditionalFormatting>
  <conditionalFormatting sqref="U4:U1048576">
    <cfRule type="expression" dxfId="0" priority="15108">
      <formula>IF(VLOOKUP($U$3,requiredAttributePTDMap,MATCH($A4,attributeMapFeedProductType,0)+1,FALSE)&gt;0,1,0)</formula>
    </cfRule>
    <cfRule type="expression" dxfId="1" priority="15123">
      <formula>IF(VLOOKUP($U$3,optionalAttributePTDMap,MATCH($A4,attributeMapFeedProductType,0)+1,FALSE)&gt;0,1,0)</formula>
    </cfRule>
    <cfRule type="expression" dxfId="2" priority="15138">
      <formula>IF(VLOOKUP($U$3,preferredAttributePTDMap,MATCH($A4,attributeMapFeedProductType,0)+1,FALSE)&gt;0,1,0)</formula>
    </cfRule>
    <cfRule type="expression" dxfId="3" priority="15153">
      <formula>AND(IF(IFERROR(VLOOKUP($U$3,requiredAttributePTDMap,MATCH($A4,attributeMapFeedProductType,0)+1,FALSE),0)&gt;0,0,1),IF(IFERROR(VLOOKUP($U$3,optionalAttributePTDMap,MATCH($A4,attributeMapFeedProductType,0)+1,FALSE),0)&gt;0,0,1),IF(IFERROR(VLOOKUP($U$3,preferredAttributePTDMap,MATCH($A4,attributeMapFeedProductType,0)+1,FALSE),0)&gt;0,0,1),IF(IFERROR(MATCH($A4,attributeMapFeedProductType,0),0)&gt;0,1,0))</formula>
    </cfRule>
  </conditionalFormatting>
  <conditionalFormatting sqref="V16:V1048576">
    <cfRule type="expression" dxfId="0" priority="17223">
      <formula>IF(VLOOKUP($V$3,requiredAttributePTDMap,MATCH($A16,attributeMapFeedProductType,0)+1,FALSE)&gt;0,1,0)</formula>
    </cfRule>
    <cfRule type="expression" dxfId="1" priority="17224">
      <formula>IF(VLOOKUP($V$3,optionalAttributePTDMap,MATCH($A16,attributeMapFeedProductType,0)+1,FALSE)&gt;0,1,0)</formula>
    </cfRule>
    <cfRule type="expression" dxfId="2" priority="17225">
      <formula>IF(VLOOKUP($V$3,preferredAttributePTDMap,MATCH($A16,attributeMapFeedProductType,0)+1,FALSE)&gt;0,1,0)</formula>
    </cfRule>
    <cfRule type="expression" dxfId="3" priority="17226">
      <formula>AND(IF(IFERROR(VLOOKUP($V$3,requiredAttributePTDMap,MATCH($A16,attributeMapFeedProductType,0)+1,FALSE),0)&gt;0,0,1),IF(IFERROR(VLOOKUP($V$3,optionalAttributePTDMap,MATCH($A16,attributeMapFeedProductType,0)+1,FALSE),0)&gt;0,0,1),IF(IFERROR(VLOOKUP($V$3,preferredAttributePTDMap,MATCH($A16,attributeMapFeedProductType,0)+1,FALSE),0)&gt;0,0,1),IF(IFERROR(MATCH($A16,attributeMapFeedProductType,0),0)&gt;0,1,0))</formula>
    </cfRule>
  </conditionalFormatting>
  <conditionalFormatting sqref="Z4:Z1048576">
    <cfRule type="expression" dxfId="0" priority="14814">
      <formula>IF(VLOOKUP($Z$3,requiredAttributePTDMap,MATCH($A4,attributeMapFeedProductType,0)+1,FALSE)&gt;0,1,0)</formula>
    </cfRule>
    <cfRule type="expression" dxfId="1" priority="14829">
      <formula>IF(VLOOKUP($Z$3,optionalAttributePTDMap,MATCH($A4,attributeMapFeedProductType,0)+1,FALSE)&gt;0,1,0)</formula>
    </cfRule>
    <cfRule type="expression" dxfId="2" priority="14844">
      <formula>IF(VLOOKUP($Z$3,preferredAttributePTDMap,MATCH($A4,attributeMapFeedProductType,0)+1,FALSE)&gt;0,1,0)</formula>
    </cfRule>
    <cfRule type="expression" dxfId="3" priority="14859">
      <formula>AND(IF(IFERROR(VLOOKUP($Z$3,requiredAttributePTDMap,MATCH($A4,attributeMapFeedProductType,0)+1,FALSE),0)&gt;0,0,1),IF(IFERROR(VLOOKUP($Z$3,optionalAttributePTDMap,MATCH($A4,attributeMapFeedProductType,0)+1,FALSE),0)&gt;0,0,1),IF(IFERROR(VLOOKUP($Z$3,preferredAttributePTDMap,MATCH($A4,attributeMapFeedProductType,0)+1,FALSE),0)&gt;0,0,1),IF(IFERROR(MATCH($A4,attributeMapFeedProductType,0),0)&gt;0,1,0))</formula>
    </cfRule>
  </conditionalFormatting>
  <conditionalFormatting sqref="AA4:AA1048576">
    <cfRule type="expression" dxfId="0" priority="14883">
      <formula>IF(VLOOKUP($AA$3,requiredAttributePTDMap,MATCH($A4,attributeMapFeedProductType,0)+1,FALSE)&gt;0,1,0)</formula>
    </cfRule>
    <cfRule type="expression" dxfId="1" priority="14898">
      <formula>IF(VLOOKUP($AA$3,optionalAttributePTDMap,MATCH($A4,attributeMapFeedProductType,0)+1,FALSE)&gt;0,1,0)</formula>
    </cfRule>
    <cfRule type="expression" dxfId="2" priority="14913">
      <formula>IF(VLOOKUP($AA$3,preferredAttributePTDMap,MATCH($A4,attributeMapFeedProductType,0)+1,FALSE)&gt;0,1,0)</formula>
    </cfRule>
    <cfRule type="expression" dxfId="3" priority="14928">
      <formula>AND(IF(IFERROR(VLOOKUP($AA$3,requiredAttributePTDMap,MATCH($A4,attributeMapFeedProductType,0)+1,FALSE),0)&gt;0,0,1),IF(IFERROR(VLOOKUP($AA$3,optionalAttributePTDMap,MATCH($A4,attributeMapFeedProductType,0)+1,FALSE),0)&gt;0,0,1),IF(IFERROR(VLOOKUP($AA$3,preferredAttributePTDMap,MATCH($A4,attributeMapFeedProductType,0)+1,FALSE),0)&gt;0,0,1),IF(IFERROR(MATCH($A4,attributeMapFeedProductType,0),0)&gt;0,1,0))</formula>
    </cfRule>
  </conditionalFormatting>
  <conditionalFormatting sqref="AB4:AB15">
    <cfRule type="expression" dxfId="4" priority="17252">
      <formula>IF(LEN(AB4)&gt;0,1,0)</formula>
    </cfRule>
  </conditionalFormatting>
  <conditionalFormatting sqref="AB4:AB1048576">
    <cfRule type="expression" dxfId="0" priority="17253">
      <formula>IF(VLOOKUP($AB$3,requiredAttributePTDMap,MATCH($A4,attributeMapFeedProductType,0)+1,FALSE)&gt;0,1,0)</formula>
    </cfRule>
    <cfRule type="expression" dxfId="1" priority="17254">
      <formula>IF(VLOOKUP($AB$3,optionalAttributePTDMap,MATCH($A4,attributeMapFeedProductType,0)+1,FALSE)&gt;0,1,0)</formula>
    </cfRule>
    <cfRule type="expression" dxfId="2" priority="17255">
      <formula>IF(VLOOKUP($AB$3,preferredAttributePTDMap,MATCH($A4,attributeMapFeedProductType,0)+1,FALSE)&gt;0,1,0)</formula>
    </cfRule>
    <cfRule type="expression" dxfId="3" priority="17256">
      <formula>AND(IF(IFERROR(VLOOKUP($AB$3,requiredAttributePTDMap,MATCH($A4,attributeMapFeedProductType,0)+1,FALSE),0)&gt;0,0,1),IF(IFERROR(VLOOKUP($AB$3,optionalAttributePTDMap,MATCH($A4,attributeMapFeedProductType,0)+1,FALSE),0)&gt;0,0,1),IF(IFERROR(VLOOKUP($AB$3,preferredAttributePTDMap,MATCH($A4,attributeMapFeedProductType,0)+1,FALSE),0)&gt;0,0,1),IF(IFERROR(MATCH($A4,attributeMapFeedProductType,0),0)&gt;0,1,0))</formula>
    </cfRule>
  </conditionalFormatting>
  <conditionalFormatting sqref="AC5:AC1048576">
    <cfRule type="expression" dxfId="0" priority="17258">
      <formula>IF(VLOOKUP($AC$3,requiredAttributePTDMap,MATCH($A5,attributeMapFeedProductType,0)+1,FALSE)&gt;0,1,0)</formula>
    </cfRule>
    <cfRule type="expression" dxfId="1" priority="17259">
      <formula>IF(VLOOKUP($AC$3,optionalAttributePTDMap,MATCH($A5,attributeMapFeedProductType,0)+1,FALSE)&gt;0,1,0)</formula>
    </cfRule>
    <cfRule type="expression" dxfId="2" priority="17260">
      <formula>IF(VLOOKUP($AC$3,preferredAttributePTDMap,MATCH($A5,attributeMapFeedProductType,0)+1,FALSE)&gt;0,1,0)</formula>
    </cfRule>
    <cfRule type="expression" dxfId="3" priority="17261">
      <formula>AND(IF(IFERROR(VLOOKUP($AC$3,requiredAttributePTDMap,MATCH($A5,attributeMapFeedProductType,0)+1,FALSE),0)&gt;0,0,1),IF(IFERROR(VLOOKUP($AC$3,optionalAttributePTDMap,MATCH($A5,attributeMapFeedProductType,0)+1,FALSE),0)&gt;0,0,1),IF(IFERROR(VLOOKUP($AC$3,preferredAttributePTDMap,MATCH($A5,attributeMapFeedProductType,0)+1,FALSE),0)&gt;0,0,1),IF(IFERROR(MATCH($A5,attributeMapFeedProductType,0),0)&gt;0,1,0))</formula>
    </cfRule>
  </conditionalFormatting>
  <conditionalFormatting sqref="AD5:AD1048576">
    <cfRule type="expression" dxfId="0" priority="17263">
      <formula>IF(VLOOKUP($AD$3,requiredAttributePTDMap,MATCH($A5,attributeMapFeedProductType,0)+1,FALSE)&gt;0,1,0)</formula>
    </cfRule>
    <cfRule type="expression" dxfId="1" priority="17264">
      <formula>IF(VLOOKUP($AD$3,optionalAttributePTDMap,MATCH($A5,attributeMapFeedProductType,0)+1,FALSE)&gt;0,1,0)</formula>
    </cfRule>
    <cfRule type="expression" dxfId="2" priority="17265">
      <formula>IF(VLOOKUP($AD$3,preferredAttributePTDMap,MATCH($A5,attributeMapFeedProductType,0)+1,FALSE)&gt;0,1,0)</formula>
    </cfRule>
    <cfRule type="expression" dxfId="3" priority="17266">
      <formula>AND(IF(IFERROR(VLOOKUP($AD$3,requiredAttributePTDMap,MATCH($A5,attributeMapFeedProductType,0)+1,FALSE),0)&gt;0,0,1),IF(IFERROR(VLOOKUP($AD$3,optionalAttributePTDMap,MATCH($A5,attributeMapFeedProductType,0)+1,FALSE),0)&gt;0,0,1),IF(IFERROR(VLOOKUP($AD$3,preferredAttributePTDMap,MATCH($A5,attributeMapFeedProductType,0)+1,FALSE),0)&gt;0,0,1),IF(IFERROR(MATCH($A5,attributeMapFeedProductType,0),0)&gt;0,1,0))</formula>
    </cfRule>
  </conditionalFormatting>
  <conditionalFormatting sqref="AE5:AE1048576">
    <cfRule type="expression" dxfId="0" priority="17268">
      <formula>IF(VLOOKUP($AE$3,requiredAttributePTDMap,MATCH($A5,attributeMapFeedProductType,0)+1,FALSE)&gt;0,1,0)</formula>
    </cfRule>
    <cfRule type="expression" dxfId="1" priority="17269">
      <formula>IF(VLOOKUP($AE$3,optionalAttributePTDMap,MATCH($A5,attributeMapFeedProductType,0)+1,FALSE)&gt;0,1,0)</formula>
    </cfRule>
    <cfRule type="expression" dxfId="2" priority="17270">
      <formula>IF(VLOOKUP($AE$3,preferredAttributePTDMap,MATCH($A5,attributeMapFeedProductType,0)+1,FALSE)&gt;0,1,0)</formula>
    </cfRule>
    <cfRule type="expression" dxfId="3" priority="17271">
      <formula>AND(IF(IFERROR(VLOOKUP($AE$3,requiredAttributePTDMap,MATCH($A5,attributeMapFeedProductType,0)+1,FALSE),0)&gt;0,0,1),IF(IFERROR(VLOOKUP($AE$3,optionalAttributePTDMap,MATCH($A5,attributeMapFeedProductType,0)+1,FALSE),0)&gt;0,0,1),IF(IFERROR(VLOOKUP($AE$3,preferredAttributePTDMap,MATCH($A5,attributeMapFeedProductType,0)+1,FALSE),0)&gt;0,0,1),IF(IFERROR(MATCH($A5,attributeMapFeedProductType,0),0)&gt;0,1,0))</formula>
    </cfRule>
  </conditionalFormatting>
  <conditionalFormatting sqref="AF5:AF1048576">
    <cfRule type="expression" dxfId="0" priority="17273">
      <formula>IF(VLOOKUP($AF$3,requiredAttributePTDMap,MATCH($A5,attributeMapFeedProductType,0)+1,FALSE)&gt;0,1,0)</formula>
    </cfRule>
    <cfRule type="expression" dxfId="1" priority="17274">
      <formula>IF(VLOOKUP($AF$3,optionalAttributePTDMap,MATCH($A5,attributeMapFeedProductType,0)+1,FALSE)&gt;0,1,0)</formula>
    </cfRule>
    <cfRule type="expression" dxfId="2" priority="17275">
      <formula>IF(VLOOKUP($AF$3,preferredAttributePTDMap,MATCH($A5,attributeMapFeedProductType,0)+1,FALSE)&gt;0,1,0)</formula>
    </cfRule>
    <cfRule type="expression" dxfId="3" priority="17276">
      <formula>AND(IF(IFERROR(VLOOKUP($AF$3,requiredAttributePTDMap,MATCH($A5,attributeMapFeedProductType,0)+1,FALSE),0)&gt;0,0,1),IF(IFERROR(VLOOKUP($AF$3,optionalAttributePTDMap,MATCH($A5,attributeMapFeedProductType,0)+1,FALSE),0)&gt;0,0,1),IF(IFERROR(VLOOKUP($AF$3,preferredAttributePTDMap,MATCH($A5,attributeMapFeedProductType,0)+1,FALSE),0)&gt;0,0,1),IF(IFERROR(MATCH($A5,attributeMapFeedProductType,0),0)&gt;0,1,0))</formula>
    </cfRule>
  </conditionalFormatting>
  <conditionalFormatting sqref="AG16:AG1048576">
    <cfRule type="expression" dxfId="0" priority="17278">
      <formula>IF(VLOOKUP($AG$3,requiredAttributePTDMap,MATCH($A16,attributeMapFeedProductType,0)+1,FALSE)&gt;0,1,0)</formula>
    </cfRule>
    <cfRule type="expression" dxfId="1" priority="17279">
      <formula>IF(VLOOKUP($AG$3,optionalAttributePTDMap,MATCH($A16,attributeMapFeedProductType,0)+1,FALSE)&gt;0,1,0)</formula>
    </cfRule>
    <cfRule type="expression" dxfId="2" priority="17280">
      <formula>IF(VLOOKUP($AG$3,preferredAttributePTDMap,MATCH($A16,attributeMapFeedProductType,0)+1,FALSE)&gt;0,1,0)</formula>
    </cfRule>
    <cfRule type="expression" dxfId="3" priority="17281">
      <formula>AND(IF(IFERROR(VLOOKUP($AG$3,requiredAttributePTDMap,MATCH($A16,attributeMapFeedProductType,0)+1,FALSE),0)&gt;0,0,1),IF(IFERROR(VLOOKUP($AG$3,optionalAttributePTDMap,MATCH($A16,attributeMapFeedProductType,0)+1,FALSE),0)&gt;0,0,1),IF(IFERROR(VLOOKUP($AG$3,preferredAttributePTDMap,MATCH($A16,attributeMapFeedProductType,0)+1,FALSE),0)&gt;0,0,1),IF(IFERROR(MATCH($A16,attributeMapFeedProductType,0),0)&gt;0,1,0))</formula>
    </cfRule>
  </conditionalFormatting>
  <conditionalFormatting sqref="AH8:AH1048576">
    <cfRule type="expression" dxfId="0" priority="17283">
      <formula>IF(VLOOKUP($AH$3,requiredAttributePTDMap,MATCH($A8,attributeMapFeedProductType,0)+1,FALSE)&gt;0,1,0)</formula>
    </cfRule>
    <cfRule type="expression" dxfId="1" priority="17284">
      <formula>IF(VLOOKUP($AH$3,optionalAttributePTDMap,MATCH($A8,attributeMapFeedProductType,0)+1,FALSE)&gt;0,1,0)</formula>
    </cfRule>
    <cfRule type="expression" dxfId="2" priority="17285">
      <formula>IF(VLOOKUP($AH$3,preferredAttributePTDMap,MATCH($A8,attributeMapFeedProductType,0)+1,FALSE)&gt;0,1,0)</formula>
    </cfRule>
    <cfRule type="expression" dxfId="3" priority="17286">
      <formula>AND(IF(IFERROR(VLOOKUP($AH$3,requiredAttributePTDMap,MATCH($A8,attributeMapFeedProductType,0)+1,FALSE),0)&gt;0,0,1),IF(IFERROR(VLOOKUP($AH$3,optionalAttributePTDMap,MATCH($A8,attributeMapFeedProductType,0)+1,FALSE),0)&gt;0,0,1),IF(IFERROR(VLOOKUP($AH$3,preferredAttributePTDMap,MATCH($A8,attributeMapFeedProductType,0)+1,FALSE),0)&gt;0,0,1),IF(IFERROR(MATCH($A8,attributeMapFeedProductType,0),0)&gt;0,1,0))</formula>
    </cfRule>
  </conditionalFormatting>
  <conditionalFormatting sqref="AI5:AI1048576">
    <cfRule type="expression" dxfId="0" priority="17288">
      <formula>IF(VLOOKUP($AI$3,requiredAttributePTDMap,MATCH($A5,attributeMapFeedProductType,0)+1,FALSE)&gt;0,1,0)</formula>
    </cfRule>
    <cfRule type="expression" dxfId="1" priority="17289">
      <formula>IF(VLOOKUP($AI$3,optionalAttributePTDMap,MATCH($A5,attributeMapFeedProductType,0)+1,FALSE)&gt;0,1,0)</formula>
    </cfRule>
    <cfRule type="expression" dxfId="2" priority="17290">
      <formula>IF(VLOOKUP($AI$3,preferredAttributePTDMap,MATCH($A5,attributeMapFeedProductType,0)+1,FALSE)&gt;0,1,0)</formula>
    </cfRule>
    <cfRule type="expression" dxfId="3" priority="17291">
      <formula>AND(IF(IFERROR(VLOOKUP($AI$3,requiredAttributePTDMap,MATCH($A5,attributeMapFeedProductType,0)+1,FALSE),0)&gt;0,0,1),IF(IFERROR(VLOOKUP($AI$3,optionalAttributePTDMap,MATCH($A5,attributeMapFeedProductType,0)+1,FALSE),0)&gt;0,0,1),IF(IFERROR(VLOOKUP($AI$3,preferredAttributePTDMap,MATCH($A5,attributeMapFeedProductType,0)+1,FALSE),0)&gt;0,0,1),IF(IFERROR(MATCH($A5,attributeMapFeedProductType,0),0)&gt;0,1,0))</formula>
    </cfRule>
  </conditionalFormatting>
  <conditionalFormatting sqref="AJ5:AJ1048576">
    <cfRule type="expression" dxfId="0" priority="17293">
      <formula>IF(VLOOKUP($AJ$3,requiredAttributePTDMap,MATCH($A5,attributeMapFeedProductType,0)+1,FALSE)&gt;0,1,0)</formula>
    </cfRule>
    <cfRule type="expression" dxfId="1" priority="17294">
      <formula>IF(VLOOKUP($AJ$3,optionalAttributePTDMap,MATCH($A5,attributeMapFeedProductType,0)+1,FALSE)&gt;0,1,0)</formula>
    </cfRule>
    <cfRule type="expression" dxfId="2" priority="17295">
      <formula>IF(VLOOKUP($AJ$3,preferredAttributePTDMap,MATCH($A5,attributeMapFeedProductType,0)+1,FALSE)&gt;0,1,0)</formula>
    </cfRule>
    <cfRule type="expression" dxfId="3" priority="17296">
      <formula>AND(IF(IFERROR(VLOOKUP($AJ$3,requiredAttributePTDMap,MATCH($A5,attributeMapFeedProductType,0)+1,FALSE),0)&gt;0,0,1),IF(IFERROR(VLOOKUP($AJ$3,optionalAttributePTDMap,MATCH($A5,attributeMapFeedProductType,0)+1,FALSE),0)&gt;0,0,1),IF(IFERROR(VLOOKUP($AJ$3,preferredAttributePTDMap,MATCH($A5,attributeMapFeedProductType,0)+1,FALSE),0)&gt;0,0,1),IF(IFERROR(MATCH($A5,attributeMapFeedProductType,0),0)&gt;0,1,0))</formula>
    </cfRule>
  </conditionalFormatting>
  <conditionalFormatting sqref="AL4:AL15">
    <cfRule type="expression" dxfId="4" priority="1">
      <formula>IF(LEN(AL4)&gt;0,1,0)</formula>
    </cfRule>
    <cfRule type="expression" dxfId="0" priority="2">
      <formula>IF(VLOOKUP($AL$3,requiredAttributePTDMap,MATCH($A4,attributeMapFeedProductType,0)+1,FALSE)&gt;0,1,0)</formula>
    </cfRule>
    <cfRule type="expression" dxfId="1" priority="3">
      <formula>IF(VLOOKUP($AL$3,optionalAttributePTDMap,MATCH($A4,attributeMapFeedProductType,0)+1,FALSE)&gt;0,1,0)</formula>
    </cfRule>
    <cfRule type="expression" dxfId="2" priority="4">
      <formula>IF(VLOOKUP($AL$3,preferredAttributePTDMap,MATCH($A4,attributeMapFeedProductType,0)+1,FALSE)&gt;0,1,0)</formula>
    </cfRule>
    <cfRule type="expression" dxfId="3" priority="5">
      <formula>AND(IF(IFERROR(VLOOKUP($AL$3,requiredAttributePTDMap,MATCH($A4,attributeMapFeedProductType,0)+1,FALSE),0)&gt;0,0,1),IF(IFERROR(VLOOKUP($AL$3,optionalAttributePTDMap,MATCH($A4,attributeMapFeedProductType,0)+1,FALSE),0)&gt;0,0,1),IF(IFERROR(VLOOKUP($AL$3,preferredAttributePTDMap,MATCH($A4,attributeMapFeedProductType,0)+1,FALSE),0)&gt;0,0,1),IF(IFERROR(MATCH($A4,attributeMapFeedProductType,0),0)&gt;0,1,0))</formula>
    </cfRule>
  </conditionalFormatting>
  <conditionalFormatting sqref="AL16:AL1048576">
    <cfRule type="expression" dxfId="0" priority="17303">
      <formula>IF(VLOOKUP($AL$3,requiredAttributePTDMap,MATCH($A16,attributeMapFeedProductType,0)+1,FALSE)&gt;0,1,0)</formula>
    </cfRule>
    <cfRule type="expression" dxfId="1" priority="17304">
      <formula>IF(VLOOKUP($AL$3,optionalAttributePTDMap,MATCH($A16,attributeMapFeedProductType,0)+1,FALSE)&gt;0,1,0)</formula>
    </cfRule>
    <cfRule type="expression" dxfId="2" priority="17305">
      <formula>IF(VLOOKUP($AL$3,preferredAttributePTDMap,MATCH($A16,attributeMapFeedProductType,0)+1,FALSE)&gt;0,1,0)</formula>
    </cfRule>
    <cfRule type="expression" dxfId="3" priority="17306">
      <formula>AND(IF(IFERROR(VLOOKUP($AL$3,requiredAttributePTDMap,MATCH($A16,attributeMapFeedProductType,0)+1,FALSE),0)&gt;0,0,1),IF(IFERROR(VLOOKUP($AL$3,optionalAttributePTDMap,MATCH($A16,attributeMapFeedProductType,0)+1,FALSE),0)&gt;0,0,1),IF(IFERROR(VLOOKUP($AL$3,preferredAttributePTDMap,MATCH($A16,attributeMapFeedProductType,0)+1,FALSE),0)&gt;0,0,1),IF(IFERROR(MATCH($A16,attributeMapFeedProductType,0),0)&gt;0,1,0))</formula>
    </cfRule>
  </conditionalFormatting>
  <conditionalFormatting sqref="AM16:AM1048576">
    <cfRule type="expression" dxfId="0" priority="1352">
      <formula>IF(VLOOKUP($AM$3,requiredAttributePTDMap,MATCH($A16,attributeMapFeedProductType,0)+1,FALSE)&gt;0,1,0)</formula>
    </cfRule>
    <cfRule type="expression" dxfId="1" priority="1353">
      <formula>IF(VLOOKUP($AM$3,optionalAttributePTDMap,MATCH($A16,attributeMapFeedProductType,0)+1,FALSE)&gt;0,1,0)</formula>
    </cfRule>
    <cfRule type="expression" dxfId="2" priority="1354">
      <formula>IF(VLOOKUP($AM$3,preferredAttributePTDMap,MATCH($A16,attributeMapFeedProductType,0)+1,FALSE)&gt;0,1,0)</formula>
    </cfRule>
    <cfRule type="expression" dxfId="3" priority="1355">
      <formula>AND(IF(IFERROR(VLOOKUP($AM$3,requiredAttributePTDMap,MATCH($A16,attributeMapFeedProductType,0)+1,FALSE),0)&gt;0,0,1),IF(IFERROR(VLOOKUP($AM$3,optionalAttributePTDMap,MATCH($A16,attributeMapFeedProductType,0)+1,FALSE),0)&gt;0,0,1),IF(IFERROR(VLOOKUP($AM$3,preferredAttributePTDMap,MATCH($A16,attributeMapFeedProductType,0)+1,FALSE),0)&gt;0,0,1),IF(IFERROR(MATCH($A16,attributeMapFeedProductType,0),0)&gt;0,1,0))</formula>
    </cfRule>
  </conditionalFormatting>
  <conditionalFormatting sqref="AN4:AN1048576">
    <cfRule type="expression" dxfId="0" priority="1357">
      <formula>IF(VLOOKUP($AN$3,requiredAttributePTDMap,MATCH($A4,attributeMapFeedProductType,0)+1,FALSE)&gt;0,1,0)</formula>
    </cfRule>
    <cfRule type="expression" dxfId="1" priority="1358">
      <formula>IF(VLOOKUP($AN$3,optionalAttributePTDMap,MATCH($A4,attributeMapFeedProductType,0)+1,FALSE)&gt;0,1,0)</formula>
    </cfRule>
    <cfRule type="expression" dxfId="2" priority="1359">
      <formula>IF(VLOOKUP($AN$3,preferredAttributePTDMap,MATCH($A4,attributeMapFeedProductType,0)+1,FALSE)&gt;0,1,0)</formula>
    </cfRule>
    <cfRule type="expression" dxfId="3" priority="1360">
      <formula>AND(IF(IFERROR(VLOOKUP($AN$3,requiredAttributePTDMap,MATCH($A4,attributeMapFeedProductType,0)+1,FALSE),0)&gt;0,0,1),IF(IFERROR(VLOOKUP($AN$3,optionalAttributePTDMap,MATCH($A4,attributeMapFeedProductType,0)+1,FALSE),0)&gt;0,0,1),IF(IFERROR(VLOOKUP($AN$3,preferredAttributePTDMap,MATCH($A4,attributeMapFeedProductType,0)+1,FALSE),0)&gt;0,0,1),IF(IFERROR(MATCH($A4,attributeMapFeedProductType,0),0)&gt;0,1,0))</formula>
    </cfRule>
  </conditionalFormatting>
  <conditionalFormatting sqref="AO4:AO1048576">
    <cfRule type="expression" dxfId="0" priority="1362">
      <formula>IF(VLOOKUP($AO$3,requiredAttributePTDMap,MATCH($A4,attributeMapFeedProductType,0)+1,FALSE)&gt;0,1,0)</formula>
    </cfRule>
    <cfRule type="expression" dxfId="1" priority="1363">
      <formula>IF(VLOOKUP($AO$3,optionalAttributePTDMap,MATCH($A4,attributeMapFeedProductType,0)+1,FALSE)&gt;0,1,0)</formula>
    </cfRule>
    <cfRule type="expression" dxfId="2" priority="1364">
      <formula>IF(VLOOKUP($AO$3,preferredAttributePTDMap,MATCH($A4,attributeMapFeedProductType,0)+1,FALSE)&gt;0,1,0)</formula>
    </cfRule>
    <cfRule type="expression" dxfId="3" priority="1365">
      <formula>AND(IF(IFERROR(VLOOKUP($AO$3,requiredAttributePTDMap,MATCH($A4,attributeMapFeedProductType,0)+1,FALSE),0)&gt;0,0,1),IF(IFERROR(VLOOKUP($AO$3,optionalAttributePTDMap,MATCH($A4,attributeMapFeedProductType,0)+1,FALSE),0)&gt;0,0,1),IF(IFERROR(VLOOKUP($AO$3,preferredAttributePTDMap,MATCH($A4,attributeMapFeedProductType,0)+1,FALSE),0)&gt;0,0,1),IF(IFERROR(MATCH($A4,attributeMapFeedProductType,0),0)&gt;0,1,0))</formula>
    </cfRule>
  </conditionalFormatting>
  <conditionalFormatting sqref="AP5:AP1048576">
    <cfRule type="expression" dxfId="4" priority="2369">
      <formula>IF(LEN(AP5)&gt;0,1,0)</formula>
    </cfRule>
    <cfRule type="expression" dxfId="0" priority="2379">
      <formula>IF(VLOOKUP($AP$3,requiredAttributePTDMap,MATCH($A5,attributeMapFeedProductType,0)+1,FALSE)&gt;0,1,0)</formula>
    </cfRule>
    <cfRule type="expression" dxfId="1" priority="2389">
      <formula>IF(VLOOKUP($AP$3,optionalAttributePTDMap,MATCH($A5,attributeMapFeedProductType,0)+1,FALSE)&gt;0,1,0)</formula>
    </cfRule>
    <cfRule type="expression" dxfId="2" priority="2399">
      <formula>IF(VLOOKUP($AP$3,preferredAttributePTDMap,MATCH($A5,attributeMapFeedProductType,0)+1,FALSE)&gt;0,1,0)</formula>
    </cfRule>
    <cfRule type="expression" dxfId="3" priority="2409">
      <formula>AND(IF(IFERROR(VLOOKUP($AP$3,requiredAttributePTDMap,MATCH($A5,attributeMapFeedProductType,0)+1,FALSE),0)&gt;0,0,1),IF(IFERROR(VLOOKUP($AP$3,optionalAttributePTDMap,MATCH($A5,attributeMapFeedProductType,0)+1,FALSE),0)&gt;0,0,1),IF(IFERROR(VLOOKUP($AP$3,preferredAttributePTDMap,MATCH($A5,attributeMapFeedProductType,0)+1,FALSE),0)&gt;0,0,1),IF(IFERROR(MATCH($A5,attributeMapFeedProductType,0),0)&gt;0,1,0))</formula>
    </cfRule>
  </conditionalFormatting>
  <conditionalFormatting sqref="AS4:AS1048576">
    <cfRule type="expression" dxfId="0" priority="17338">
      <formula>IF(VLOOKUP($AS$3,requiredAttributePTDMap,MATCH($A4,attributeMapFeedProductType,0)+1,FALSE)&gt;0,1,0)</formula>
    </cfRule>
    <cfRule type="expression" dxfId="1" priority="17339">
      <formula>IF(VLOOKUP($AS$3,optionalAttributePTDMap,MATCH($A4,attributeMapFeedProductType,0)+1,FALSE)&gt;0,1,0)</formula>
    </cfRule>
    <cfRule type="expression" dxfId="2" priority="17340">
      <formula>IF(VLOOKUP($AS$3,preferredAttributePTDMap,MATCH($A4,attributeMapFeedProductType,0)+1,FALSE)&gt;0,1,0)</formula>
    </cfRule>
    <cfRule type="expression" dxfId="3" priority="17341">
      <formula>AND(IF(IFERROR(VLOOKUP($AS$3,requiredAttributePTDMap,MATCH($A4,attributeMapFeedProductType,0)+1,FALSE),0)&gt;0,0,1),IF(IFERROR(VLOOKUP($AS$3,optionalAttributePTDMap,MATCH($A4,attributeMapFeedProductType,0)+1,FALSE),0)&gt;0,0,1),IF(IFERROR(VLOOKUP($AS$3,preferredAttributePTDMap,MATCH($A4,attributeMapFeedProductType,0)+1,FALSE),0)&gt;0,0,1),IF(IFERROR(MATCH($A4,attributeMapFeedProductType,0),0)&gt;0,1,0))</formula>
    </cfRule>
  </conditionalFormatting>
  <conditionalFormatting sqref="AT4:AT15">
    <cfRule type="expression" dxfId="5" priority="60" stopIfTrue="1">
      <formula>IF(LEN(AT4)&gt;0,1,0)</formula>
    </cfRule>
    <cfRule type="expression" dxfId="6" priority="61" stopIfTrue="1">
      <formula>IF(VLOOKUP($B$3,requiredAttributePTDMap,MATCH($A4,attributeMapFeedProductType,0)+1,FALSE)&gt;0,1,0)</formula>
    </cfRule>
    <cfRule type="expression" dxfId="7" priority="62" stopIfTrue="1">
      <formula>IF(VLOOKUP($B$3,optionalAttributePTDMap,MATCH($A4,attributeMapFeedProductType,0)+1,FALSE)&gt;0,1,0)</formula>
    </cfRule>
    <cfRule type="expression" dxfId="8" priority="63" stopIfTrue="1">
      <formula>IF(VLOOKUP($B$3,preferredAttributePTDMap,MATCH($A4,attributeMapFeedProductType,0)+1,FALSE)&gt;0,1,0)</formula>
    </cfRule>
    <cfRule type="expression" dxfId="9" priority="64" stopIfTrue="1">
      <formula>AND(IF(IFERROR(VLOOKUP($B$3,requiredAttributePTDMap,MATCH($A4,attributeMapFeedProductType,0)+1,FALSE),0)&gt;0,0,1),IF(IFERROR(VLOOKUP($B$3,optionalAttributePTDMap,MATCH($A4,attributeMapFeedProductType,0)+1,FALSE),0)&gt;0,0,1),IF(IFERROR(VLOOKUP($B$3,preferredAttributePTDMap,MATCH($A4,attributeMapFeedProductType,0)+1,FALSE),0)&gt;0,0,1),IF(IFERROR(MATCH($A4,attributeMapFeedProductType,0),0)&gt;0,1,0))</formula>
    </cfRule>
  </conditionalFormatting>
  <conditionalFormatting sqref="AT16:AT1048576">
    <cfRule type="expression" dxfId="0" priority="17343">
      <formula>IF(VLOOKUP($AT$3,requiredAttributePTDMap,MATCH($A16,attributeMapFeedProductType,0)+1,FALSE)&gt;0,1,0)</formula>
    </cfRule>
    <cfRule type="expression" dxfId="1" priority="17344">
      <formula>IF(VLOOKUP($AT$3,optionalAttributePTDMap,MATCH($A16,attributeMapFeedProductType,0)+1,FALSE)&gt;0,1,0)</formula>
    </cfRule>
    <cfRule type="expression" dxfId="2" priority="17345">
      <formula>IF(VLOOKUP($AT$3,preferredAttributePTDMap,MATCH($A16,attributeMapFeedProductType,0)+1,FALSE)&gt;0,1,0)</formula>
    </cfRule>
    <cfRule type="expression" dxfId="3" priority="17346">
      <formula>AND(IF(IFERROR(VLOOKUP($AT$3,requiredAttributePTDMap,MATCH($A16,attributeMapFeedProductType,0)+1,FALSE),0)&gt;0,0,1),IF(IFERROR(VLOOKUP($AT$3,optionalAttributePTDMap,MATCH($A16,attributeMapFeedProductType,0)+1,FALSE),0)&gt;0,0,1),IF(IFERROR(VLOOKUP($AT$3,preferredAttributePTDMap,MATCH($A16,attributeMapFeedProductType,0)+1,FALSE),0)&gt;0,0,1),IF(IFERROR(MATCH($A16,attributeMapFeedProductType,0),0)&gt;0,1,0))</formula>
    </cfRule>
  </conditionalFormatting>
  <conditionalFormatting sqref="AU5:AU1048576">
    <cfRule type="expression" dxfId="0" priority="17348">
      <formula>IF(VLOOKUP($AU$3,requiredAttributePTDMap,MATCH($A5,attributeMapFeedProductType,0)+1,FALSE)&gt;0,1,0)</formula>
    </cfRule>
    <cfRule type="expression" dxfId="1" priority="17349">
      <formula>IF(VLOOKUP($AU$3,optionalAttributePTDMap,MATCH($A5,attributeMapFeedProductType,0)+1,FALSE)&gt;0,1,0)</formula>
    </cfRule>
    <cfRule type="expression" dxfId="2" priority="17350">
      <formula>IF(VLOOKUP($AU$3,preferredAttributePTDMap,MATCH($A5,attributeMapFeedProductType,0)+1,FALSE)&gt;0,1,0)</formula>
    </cfRule>
    <cfRule type="expression" dxfId="3" priority="17351">
      <formula>AND(IF(IFERROR(VLOOKUP($AU$3,requiredAttributePTDMap,MATCH($A5,attributeMapFeedProductType,0)+1,FALSE),0)&gt;0,0,1),IF(IFERROR(VLOOKUP($AU$3,optionalAttributePTDMap,MATCH($A5,attributeMapFeedProductType,0)+1,FALSE),0)&gt;0,0,1),IF(IFERROR(VLOOKUP($AU$3,preferredAttributePTDMap,MATCH($A5,attributeMapFeedProductType,0)+1,FALSE),0)&gt;0,0,1),IF(IFERROR(MATCH($A5,attributeMapFeedProductType,0),0)&gt;0,1,0))</formula>
    </cfRule>
  </conditionalFormatting>
  <conditionalFormatting sqref="AV4:AV1048576">
    <cfRule type="expression" dxfId="0" priority="14250">
      <formula>IF(VLOOKUP($AV$3,requiredAttributePTDMap,MATCH($A4,attributeMapFeedProductType,0)+1,FALSE)&gt;0,1,0)</formula>
    </cfRule>
    <cfRule type="expression" dxfId="1" priority="14265">
      <formula>IF(VLOOKUP($AV$3,optionalAttributePTDMap,MATCH($A4,attributeMapFeedProductType,0)+1,FALSE)&gt;0,1,0)</formula>
    </cfRule>
    <cfRule type="expression" dxfId="2" priority="14280">
      <formula>IF(VLOOKUP($AV$3,preferredAttributePTDMap,MATCH($A4,attributeMapFeedProductType,0)+1,FALSE)&gt;0,1,0)</formula>
    </cfRule>
    <cfRule type="expression" dxfId="3" priority="14295">
      <formula>AND(IF(IFERROR(VLOOKUP($AV$3,requiredAttributePTDMap,MATCH($A4,attributeMapFeedProductType,0)+1,FALSE),0)&gt;0,0,1),IF(IFERROR(VLOOKUP($AV$3,optionalAttributePTDMap,MATCH($A4,attributeMapFeedProductType,0)+1,FALSE),0)&gt;0,0,1),IF(IFERROR(VLOOKUP($AV$3,preferredAttributePTDMap,MATCH($A4,attributeMapFeedProductType,0)+1,FALSE),0)&gt;0,0,1),IF(IFERROR(MATCH($A4,attributeMapFeedProductType,0),0)&gt;0,1,0))</formula>
    </cfRule>
  </conditionalFormatting>
  <conditionalFormatting sqref="AW4:AW1048576">
    <cfRule type="expression" dxfId="0" priority="14318">
      <formula>IF(VLOOKUP($AW$3,requiredAttributePTDMap,MATCH($A4,attributeMapFeedProductType,0)+1,FALSE)&gt;0,1,0)</formula>
    </cfRule>
    <cfRule type="expression" dxfId="1" priority="14333">
      <formula>IF(VLOOKUP($AW$3,optionalAttributePTDMap,MATCH($A4,attributeMapFeedProductType,0)+1,FALSE)&gt;0,1,0)</formula>
    </cfRule>
    <cfRule type="expression" dxfId="2" priority="14348">
      <formula>IF(VLOOKUP($AW$3,preferredAttributePTDMap,MATCH($A4,attributeMapFeedProductType,0)+1,FALSE)&gt;0,1,0)</formula>
    </cfRule>
    <cfRule type="expression" dxfId="3" priority="14363">
      <formula>AND(IF(IFERROR(VLOOKUP($AW$3,requiredAttributePTDMap,MATCH($A4,attributeMapFeedProductType,0)+1,FALSE),0)&gt;0,0,1),IF(IFERROR(VLOOKUP($AW$3,optionalAttributePTDMap,MATCH($A4,attributeMapFeedProductType,0)+1,FALSE),0)&gt;0,0,1),IF(IFERROR(VLOOKUP($AW$3,preferredAttributePTDMap,MATCH($A4,attributeMapFeedProductType,0)+1,FALSE),0)&gt;0,0,1),IF(IFERROR(MATCH($A4,attributeMapFeedProductType,0),0)&gt;0,1,0))</formula>
    </cfRule>
  </conditionalFormatting>
  <conditionalFormatting sqref="AX16:AX1048576">
    <cfRule type="expression" dxfId="0" priority="17363">
      <formula>IF(VLOOKUP($AX$3,requiredAttributePTDMap,MATCH($A16,attributeMapFeedProductType,0)+1,FALSE)&gt;0,1,0)</formula>
    </cfRule>
    <cfRule type="expression" dxfId="1" priority="17364">
      <formula>IF(VLOOKUP($AX$3,optionalAttributePTDMap,MATCH($A16,attributeMapFeedProductType,0)+1,FALSE)&gt;0,1,0)</formula>
    </cfRule>
    <cfRule type="expression" dxfId="2" priority="17365">
      <formula>IF(VLOOKUP($AX$3,preferredAttributePTDMap,MATCH($A16,attributeMapFeedProductType,0)+1,FALSE)&gt;0,1,0)</formula>
    </cfRule>
    <cfRule type="expression" dxfId="3" priority="17366">
      <formula>AND(IF(IFERROR(VLOOKUP($AX$3,requiredAttributePTDMap,MATCH($A16,attributeMapFeedProductType,0)+1,FALSE),0)&gt;0,0,1),IF(IFERROR(VLOOKUP($AX$3,optionalAttributePTDMap,MATCH($A16,attributeMapFeedProductType,0)+1,FALSE),0)&gt;0,0,1),IF(IFERROR(VLOOKUP($AX$3,preferredAttributePTDMap,MATCH($A16,attributeMapFeedProductType,0)+1,FALSE),0)&gt;0,0,1),IF(IFERROR(MATCH($A16,attributeMapFeedProductType,0),0)&gt;0,1,0))</formula>
    </cfRule>
  </conditionalFormatting>
  <conditionalFormatting sqref="AY4:AY1048576">
    <cfRule type="expression" dxfId="0" priority="14212">
      <formula>IF(VLOOKUP($AY$3,requiredAttributePTDMap,MATCH($A4,attributeMapFeedProductType,0)+1,FALSE)&gt;0,1,0)</formula>
    </cfRule>
    <cfRule type="expression" dxfId="1" priority="14213">
      <formula>IF(VLOOKUP($AY$3,optionalAttributePTDMap,MATCH($A4,attributeMapFeedProductType,0)+1,FALSE)&gt;0,1,0)</formula>
    </cfRule>
    <cfRule type="expression" dxfId="2" priority="14214">
      <formula>IF(VLOOKUP($AY$3,preferredAttributePTDMap,MATCH($A4,attributeMapFeedProductType,0)+1,FALSE)&gt;0,1,0)</formula>
    </cfRule>
    <cfRule type="expression" dxfId="3" priority="14215">
      <formula>AND(IF(IFERROR(VLOOKUP($AY$3,requiredAttributePTDMap,MATCH($A4,attributeMapFeedProductType,0)+1,FALSE),0)&gt;0,0,1),IF(IFERROR(VLOOKUP($AY$3,optionalAttributePTDMap,MATCH($A4,attributeMapFeedProductType,0)+1,FALSE),0)&gt;0,0,1),IF(IFERROR(VLOOKUP($AY$3,preferredAttributePTDMap,MATCH($A4,attributeMapFeedProductType,0)+1,FALSE),0)&gt;0,0,1),IF(IFERROR(MATCH($A4,attributeMapFeedProductType,0),0)&gt;0,1,0))</formula>
    </cfRule>
  </conditionalFormatting>
  <conditionalFormatting sqref="BA5:BA15">
    <cfRule type="expression" dxfId="4" priority="14196">
      <formula>IF(LEN(BA5)&gt;0,1,0)</formula>
    </cfRule>
    <cfRule type="expression" dxfId="0" priority="14197">
      <formula>IF(VLOOKUP($AN$3,requiredAttributePTDMap,MATCH($A5,attributeMapFeedProductType,0)+1,FALSE)&gt;0,1,0)</formula>
    </cfRule>
    <cfRule type="expression" dxfId="1" priority="14198">
      <formula>IF(VLOOKUP($AN$3,optionalAttributePTDMap,MATCH($A5,attributeMapFeedProductType,0)+1,FALSE)&gt;0,1,0)</formula>
    </cfRule>
    <cfRule type="expression" dxfId="2" priority="14199">
      <formula>IF(VLOOKUP($AN$3,preferredAttributePTDMap,MATCH($A5,attributeMapFeedProductType,0)+1,FALSE)&gt;0,1,0)</formula>
    </cfRule>
    <cfRule type="expression" dxfId="3" priority="14200">
      <formula>AND(IF(IFERROR(VLOOKUP($AN$3,requiredAttributePTDMap,MATCH($A5,attributeMapFeedProductType,0)+1,FALSE),0)&gt;0,0,1),IF(IFERROR(VLOOKUP($AN$3,optionalAttributePTDMap,MATCH($A5,attributeMapFeedProductType,0)+1,FALSE),0)&gt;0,0,1),IF(IFERROR(VLOOKUP($AN$3,preferredAttributePTDMap,MATCH($A5,attributeMapFeedProductType,0)+1,FALSE),0)&gt;0,0,1),IF(IFERROR(MATCH($A5,attributeMapFeedProductType,0),0)&gt;0,1,0))</formula>
    </cfRule>
  </conditionalFormatting>
  <conditionalFormatting sqref="BA16:BA1048576">
    <cfRule type="expression" dxfId="0" priority="17378">
      <formula>IF(VLOOKUP($BA$3,requiredAttributePTDMap,MATCH($A16,attributeMapFeedProductType,0)+1,FALSE)&gt;0,1,0)</formula>
    </cfRule>
    <cfRule type="expression" dxfId="1" priority="17379">
      <formula>IF(VLOOKUP($BA$3,optionalAttributePTDMap,MATCH($A16,attributeMapFeedProductType,0)+1,FALSE)&gt;0,1,0)</formula>
    </cfRule>
    <cfRule type="expression" dxfId="2" priority="17380">
      <formula>IF(VLOOKUP($BA$3,preferredAttributePTDMap,MATCH($A16,attributeMapFeedProductType,0)+1,FALSE)&gt;0,1,0)</formula>
    </cfRule>
    <cfRule type="expression" dxfId="3" priority="17381">
      <formula>AND(IF(IFERROR(VLOOKUP($BA$3,requiredAttributePTDMap,MATCH($A16,attributeMapFeedProductType,0)+1,FALSE),0)&gt;0,0,1),IF(IFERROR(VLOOKUP($BA$3,optionalAttributePTDMap,MATCH($A16,attributeMapFeedProductType,0)+1,FALSE),0)&gt;0,0,1),IF(IFERROR(VLOOKUP($BA$3,preferredAttributePTDMap,MATCH($A16,attributeMapFeedProductType,0)+1,FALSE),0)&gt;0,0,1),IF(IFERROR(MATCH($A16,attributeMapFeedProductType,0),0)&gt;0,1,0))</formula>
    </cfRule>
  </conditionalFormatting>
  <conditionalFormatting sqref="BB16:BB1048576">
    <cfRule type="expression" dxfId="0" priority="17383">
      <formula>IF(VLOOKUP($BB$3,requiredAttributePTDMap,MATCH($A16,attributeMapFeedProductType,0)+1,FALSE)&gt;0,1,0)</formula>
    </cfRule>
    <cfRule type="expression" dxfId="1" priority="17384">
      <formula>IF(VLOOKUP($BB$3,optionalAttributePTDMap,MATCH($A16,attributeMapFeedProductType,0)+1,FALSE)&gt;0,1,0)</formula>
    </cfRule>
    <cfRule type="expression" dxfId="2" priority="17385">
      <formula>IF(VLOOKUP($BB$3,preferredAttributePTDMap,MATCH($A16,attributeMapFeedProductType,0)+1,FALSE)&gt;0,1,0)</formula>
    </cfRule>
    <cfRule type="expression" dxfId="3" priority="17386">
      <formula>AND(IF(IFERROR(VLOOKUP($BB$3,requiredAttributePTDMap,MATCH($A16,attributeMapFeedProductType,0)+1,FALSE),0)&gt;0,0,1),IF(IFERROR(VLOOKUP($BB$3,optionalAttributePTDMap,MATCH($A16,attributeMapFeedProductType,0)+1,FALSE),0)&gt;0,0,1),IF(IFERROR(VLOOKUP($BB$3,preferredAttributePTDMap,MATCH($A16,attributeMapFeedProductType,0)+1,FALSE),0)&gt;0,0,1),IF(IFERROR(MATCH($A16,attributeMapFeedProductType,0),0)&gt;0,1,0))</formula>
    </cfRule>
  </conditionalFormatting>
  <conditionalFormatting sqref="BL4:BL15">
    <cfRule type="expression" dxfId="5" priority="135" stopIfTrue="1">
      <formula>IF(LEN(BL4)&gt;0,1,0)</formula>
    </cfRule>
    <cfRule type="expression" dxfId="6" priority="136" stopIfTrue="1">
      <formula>IF(VLOOKUP($BM$3,requiredAttributePTDMap,MATCH($A4,attributeMapFeedProductType,0)+1,FALSE)&gt;0,1,0)</formula>
    </cfRule>
    <cfRule type="expression" dxfId="7" priority="137" stopIfTrue="1">
      <formula>IF(VLOOKUP($BM$3,optionalAttributePTDMap,MATCH($A4,attributeMapFeedProductType,0)+1,FALSE)&gt;0,1,0)</formula>
    </cfRule>
    <cfRule type="expression" dxfId="8" priority="138" stopIfTrue="1">
      <formula>IF(VLOOKUP($BM$3,preferredAttributePTDMap,MATCH($A4,attributeMapFeedProductType,0)+1,FALSE)&gt;0,1,0)</formula>
    </cfRule>
    <cfRule type="expression" dxfId="9" priority="139" stopIfTrue="1">
      <formula>AND(IF(IFERROR(VLOOKUP($BM$3,requiredAttributePTDMap,MATCH($A4,attributeMapFeedProductType,0)+1,FALSE),0)&gt;0,0,1),IF(IFERROR(VLOOKUP($BM$3,optionalAttributePTDMap,MATCH($A4,attributeMapFeedProductType,0)+1,FALSE),0)&gt;0,0,1),IF(IFERROR(VLOOKUP($BM$3,preferredAttributePTDMap,MATCH($A4,attributeMapFeedProductType,0)+1,FALSE),0)&gt;0,0,1),IF(IFERROR(MATCH($A4,attributeMapFeedProductType,0),0)&gt;0,1,0))</formula>
    </cfRule>
  </conditionalFormatting>
  <conditionalFormatting sqref="BL16:BL1048576">
    <cfRule type="expression" dxfId="0" priority="17433">
      <formula>IF(VLOOKUP($BL$3,requiredAttributePTDMap,MATCH($A16,attributeMapFeedProductType,0)+1,FALSE)&gt;0,1,0)</formula>
    </cfRule>
    <cfRule type="expression" dxfId="1" priority="17434">
      <formula>IF(VLOOKUP($BL$3,optionalAttributePTDMap,MATCH($A16,attributeMapFeedProductType,0)+1,FALSE)&gt;0,1,0)</formula>
    </cfRule>
    <cfRule type="expression" dxfId="2" priority="17435">
      <formula>IF(VLOOKUP($BL$3,preferredAttributePTDMap,MATCH($A16,attributeMapFeedProductType,0)+1,FALSE)&gt;0,1,0)</formula>
    </cfRule>
    <cfRule type="expression" dxfId="3" priority="17436">
      <formula>AND(IF(IFERROR(VLOOKUP($BL$3,requiredAttributePTDMap,MATCH($A16,attributeMapFeedProductType,0)+1,FALSE),0)&gt;0,0,1),IF(IFERROR(VLOOKUP($BL$3,optionalAttributePTDMap,MATCH($A16,attributeMapFeedProductType,0)+1,FALSE),0)&gt;0,0,1),IF(IFERROR(VLOOKUP($BL$3,preferredAttributePTDMap,MATCH($A16,attributeMapFeedProductType,0)+1,FALSE),0)&gt;0,0,1),IF(IFERROR(MATCH($A16,attributeMapFeedProductType,0),0)&gt;0,1,0))</formula>
    </cfRule>
  </conditionalFormatting>
  <conditionalFormatting sqref="BM4:BM1048576">
    <cfRule type="expression" dxfId="0" priority="17438">
      <formula>IF(VLOOKUP($BM$3,requiredAttributePTDMap,MATCH($A4,attributeMapFeedProductType,0)+1,FALSE)&gt;0,1,0)</formula>
    </cfRule>
    <cfRule type="expression" dxfId="1" priority="17439">
      <formula>IF(VLOOKUP($BM$3,optionalAttributePTDMap,MATCH($A4,attributeMapFeedProductType,0)+1,FALSE)&gt;0,1,0)</formula>
    </cfRule>
    <cfRule type="expression" dxfId="2" priority="17440">
      <formula>IF(VLOOKUP($BM$3,preferredAttributePTDMap,MATCH($A4,attributeMapFeedProductType,0)+1,FALSE)&gt;0,1,0)</formula>
    </cfRule>
    <cfRule type="expression" dxfId="3" priority="17441">
      <formula>AND(IF(IFERROR(VLOOKUP($BM$3,requiredAttributePTDMap,MATCH($A4,attributeMapFeedProductType,0)+1,FALSE),0)&gt;0,0,1),IF(IFERROR(VLOOKUP($BM$3,optionalAttributePTDMap,MATCH($A4,attributeMapFeedProductType,0)+1,FALSE),0)&gt;0,0,1),IF(IFERROR(VLOOKUP($BM$3,preferredAttributePTDMap,MATCH($A4,attributeMapFeedProductType,0)+1,FALSE),0)&gt;0,0,1),IF(IFERROR(MATCH($A4,attributeMapFeedProductType,0),0)&gt;0,1,0))</formula>
    </cfRule>
  </conditionalFormatting>
  <conditionalFormatting sqref="BN16:BN1048576">
    <cfRule type="expression" dxfId="0" priority="17443">
      <formula>IF(VLOOKUP($BN$3,requiredAttributePTDMap,MATCH($A16,attributeMapFeedProductType,0)+1,FALSE)&gt;0,1,0)</formula>
    </cfRule>
    <cfRule type="expression" dxfId="1" priority="17444">
      <formula>IF(VLOOKUP($BN$3,optionalAttributePTDMap,MATCH($A16,attributeMapFeedProductType,0)+1,FALSE)&gt;0,1,0)</formula>
    </cfRule>
    <cfRule type="expression" dxfId="2" priority="17445">
      <formula>IF(VLOOKUP($BN$3,preferredAttributePTDMap,MATCH($A16,attributeMapFeedProductType,0)+1,FALSE)&gt;0,1,0)</formula>
    </cfRule>
    <cfRule type="expression" dxfId="3" priority="17446">
      <formula>AND(IF(IFERROR(VLOOKUP($BN$3,requiredAttributePTDMap,MATCH($A16,attributeMapFeedProductType,0)+1,FALSE),0)&gt;0,0,1),IF(IFERROR(VLOOKUP($BN$3,optionalAttributePTDMap,MATCH($A16,attributeMapFeedProductType,0)+1,FALSE),0)&gt;0,0,1),IF(IFERROR(VLOOKUP($BN$3,preferredAttributePTDMap,MATCH($A16,attributeMapFeedProductType,0)+1,FALSE),0)&gt;0,0,1),IF(IFERROR(MATCH($A16,attributeMapFeedProductType,0),0)&gt;0,1,0))</formula>
    </cfRule>
  </conditionalFormatting>
  <conditionalFormatting sqref="BO16:BO1048576">
    <cfRule type="expression" dxfId="0" priority="17448">
      <formula>IF(VLOOKUP($BO$3,requiredAttributePTDMap,MATCH($A16,attributeMapFeedProductType,0)+1,FALSE)&gt;0,1,0)</formula>
    </cfRule>
    <cfRule type="expression" dxfId="1" priority="17449">
      <formula>IF(VLOOKUP($BO$3,optionalAttributePTDMap,MATCH($A16,attributeMapFeedProductType,0)+1,FALSE)&gt;0,1,0)</formula>
    </cfRule>
    <cfRule type="expression" dxfId="2" priority="17450">
      <formula>IF(VLOOKUP($BO$3,preferredAttributePTDMap,MATCH($A16,attributeMapFeedProductType,0)+1,FALSE)&gt;0,1,0)</formula>
    </cfRule>
    <cfRule type="expression" dxfId="3" priority="17451">
      <formula>AND(IF(IFERROR(VLOOKUP($BO$3,requiredAttributePTDMap,MATCH($A16,attributeMapFeedProductType,0)+1,FALSE),0)&gt;0,0,1),IF(IFERROR(VLOOKUP($BO$3,optionalAttributePTDMap,MATCH($A16,attributeMapFeedProductType,0)+1,FALSE),0)&gt;0,0,1),IF(IFERROR(VLOOKUP($BO$3,preferredAttributePTDMap,MATCH($A16,attributeMapFeedProductType,0)+1,FALSE),0)&gt;0,0,1),IF(IFERROR(MATCH($A16,attributeMapFeedProductType,0),0)&gt;0,1,0))</formula>
    </cfRule>
  </conditionalFormatting>
  <conditionalFormatting sqref="BP16:BP1048576">
    <cfRule type="expression" dxfId="0" priority="17453">
      <formula>IF(VLOOKUP($BP$3,requiredAttributePTDMap,MATCH($A16,attributeMapFeedProductType,0)+1,FALSE)&gt;0,1,0)</formula>
    </cfRule>
    <cfRule type="expression" dxfId="1" priority="17454">
      <formula>IF(VLOOKUP($BP$3,optionalAttributePTDMap,MATCH($A16,attributeMapFeedProductType,0)+1,FALSE)&gt;0,1,0)</formula>
    </cfRule>
    <cfRule type="expression" dxfId="2" priority="17455">
      <formula>IF(VLOOKUP($BP$3,preferredAttributePTDMap,MATCH($A16,attributeMapFeedProductType,0)+1,FALSE)&gt;0,1,0)</formula>
    </cfRule>
    <cfRule type="expression" dxfId="3" priority="17456">
      <formula>AND(IF(IFERROR(VLOOKUP($BP$3,requiredAttributePTDMap,MATCH($A16,attributeMapFeedProductType,0)+1,FALSE),0)&gt;0,0,1),IF(IFERROR(VLOOKUP($BP$3,optionalAttributePTDMap,MATCH($A16,attributeMapFeedProductType,0)+1,FALSE),0)&gt;0,0,1),IF(IFERROR(VLOOKUP($BP$3,preferredAttributePTDMap,MATCH($A16,attributeMapFeedProductType,0)+1,FALSE),0)&gt;0,0,1),IF(IFERROR(MATCH($A16,attributeMapFeedProductType,0),0)&gt;0,1,0))</formula>
    </cfRule>
  </conditionalFormatting>
  <conditionalFormatting sqref="BQ16:BQ1048576">
    <cfRule type="expression" dxfId="0" priority="17458">
      <formula>IF(VLOOKUP($BQ$3,requiredAttributePTDMap,MATCH($A16,attributeMapFeedProductType,0)+1,FALSE)&gt;0,1,0)</formula>
    </cfRule>
    <cfRule type="expression" dxfId="1" priority="17459">
      <formula>IF(VLOOKUP($BQ$3,optionalAttributePTDMap,MATCH($A16,attributeMapFeedProductType,0)+1,FALSE)&gt;0,1,0)</formula>
    </cfRule>
    <cfRule type="expression" dxfId="2" priority="17460">
      <formula>IF(VLOOKUP($BQ$3,preferredAttributePTDMap,MATCH($A16,attributeMapFeedProductType,0)+1,FALSE)&gt;0,1,0)</formula>
    </cfRule>
    <cfRule type="expression" dxfId="3" priority="17461">
      <formula>AND(IF(IFERROR(VLOOKUP($BQ$3,requiredAttributePTDMap,MATCH($A16,attributeMapFeedProductType,0)+1,FALSE),0)&gt;0,0,1),IF(IFERROR(VLOOKUP($BQ$3,optionalAttributePTDMap,MATCH($A16,attributeMapFeedProductType,0)+1,FALSE),0)&gt;0,0,1),IF(IFERROR(VLOOKUP($BQ$3,preferredAttributePTDMap,MATCH($A16,attributeMapFeedProductType,0)+1,FALSE),0)&gt;0,0,1),IF(IFERROR(MATCH($A16,attributeMapFeedProductType,0),0)&gt;0,1,0))</formula>
    </cfRule>
  </conditionalFormatting>
  <conditionalFormatting sqref="BR11:BR1048576">
    <cfRule type="expression" dxfId="0" priority="17463">
      <formula>IF(VLOOKUP($BR$3,requiredAttributePTDMap,MATCH($A11,attributeMapFeedProductType,0)+1,FALSE)&gt;0,1,0)</formula>
    </cfRule>
    <cfRule type="expression" dxfId="1" priority="17464">
      <formula>IF(VLOOKUP($BR$3,optionalAttributePTDMap,MATCH($A11,attributeMapFeedProductType,0)+1,FALSE)&gt;0,1,0)</formula>
    </cfRule>
    <cfRule type="expression" dxfId="2" priority="17465">
      <formula>IF(VLOOKUP($BR$3,preferredAttributePTDMap,MATCH($A11,attributeMapFeedProductType,0)+1,FALSE)&gt;0,1,0)</formula>
    </cfRule>
    <cfRule type="expression" dxfId="3" priority="17466">
      <formula>AND(IF(IFERROR(VLOOKUP($BR$3,requiredAttributePTDMap,MATCH($A11,attributeMapFeedProductType,0)+1,FALSE),0)&gt;0,0,1),IF(IFERROR(VLOOKUP($BR$3,optionalAttributePTDMap,MATCH($A11,attributeMapFeedProductType,0)+1,FALSE),0)&gt;0,0,1),IF(IFERROR(VLOOKUP($BR$3,preferredAttributePTDMap,MATCH($A11,attributeMapFeedProductType,0)+1,FALSE),0)&gt;0,0,1),IF(IFERROR(MATCH($A11,attributeMapFeedProductType,0),0)&gt;0,1,0))</formula>
    </cfRule>
  </conditionalFormatting>
  <conditionalFormatting sqref="CF8:CF1048576">
    <cfRule type="expression" dxfId="0" priority="17533">
      <formula>IF(VLOOKUP($CF$3,requiredAttributePTDMap,MATCH($A8,attributeMapFeedProductType,0)+1,FALSE)&gt;0,1,0)</formula>
    </cfRule>
    <cfRule type="expression" dxfId="1" priority="17534">
      <formula>IF(VLOOKUP($CF$3,optionalAttributePTDMap,MATCH($A8,attributeMapFeedProductType,0)+1,FALSE)&gt;0,1,0)</formula>
    </cfRule>
    <cfRule type="expression" dxfId="2" priority="17535">
      <formula>IF(VLOOKUP($CF$3,preferredAttributePTDMap,MATCH($A8,attributeMapFeedProductType,0)+1,FALSE)&gt;0,1,0)</formula>
    </cfRule>
    <cfRule type="expression" dxfId="3" priority="17536">
      <formula>AND(IF(IFERROR(VLOOKUP($CF$3,requiredAttributePTDMap,MATCH($A8,attributeMapFeedProductType,0)+1,FALSE),0)&gt;0,0,1),IF(IFERROR(VLOOKUP($CF$3,optionalAttributePTDMap,MATCH($A8,attributeMapFeedProductType,0)+1,FALSE),0)&gt;0,0,1),IF(IFERROR(VLOOKUP($CF$3,preferredAttributePTDMap,MATCH($A8,attributeMapFeedProductType,0)+1,FALSE),0)&gt;0,0,1),IF(IFERROR(MATCH($A8,attributeMapFeedProductType,0),0)&gt;0,1,0))</formula>
    </cfRule>
  </conditionalFormatting>
  <conditionalFormatting sqref="CO5:CO15">
    <cfRule type="expression" dxfId="0" priority="13753">
      <formula>IF(VLOOKUP($BZ$3,requiredAttributePTDMap,MATCH($A4,attributeMapFeedProductType,0)+1,FALSE)&gt;0,1,0)</formula>
    </cfRule>
    <cfRule type="expression" dxfId="1" priority="13768">
      <formula>IF(VLOOKUP($BZ$3,optionalAttributePTDMap,MATCH($A4,attributeMapFeedProductType,0)+1,FALSE)&gt;0,1,0)</formula>
    </cfRule>
    <cfRule type="expression" dxfId="2" priority="13783">
      <formula>IF(VLOOKUP($BZ$3,preferredAttributePTDMap,MATCH($A4,attributeMapFeedProductType,0)+1,FALSE)&gt;0,1,0)</formula>
    </cfRule>
    <cfRule type="expression" dxfId="3" priority="13798">
      <formula>AND(IF(IFERROR(VLOOKUP($BZ$3,requiredAttributePTDMap,MATCH($A4,attributeMapFeedProductType,0)+1,FALSE),0)&gt;0,0,1),IF(IFERROR(VLOOKUP($BZ$3,optionalAttributePTDMap,MATCH($A4,attributeMapFeedProductType,0)+1,FALSE),0)&gt;0,0,1),IF(IFERROR(VLOOKUP($BZ$3,preferredAttributePTDMap,MATCH($A4,attributeMapFeedProductType,0)+1,FALSE),0)&gt;0,0,1),IF(IFERROR(MATCH($A4,attributeMapFeedProductType,0),0)&gt;0,1,0))</formula>
    </cfRule>
  </conditionalFormatting>
  <conditionalFormatting sqref="CO16:CO1048576">
    <cfRule type="expression" dxfId="0" priority="17578">
      <formula>IF(VLOOKUP($CO$3,requiredAttributePTDMap,MATCH($A16,attributeMapFeedProductType,0)+1,FALSE)&gt;0,1,0)</formula>
    </cfRule>
    <cfRule type="expression" dxfId="1" priority="17579">
      <formula>IF(VLOOKUP($CO$3,optionalAttributePTDMap,MATCH($A16,attributeMapFeedProductType,0)+1,FALSE)&gt;0,1,0)</formula>
    </cfRule>
    <cfRule type="expression" dxfId="2" priority="17580">
      <formula>IF(VLOOKUP($CO$3,preferredAttributePTDMap,MATCH($A16,attributeMapFeedProductType,0)+1,FALSE)&gt;0,1,0)</formula>
    </cfRule>
    <cfRule type="expression" dxfId="3" priority="17581">
      <formula>AND(IF(IFERROR(VLOOKUP($CO$3,requiredAttributePTDMap,MATCH($A16,attributeMapFeedProductType,0)+1,FALSE),0)&gt;0,0,1),IF(IFERROR(VLOOKUP($CO$3,optionalAttributePTDMap,MATCH($A16,attributeMapFeedProductType,0)+1,FALSE),0)&gt;0,0,1),IF(IFERROR(VLOOKUP($CO$3,preferredAttributePTDMap,MATCH($A16,attributeMapFeedProductType,0)+1,FALSE),0)&gt;0,0,1),IF(IFERROR(MATCH($A16,attributeMapFeedProductType,0),0)&gt;0,1,0))</formula>
    </cfRule>
  </conditionalFormatting>
  <conditionalFormatting sqref="CP5:CP15">
    <cfRule type="expression" dxfId="0" priority="13828">
      <formula>IF(VLOOKUP($CA$3,requiredAttributePTDMap,MATCH($A4,attributeMapFeedProductType,0)+1,FALSE)&gt;0,1,0)</formula>
    </cfRule>
    <cfRule type="expression" dxfId="1" priority="13843">
      <formula>IF(VLOOKUP($CA$3,optionalAttributePTDMap,MATCH($A4,attributeMapFeedProductType,0)+1,FALSE)&gt;0,1,0)</formula>
    </cfRule>
    <cfRule type="expression" dxfId="2" priority="13858">
      <formula>IF(VLOOKUP($CA$3,preferredAttributePTDMap,MATCH($A4,attributeMapFeedProductType,0)+1,FALSE)&gt;0,1,0)</formula>
    </cfRule>
    <cfRule type="expression" dxfId="3" priority="13873">
      <formula>AND(IF(IFERROR(VLOOKUP($CA$3,requiredAttributePTDMap,MATCH($A4,attributeMapFeedProductType,0)+1,FALSE),0)&gt;0,0,1),IF(IFERROR(VLOOKUP($CA$3,optionalAttributePTDMap,MATCH($A4,attributeMapFeedProductType,0)+1,FALSE),0)&gt;0,0,1),IF(IFERROR(VLOOKUP($CA$3,preferredAttributePTDMap,MATCH($A4,attributeMapFeedProductType,0)+1,FALSE),0)&gt;0,0,1),IF(IFERROR(MATCH($A4,attributeMapFeedProductType,0),0)&gt;0,1,0))</formula>
    </cfRule>
  </conditionalFormatting>
  <conditionalFormatting sqref="CP16:CP1048576">
    <cfRule type="expression" dxfId="0" priority="17583">
      <formula>IF(VLOOKUP($CP$3,requiredAttributePTDMap,MATCH($A16,attributeMapFeedProductType,0)+1,FALSE)&gt;0,1,0)</formula>
    </cfRule>
    <cfRule type="expression" dxfId="1" priority="17584">
      <formula>IF(VLOOKUP($CP$3,optionalAttributePTDMap,MATCH($A16,attributeMapFeedProductType,0)+1,FALSE)&gt;0,1,0)</formula>
    </cfRule>
    <cfRule type="expression" dxfId="2" priority="17585">
      <formula>IF(VLOOKUP($CP$3,preferredAttributePTDMap,MATCH($A16,attributeMapFeedProductType,0)+1,FALSE)&gt;0,1,0)</formula>
    </cfRule>
    <cfRule type="expression" dxfId="3" priority="17586">
      <formula>AND(IF(IFERROR(VLOOKUP($CP$3,requiredAttributePTDMap,MATCH($A16,attributeMapFeedProductType,0)+1,FALSE),0)&gt;0,0,1),IF(IFERROR(VLOOKUP($CP$3,optionalAttributePTDMap,MATCH($A16,attributeMapFeedProductType,0)+1,FALSE),0)&gt;0,0,1),IF(IFERROR(VLOOKUP($CP$3,preferredAttributePTDMap,MATCH($A16,attributeMapFeedProductType,0)+1,FALSE),0)&gt;0,0,1),IF(IFERROR(MATCH($A16,attributeMapFeedProductType,0),0)&gt;0,1,0))</formula>
    </cfRule>
  </conditionalFormatting>
  <conditionalFormatting sqref="CQ5:CQ15">
    <cfRule type="expression" dxfId="0" priority="248">
      <formula>IF(VLOOKUP($CB$3,requiredAttributePTDMap,MATCH($A4,attributeMapFeedProductType,0)+1,FALSE)&gt;0,1,0)</formula>
    </cfRule>
    <cfRule type="expression" dxfId="1" priority="249">
      <formula>IF(VLOOKUP($CB$3,optionalAttributePTDMap,MATCH($A4,attributeMapFeedProductType,0)+1,FALSE)&gt;0,1,0)</formula>
    </cfRule>
    <cfRule type="expression" dxfId="2" priority="250">
      <formula>IF(VLOOKUP($CB$3,preferredAttributePTDMap,MATCH($A4,attributeMapFeedProductType,0)+1,FALSE)&gt;0,1,0)</formula>
    </cfRule>
    <cfRule type="expression" dxfId="3" priority="251">
      <formula>AND(IF(IFERROR(VLOOKUP($CB$3,requiredAttributePTDMap,MATCH($A4,attributeMapFeedProductType,0)+1,FALSE),0)&gt;0,0,1),IF(IFERROR(VLOOKUP($CB$3,optionalAttributePTDMap,MATCH($A4,attributeMapFeedProductType,0)+1,FALSE),0)&gt;0,0,1),IF(IFERROR(VLOOKUP($CB$3,preferredAttributePTDMap,MATCH($A4,attributeMapFeedProductType,0)+1,FALSE),0)&gt;0,0,1),IF(IFERROR(MATCH($A4,attributeMapFeedProductType,0),0)&gt;0,1,0))</formula>
    </cfRule>
  </conditionalFormatting>
  <conditionalFormatting sqref="CQ16:CQ1048576">
    <cfRule type="expression" dxfId="0" priority="17588">
      <formula>IF(VLOOKUP($CQ$3,requiredAttributePTDMap,MATCH($A16,attributeMapFeedProductType,0)+1,FALSE)&gt;0,1,0)</formula>
    </cfRule>
    <cfRule type="expression" dxfId="1" priority="17589">
      <formula>IF(VLOOKUP($CQ$3,optionalAttributePTDMap,MATCH($A16,attributeMapFeedProductType,0)+1,FALSE)&gt;0,1,0)</formula>
    </cfRule>
    <cfRule type="expression" dxfId="2" priority="17590">
      <formula>IF(VLOOKUP($CQ$3,preferredAttributePTDMap,MATCH($A16,attributeMapFeedProductType,0)+1,FALSE)&gt;0,1,0)</formula>
    </cfRule>
    <cfRule type="expression" dxfId="3" priority="17591">
      <formula>AND(IF(IFERROR(VLOOKUP($CQ$3,requiredAttributePTDMap,MATCH($A16,attributeMapFeedProductType,0)+1,FALSE),0)&gt;0,0,1),IF(IFERROR(VLOOKUP($CQ$3,optionalAttributePTDMap,MATCH($A16,attributeMapFeedProductType,0)+1,FALSE),0)&gt;0,0,1),IF(IFERROR(VLOOKUP($CQ$3,preferredAttributePTDMap,MATCH($A16,attributeMapFeedProductType,0)+1,FALSE),0)&gt;0,0,1),IF(IFERROR(MATCH($A16,attributeMapFeedProductType,0),0)&gt;0,1,0))</formula>
    </cfRule>
  </conditionalFormatting>
  <conditionalFormatting sqref="CR4:CR15">
    <cfRule type="expression" dxfId="0" priority="18116">
      <formula>IF(VLOOKUP($CB$3,requiredAttributePTDMap,MATCH($A4,attributeMapFeedProductType,0)+1,FALSE)&gt;0,1,0)</formula>
    </cfRule>
    <cfRule type="expression" dxfId="1" priority="18117">
      <formula>IF(VLOOKUP($CB$3,optionalAttributePTDMap,MATCH($A4,attributeMapFeedProductType,0)+1,FALSE)&gt;0,1,0)</formula>
    </cfRule>
    <cfRule type="expression" dxfId="2" priority="18118">
      <formula>IF(VLOOKUP($CB$3,preferredAttributePTDMap,MATCH($A4,attributeMapFeedProductType,0)+1,FALSE)&gt;0,1,0)</formula>
    </cfRule>
    <cfRule type="expression" dxfId="3" priority="18119">
      <formula>AND(IF(IFERROR(VLOOKUP($CB$3,requiredAttributePTDMap,MATCH($A4,attributeMapFeedProductType,0)+1,FALSE),0)&gt;0,0,1),IF(IFERROR(VLOOKUP($CB$3,optionalAttributePTDMap,MATCH($A4,attributeMapFeedProductType,0)+1,FALSE),0)&gt;0,0,1),IF(IFERROR(VLOOKUP($CB$3,preferredAttributePTDMap,MATCH($A4,attributeMapFeedProductType,0)+1,FALSE),0)&gt;0,0,1),IF(IFERROR(MATCH($A4,attributeMapFeedProductType,0),0)&gt;0,1,0))</formula>
    </cfRule>
  </conditionalFormatting>
  <conditionalFormatting sqref="CR16:CR1048576">
    <cfRule type="expression" dxfId="0" priority="17593">
      <formula>IF(VLOOKUP($CR$3,requiredAttributePTDMap,MATCH($A16,attributeMapFeedProductType,0)+1,FALSE)&gt;0,1,0)</formula>
    </cfRule>
    <cfRule type="expression" dxfId="1" priority="17594">
      <formula>IF(VLOOKUP($CR$3,optionalAttributePTDMap,MATCH($A16,attributeMapFeedProductType,0)+1,FALSE)&gt;0,1,0)</formula>
    </cfRule>
    <cfRule type="expression" dxfId="2" priority="17595">
      <formula>IF(VLOOKUP($CR$3,preferredAttributePTDMap,MATCH($A16,attributeMapFeedProductType,0)+1,FALSE)&gt;0,1,0)</formula>
    </cfRule>
    <cfRule type="expression" dxfId="3" priority="17596">
      <formula>AND(IF(IFERROR(VLOOKUP($CR$3,requiredAttributePTDMap,MATCH($A16,attributeMapFeedProductType,0)+1,FALSE),0)&gt;0,0,1),IF(IFERROR(VLOOKUP($CR$3,optionalAttributePTDMap,MATCH($A16,attributeMapFeedProductType,0)+1,FALSE),0)&gt;0,0,1),IF(IFERROR(VLOOKUP($CR$3,preferredAttributePTDMap,MATCH($A16,attributeMapFeedProductType,0)+1,FALSE),0)&gt;0,0,1),IF(IFERROR(MATCH($A16,attributeMapFeedProductType,0),0)&gt;0,1,0))</formula>
    </cfRule>
  </conditionalFormatting>
  <conditionalFormatting sqref="CS5:CS15">
    <cfRule type="expression" dxfId="0" priority="13603">
      <formula>IF(VLOOKUP($CD$3,requiredAttributePTDMap,MATCH($A4,attributeMapFeedProductType,0)+1,FALSE)&gt;0,1,0)</formula>
    </cfRule>
    <cfRule type="expression" dxfId="1" priority="13618">
      <formula>IF(VLOOKUP($CD$3,optionalAttributePTDMap,MATCH($A4,attributeMapFeedProductType,0)+1,FALSE)&gt;0,1,0)</formula>
    </cfRule>
    <cfRule type="expression" dxfId="2" priority="13633">
      <formula>IF(VLOOKUP($CD$3,preferredAttributePTDMap,MATCH($A4,attributeMapFeedProductType,0)+1,FALSE)&gt;0,1,0)</formula>
    </cfRule>
    <cfRule type="expression" dxfId="3" priority="13648">
      <formula>AND(IF(IFERROR(VLOOKUP($CD$3,requiredAttributePTDMap,MATCH($A4,attributeMapFeedProductType,0)+1,FALSE),0)&gt;0,0,1),IF(IFERROR(VLOOKUP($CD$3,optionalAttributePTDMap,MATCH($A4,attributeMapFeedProductType,0)+1,FALSE),0)&gt;0,0,1),IF(IFERROR(VLOOKUP($CD$3,preferredAttributePTDMap,MATCH($A4,attributeMapFeedProductType,0)+1,FALSE),0)&gt;0,0,1),IF(IFERROR(MATCH($A4,attributeMapFeedProductType,0),0)&gt;0,1,0))</formula>
    </cfRule>
  </conditionalFormatting>
  <conditionalFormatting sqref="CS16:CS1048576">
    <cfRule type="expression" dxfId="0" priority="17598">
      <formula>IF(VLOOKUP($CS$3,requiredAttributePTDMap,MATCH($A16,attributeMapFeedProductType,0)+1,FALSE)&gt;0,1,0)</formula>
    </cfRule>
    <cfRule type="expression" dxfId="1" priority="17599">
      <formula>IF(VLOOKUP($CS$3,optionalAttributePTDMap,MATCH($A16,attributeMapFeedProductType,0)+1,FALSE)&gt;0,1,0)</formula>
    </cfRule>
    <cfRule type="expression" dxfId="2" priority="17600">
      <formula>IF(VLOOKUP($CS$3,preferredAttributePTDMap,MATCH($A16,attributeMapFeedProductType,0)+1,FALSE)&gt;0,1,0)</formula>
    </cfRule>
    <cfRule type="expression" dxfId="3" priority="17601">
      <formula>AND(IF(IFERROR(VLOOKUP($CS$3,requiredAttributePTDMap,MATCH($A16,attributeMapFeedProductType,0)+1,FALSE),0)&gt;0,0,1),IF(IFERROR(VLOOKUP($CS$3,optionalAttributePTDMap,MATCH($A16,attributeMapFeedProductType,0)+1,FALSE),0)&gt;0,0,1),IF(IFERROR(VLOOKUP($CS$3,preferredAttributePTDMap,MATCH($A16,attributeMapFeedProductType,0)+1,FALSE),0)&gt;0,0,1),IF(IFERROR(MATCH($A16,attributeMapFeedProductType,0),0)&gt;0,1,0))</formula>
    </cfRule>
  </conditionalFormatting>
  <conditionalFormatting sqref="CT5:CT15">
    <cfRule type="expression" dxfId="0" priority="13678">
      <formula>IF(VLOOKUP($CE$3,requiredAttributePTDMap,MATCH($A4,attributeMapFeedProductType,0)+1,FALSE)&gt;0,1,0)</formula>
    </cfRule>
    <cfRule type="expression" dxfId="1" priority="13693">
      <formula>IF(VLOOKUP($CE$3,optionalAttributePTDMap,MATCH($A4,attributeMapFeedProductType,0)+1,FALSE)&gt;0,1,0)</formula>
    </cfRule>
    <cfRule type="expression" dxfId="2" priority="13708">
      <formula>IF(VLOOKUP($CE$3,preferredAttributePTDMap,MATCH($A4,attributeMapFeedProductType,0)+1,FALSE)&gt;0,1,0)</formula>
    </cfRule>
    <cfRule type="expression" dxfId="3" priority="13723">
      <formula>AND(IF(IFERROR(VLOOKUP($CE$3,requiredAttributePTDMap,MATCH($A4,attributeMapFeedProductType,0)+1,FALSE),0)&gt;0,0,1),IF(IFERROR(VLOOKUP($CE$3,optionalAttributePTDMap,MATCH($A4,attributeMapFeedProductType,0)+1,FALSE),0)&gt;0,0,1),IF(IFERROR(VLOOKUP($CE$3,preferredAttributePTDMap,MATCH($A4,attributeMapFeedProductType,0)+1,FALSE),0)&gt;0,0,1),IF(IFERROR(MATCH($A4,attributeMapFeedProductType,0),0)&gt;0,1,0))</formula>
    </cfRule>
  </conditionalFormatting>
  <conditionalFormatting sqref="CT16:CT1048576">
    <cfRule type="expression" dxfId="0" priority="17603">
      <formula>IF(VLOOKUP($CT$3,requiredAttributePTDMap,MATCH($A16,attributeMapFeedProductType,0)+1,FALSE)&gt;0,1,0)</formula>
    </cfRule>
    <cfRule type="expression" dxfId="1" priority="17604">
      <formula>IF(VLOOKUP($CT$3,optionalAttributePTDMap,MATCH($A16,attributeMapFeedProductType,0)+1,FALSE)&gt;0,1,0)</formula>
    </cfRule>
    <cfRule type="expression" dxfId="2" priority="17605">
      <formula>IF(VLOOKUP($CT$3,preferredAttributePTDMap,MATCH($A16,attributeMapFeedProductType,0)+1,FALSE)&gt;0,1,0)</formula>
    </cfRule>
    <cfRule type="expression" dxfId="3" priority="17606">
      <formula>AND(IF(IFERROR(VLOOKUP($CT$3,requiredAttributePTDMap,MATCH($A16,attributeMapFeedProductType,0)+1,FALSE),0)&gt;0,0,1),IF(IFERROR(VLOOKUP($CT$3,optionalAttributePTDMap,MATCH($A16,attributeMapFeedProductType,0)+1,FALSE),0)&gt;0,0,1),IF(IFERROR(VLOOKUP($CT$3,preferredAttributePTDMap,MATCH($A16,attributeMapFeedProductType,0)+1,FALSE),0)&gt;0,0,1),IF(IFERROR(MATCH($A16,attributeMapFeedProductType,0),0)&gt;0,1,0))</formula>
    </cfRule>
  </conditionalFormatting>
  <conditionalFormatting sqref="CZ4:CZ1048576">
    <cfRule type="expression" dxfId="3" priority="17633">
      <formula>AND(AND(OR(AND(OR(OR(NOT(CN4&lt;&gt;"DEFAULT"),CN4="")))),A4&lt;&gt;""))</formula>
    </cfRule>
    <cfRule type="expression" dxfId="4" priority="17634">
      <formula>IF(LEN(CZ4)&gt;0,1,0)</formula>
    </cfRule>
    <cfRule type="expression" dxfId="0" priority="17635">
      <formula>IF(VLOOKUP($CZ$3,requiredAttributePTDMap,MATCH($A4,attributeMapFeedProductType,0)+1,FALSE)&gt;0,1,0)</formula>
    </cfRule>
    <cfRule type="expression" dxfId="1" priority="17636">
      <formula>IF(VLOOKUP($CZ$3,optionalAttributePTDMap,MATCH($A4,attributeMapFeedProductType,0)+1,FALSE)&gt;0,1,0)</formula>
    </cfRule>
    <cfRule type="expression" dxfId="2" priority="17637">
      <formula>IF(VLOOKUP($CZ$3,preferredAttributePTDMap,MATCH($A4,attributeMapFeedProductType,0)+1,FALSE)&gt;0,1,0)</formula>
    </cfRule>
    <cfRule type="expression" dxfId="3" priority="17638">
      <formula>AND(IF(IFERROR(VLOOKUP($CZ$3,requiredAttributePTDMap,MATCH($A4,attributeMapFeedProductType,0)+1,FALSE),0)&gt;0,0,1),IF(IFERROR(VLOOKUP($CZ$3,optionalAttributePTDMap,MATCH($A4,attributeMapFeedProductType,0)+1,FALSE),0)&gt;0,0,1),IF(IFERROR(VLOOKUP($CZ$3,preferredAttributePTDMap,MATCH($A4,attributeMapFeedProductType,0)+1,FALSE),0)&gt;0,0,1),IF(IFERROR(MATCH($A4,attributeMapFeedProductType,0),0)&gt;0,1,0))</formula>
    </cfRule>
  </conditionalFormatting>
  <conditionalFormatting sqref="DA4:DA1048576">
    <cfRule type="expression" dxfId="3" priority="17640">
      <formula>AND(AND(OR(AND(AND(IF(COUNTIF(CONDITION_LIST_0,CZ4)&gt;0,FALSE,TRUE)))),A4&lt;&gt;""))</formula>
    </cfRule>
    <cfRule type="expression" dxfId="4" priority="17641">
      <formula>IF(LEN(DA4)&gt;0,1,0)</formula>
    </cfRule>
    <cfRule type="expression" dxfId="0" priority="17642">
      <formula>IF(VLOOKUP($DA$3,requiredAttributePTDMap,MATCH($A4,attributeMapFeedProductType,0)+1,FALSE)&gt;0,1,0)</formula>
    </cfRule>
    <cfRule type="expression" dxfId="1" priority="17643">
      <formula>IF(VLOOKUP($DA$3,optionalAttributePTDMap,MATCH($A4,attributeMapFeedProductType,0)+1,FALSE)&gt;0,1,0)</formula>
    </cfRule>
    <cfRule type="expression" dxfId="2" priority="17644">
      <formula>IF(VLOOKUP($DA$3,preferredAttributePTDMap,MATCH($A4,attributeMapFeedProductType,0)+1,FALSE)&gt;0,1,0)</formula>
    </cfRule>
    <cfRule type="expression" dxfId="3" priority="17645">
      <formula>AND(IF(IFERROR(VLOOKUP($DA$3,requiredAttributePTDMap,MATCH($A4,attributeMapFeedProductType,0)+1,FALSE),0)&gt;0,0,1),IF(IFERROR(VLOOKUP($DA$3,optionalAttributePTDMap,MATCH($A4,attributeMapFeedProductType,0)+1,FALSE),0)&gt;0,0,1),IF(IFERROR(VLOOKUP($DA$3,preferredAttributePTDMap,MATCH($A4,attributeMapFeedProductType,0)+1,FALSE),0)&gt;0,0,1),IF(IFERROR(MATCH($A4,attributeMapFeedProductType,0),0)&gt;0,1,0))</formula>
    </cfRule>
  </conditionalFormatting>
  <conditionalFormatting sqref="EG4:EG1048576">
    <cfRule type="expression" dxfId="0" priority="13378">
      <formula>IF(VLOOKUP($EG$3,requiredAttributePTDMap,MATCH($A4,attributeMapFeedProductType,0)+1,FALSE)&gt;0,1,0)</formula>
    </cfRule>
    <cfRule type="expression" dxfId="1" priority="13393">
      <formula>IF(VLOOKUP($EG$3,optionalAttributePTDMap,MATCH($A4,attributeMapFeedProductType,0)+1,FALSE)&gt;0,1,0)</formula>
    </cfRule>
    <cfRule type="expression" dxfId="2" priority="13408">
      <formula>IF(VLOOKUP($EG$3,preferredAttributePTDMap,MATCH($A4,attributeMapFeedProductType,0)+1,FALSE)&gt;0,1,0)</formula>
    </cfRule>
    <cfRule type="expression" dxfId="3" priority="13423">
      <formula>AND(IF(IFERROR(VLOOKUP($EG$3,requiredAttributePTDMap,MATCH($A4,attributeMapFeedProductType,0)+1,FALSE),0)&gt;0,0,1),IF(IFERROR(VLOOKUP($EG$3,optionalAttributePTDMap,MATCH($A4,attributeMapFeedProductType,0)+1,FALSE),0)&gt;0,0,1),IF(IFERROR(VLOOKUP($EG$3,preferredAttributePTDMap,MATCH($A4,attributeMapFeedProductType,0)+1,FALSE),0)&gt;0,0,1),IF(IFERROR(MATCH($A4,attributeMapFeedProductType,0),0)&gt;0,1,0))</formula>
    </cfRule>
  </conditionalFormatting>
  <conditionalFormatting sqref="EH4:EH1048576">
    <cfRule type="expression" dxfId="0" priority="13453">
      <formula>IF(VLOOKUP($EH$3,requiredAttributePTDMap,MATCH($A4,attributeMapFeedProductType,0)+1,FALSE)&gt;0,1,0)</formula>
    </cfRule>
    <cfRule type="expression" dxfId="1" priority="13468">
      <formula>IF(VLOOKUP($EH$3,optionalAttributePTDMap,MATCH($A4,attributeMapFeedProductType,0)+1,FALSE)&gt;0,1,0)</formula>
    </cfRule>
    <cfRule type="expression" dxfId="2" priority="13483">
      <formula>IF(VLOOKUP($EH$3,preferredAttributePTDMap,MATCH($A4,attributeMapFeedProductType,0)+1,FALSE)&gt;0,1,0)</formula>
    </cfRule>
    <cfRule type="expression" dxfId="3" priority="13498">
      <formula>AND(IF(IFERROR(VLOOKUP($EH$3,requiredAttributePTDMap,MATCH($A4,attributeMapFeedProductType,0)+1,FALSE),0)&gt;0,0,1),IF(IFERROR(VLOOKUP($EH$3,optionalAttributePTDMap,MATCH($A4,attributeMapFeedProductType,0)+1,FALSE),0)&gt;0,0,1),IF(IFERROR(VLOOKUP($EH$3,preferredAttributePTDMap,MATCH($A4,attributeMapFeedProductType,0)+1,FALSE),0)&gt;0,0,1),IF(IFERROR(MATCH($A4,attributeMapFeedProductType,0),0)&gt;0,1,0))</formula>
    </cfRule>
  </conditionalFormatting>
  <conditionalFormatting sqref="EI4:EI1048576">
    <cfRule type="expression" dxfId="0" priority="13528">
      <formula>IF(VLOOKUP($EI$3,requiredAttributePTDMap,MATCH($A4,attributeMapFeedProductType,0)+1,FALSE)&gt;0,1,0)</formula>
    </cfRule>
    <cfRule type="expression" dxfId="1" priority="13543">
      <formula>IF(VLOOKUP($EI$3,optionalAttributePTDMap,MATCH($A4,attributeMapFeedProductType,0)+1,FALSE)&gt;0,1,0)</formula>
    </cfRule>
    <cfRule type="expression" dxfId="2" priority="13558">
      <formula>IF(VLOOKUP($EI$3,preferredAttributePTDMap,MATCH($A4,attributeMapFeedProductType,0)+1,FALSE)&gt;0,1,0)</formula>
    </cfRule>
    <cfRule type="expression" dxfId="3" priority="13573">
      <formula>AND(IF(IFERROR(VLOOKUP($EI$3,requiredAttributePTDMap,MATCH($A4,attributeMapFeedProductType,0)+1,FALSE),0)&gt;0,0,1),IF(IFERROR(VLOOKUP($EI$3,optionalAttributePTDMap,MATCH($A4,attributeMapFeedProductType,0)+1,FALSE),0)&gt;0,0,1),IF(IFERROR(VLOOKUP($EI$3,preferredAttributePTDMap,MATCH($A4,attributeMapFeedProductType,0)+1,FALSE),0)&gt;0,0,1),IF(IFERROR(MATCH($A4,attributeMapFeedProductType,0),0)&gt;0,1,0))</formula>
    </cfRule>
  </conditionalFormatting>
  <conditionalFormatting sqref="EL5:EL7">
    <cfRule type="expression" dxfId="0" priority="13322">
      <formula>IF(VLOOKUP($EL$3,requiredAttributePTDMap,MATCH($A5,attributeMapFeedProductType,0)+1,FALSE)&gt;0,1,0)</formula>
    </cfRule>
    <cfRule type="expression" dxfId="1" priority="13328">
      <formula>IF(VLOOKUP($EL$3,optionalAttributePTDMap,MATCH($A5,attributeMapFeedProductType,0)+1,FALSE)&gt;0,1,0)</formula>
    </cfRule>
    <cfRule type="expression" dxfId="2" priority="13334">
      <formula>IF(VLOOKUP($EL$3,preferredAttributePTDMap,MATCH($A5,attributeMapFeedProductType,0)+1,FALSE)&gt;0,1,0)</formula>
    </cfRule>
    <cfRule type="expression" dxfId="3" priority="13340">
      <formula>AND(IF(IFERROR(VLOOKUP($EL$3,requiredAttributePTDMap,MATCH($A5,attributeMapFeedProductType,0)+1,FALSE),0)&gt;0,0,1),IF(IFERROR(VLOOKUP($EL$3,optionalAttributePTDMap,MATCH($A5,attributeMapFeedProductType,0)+1,FALSE),0)&gt;0,0,1),IF(IFERROR(VLOOKUP($EL$3,preferredAttributePTDMap,MATCH($A5,attributeMapFeedProductType,0)+1,FALSE),0)&gt;0,0,1),IF(IFERROR(MATCH($A5,attributeMapFeedProductType,0),0)&gt;0,1,0))</formula>
    </cfRule>
  </conditionalFormatting>
  <conditionalFormatting sqref="EM5:EM7">
    <cfRule type="expression" dxfId="0" priority="13292">
      <formula>IF(VLOOKUP($DY$3,requiredAttributePTDMap,MATCH($A5,attributeMapFeedProductType,0)+1,FALSE)&gt;0,1,0)</formula>
    </cfRule>
    <cfRule type="expression" dxfId="1" priority="13298">
      <formula>IF(VLOOKUP($DY$3,optionalAttributePTDMap,MATCH($A5,attributeMapFeedProductType,0)+1,FALSE)&gt;0,1,0)</formula>
    </cfRule>
    <cfRule type="expression" dxfId="2" priority="13304">
      <formula>IF(VLOOKUP($DY$3,preferredAttributePTDMap,MATCH($A5,attributeMapFeedProductType,0)+1,FALSE)&gt;0,1,0)</formula>
    </cfRule>
    <cfRule type="expression" dxfId="3" priority="13310">
      <formula>AND(IF(IFERROR(VLOOKUP($DY$3,requiredAttributePTDMap,MATCH($A5,attributeMapFeedProductType,0)+1,FALSE),0)&gt;0,0,1),IF(IFERROR(VLOOKUP($DY$3,optionalAttributePTDMap,MATCH($A5,attributeMapFeedProductType,0)+1,FALSE),0)&gt;0,0,1),IF(IFERROR(VLOOKUP($DY$3,preferredAttributePTDMap,MATCH($A5,attributeMapFeedProductType,0)+1,FALSE),0)&gt;0,0,1),IF(IFERROR(MATCH($A5,attributeMapFeedProductType,0),0)&gt;0,1,0))</formula>
    </cfRule>
  </conditionalFormatting>
  <conditionalFormatting sqref="ET4:ET7">
    <cfRule type="expression" dxfId="5" priority="142" stopIfTrue="1">
      <formula>IF(LEN(ET4)&gt;0,1,0)</formula>
    </cfRule>
    <cfRule type="expression" dxfId="6" priority="143" stopIfTrue="1">
      <formula>IF(VLOOKUP($FI$3,requiredAttributePTDMap,MATCH($A4,attributeMapFeedProductType,0)+1,FALSE)&gt;0,1,0)</formula>
    </cfRule>
    <cfRule type="expression" dxfId="7" priority="144" stopIfTrue="1">
      <formula>IF(VLOOKUP($FI$3,optionalAttributePTDMap,MATCH($A4,attributeMapFeedProductType,0)+1,FALSE)&gt;0,1,0)</formula>
    </cfRule>
    <cfRule type="expression" dxfId="8" priority="145" stopIfTrue="1">
      <formula>IF(VLOOKUP($FI$3,preferredAttributePTDMap,MATCH($A4,attributeMapFeedProductType,0)+1,FALSE)&gt;0,1,0)</formula>
    </cfRule>
    <cfRule type="expression" dxfId="9" priority="146" stopIfTrue="1">
      <formula>AND(IF(IFERROR(VLOOKUP($FI$3,requiredAttributePTDMap,MATCH($A4,attributeMapFeedProductType,0)+1,FALSE),0)&gt;0,0,1),IF(IFERROR(VLOOKUP($FI$3,optionalAttributePTDMap,MATCH($A4,attributeMapFeedProductType,0)+1,FALSE),0)&gt;0,0,1),IF(IFERROR(VLOOKUP($FI$3,preferredAttributePTDMap,MATCH($A4,attributeMapFeedProductType,0)+1,FALSE),0)&gt;0,0,1),IF(IFERROR(MATCH($A4,attributeMapFeedProductType,0),0)&gt;0,1,0))</formula>
    </cfRule>
  </conditionalFormatting>
  <conditionalFormatting sqref="ET8:ET1048576">
    <cfRule type="expression" dxfId="0" priority="17927">
      <formula>IF(VLOOKUP($ET$3,requiredAttributePTDMap,MATCH($A8,attributeMapFeedProductType,0)+1,FALSE)&gt;0,1,0)</formula>
    </cfRule>
    <cfRule type="expression" dxfId="1" priority="17928">
      <formula>IF(VLOOKUP($ET$3,optionalAttributePTDMap,MATCH($A8,attributeMapFeedProductType,0)+1,FALSE)&gt;0,1,0)</formula>
    </cfRule>
    <cfRule type="expression" dxfId="2" priority="17929">
      <formula>IF(VLOOKUP($ET$3,preferredAttributePTDMap,MATCH($A8,attributeMapFeedProductType,0)+1,FALSE)&gt;0,1,0)</formula>
    </cfRule>
    <cfRule type="expression" dxfId="3" priority="17930">
      <formula>AND(IF(IFERROR(VLOOKUP($ET$3,requiredAttributePTDMap,MATCH($A8,attributeMapFeedProductType,0)+1,FALSE),0)&gt;0,0,1),IF(IFERROR(VLOOKUP($ET$3,optionalAttributePTDMap,MATCH($A8,attributeMapFeedProductType,0)+1,FALSE),0)&gt;0,0,1),IF(IFERROR(VLOOKUP($ET$3,preferredAttributePTDMap,MATCH($A8,attributeMapFeedProductType,0)+1,FALSE),0)&gt;0,0,1),IF(IFERROR(MATCH($A8,attributeMapFeedProductType,0),0)&gt;0,1,0))</formula>
    </cfRule>
  </conditionalFormatting>
  <conditionalFormatting sqref="FJ4:FJ1048576">
    <cfRule type="expression" dxfId="5" priority="147" stopIfTrue="1">
      <formula>IF(LEN(FJ4)&gt;0,1,0)</formula>
    </cfRule>
    <cfRule type="expression" dxfId="6" priority="148" stopIfTrue="1">
      <formula>IF(VLOOKUP($FL$3,requiredAttributePTDMap,MATCH($A4,attributeMapFeedProductType,0)+1,FALSE)&gt;0,1,0)</formula>
    </cfRule>
    <cfRule type="expression" dxfId="7" priority="149" stopIfTrue="1">
      <formula>IF(VLOOKUP($FL$3,optionalAttributePTDMap,MATCH($A4,attributeMapFeedProductType,0)+1,FALSE)&gt;0,1,0)</formula>
    </cfRule>
    <cfRule type="expression" dxfId="8" priority="150" stopIfTrue="1">
      <formula>IF(VLOOKUP($FL$3,preferredAttributePTDMap,MATCH($A4,attributeMapFeedProductType,0)+1,FALSE)&gt;0,1,0)</formula>
    </cfRule>
    <cfRule type="expression" dxfId="9" priority="151" stopIfTrue="1">
      <formula>AND(IF(IFERROR(VLOOKUP($FL$3,requiredAttributePTDMap,MATCH($A4,attributeMapFeedProductType,0)+1,FALSE),0)&gt;0,0,1),IF(IFERROR(VLOOKUP($FL$3,optionalAttributePTDMap,MATCH($A4,attributeMapFeedProductType,0)+1,FALSE),0)&gt;0,0,1),IF(IFERROR(VLOOKUP($FL$3,preferredAttributePTDMap,MATCH($A4,attributeMapFeedProductType,0)+1,FALSE),0)&gt;0,0,1),IF(IFERROR(MATCH($A4,attributeMapFeedProductType,0),0)&gt;0,1,0))</formula>
    </cfRule>
  </conditionalFormatting>
  <conditionalFormatting sqref="C4:E4 K4:N4 S4:U4 Z4:AA4 AK4 AN4:AO4 AV4:AY4 EG4:EI4 K5:P5 S5:U5 Z5:AA5 AI5:AO5 AV5:AY5 EG5:EI5 K6:P6 S6:U6 Z6:AA6 AI6:AO6 AV6:AY6 EG6:EI6 K7:P7 S7:U7 Z7:AA7 AI7:AO7 AV7:AY7 EG7:EI7 D8:E8 K8:P8 S8:U8 Z8:AA8 AI8:AO8 AQ8:AR8 AV8:AY8 EB8:EC8 EG8:FI8 FK8:GE8 D9:E9 K9:P9 S9:U9 Z9:AA9 AI9:AO9 AQ9:AR9 AV9:AY9 EB9:EC9 EG9:FI9 FK9:GE9 D10:E10 K10:P10 S10:U10 Z10:AA10 AI10:AO10 AQ10:AR10 AV10:AY10 EB10:EC10 EG10:FI10 FK10:GE10 D11:E11 K11:P11 S11:U11 Z11:AA11 AI11:AO11 AQ11:AR11 AV11:AY11 EB11:EC11 EG11:FI11 FK11:GE11 D12:E12 K12:P12 S12:U12 Z12:AA12 AI12:AO12 AQ12:AR12 AV12:AY12 EB12:EC12 EG12:FI12 FK12:GE12 D13:E13 K13:P13 S13:U13 Z13:AA13 AI13:AO13 AQ13:AR13 AV13:AY13 EB13:EC13 EG13:FI13 FK13:GE13 D14:E14 K14:P14 S14:U14 Z14:AA14 AI14:AO14 AQ14:AR14 AV14:AY14 EB14:EC14 EG14:FI14 FK14:GE14 D15:E15 K15:P15 S15:U15 Z15:AA15 AI15:AO15 AQ15:AR15 AV15:AY15 EB15:EC15 EG15:FI15 FK15:GE15 D16:E1048576 K16:N1048576 S16:U1048576 Z16:AA1048576 AI16:AO1048576 AQ16:AR1048576 AV16:AY1048576 EB16:EC1048576 EG16:FI1048576 FK16:GE1048576">
    <cfRule type="expression" dxfId="4" priority="17127">
      <formula>IF(LEN(C4)&gt;0,1,0)</formula>
    </cfRule>
  </conditionalFormatting>
  <conditionalFormatting sqref="D4 D8:D1048576">
    <cfRule type="expression" dxfId="0" priority="17133">
      <formula>IF(VLOOKUP($D$3,requiredAttributePTDMap,MATCH($A4,attributeMapFeedProductType,0)+1,FALSE)&gt;0,1,0)</formula>
    </cfRule>
    <cfRule type="expression" dxfId="1" priority="17134">
      <formula>IF(VLOOKUP($D$3,optionalAttributePTDMap,MATCH($A4,attributeMapFeedProductType,0)+1,FALSE)&gt;0,1,0)</formula>
    </cfRule>
    <cfRule type="expression" dxfId="2" priority="17135">
      <formula>IF(VLOOKUP($D$3,preferredAttributePTDMap,MATCH($A4,attributeMapFeedProductType,0)+1,FALSE)&gt;0,1,0)</formula>
    </cfRule>
    <cfRule type="expression" dxfId="3" priority="17136">
      <formula>AND(IF(IFERROR(VLOOKUP($D$3,requiredAttributePTDMap,MATCH($A4,attributeMapFeedProductType,0)+1,FALSE),0)&gt;0,0,1),IF(IFERROR(VLOOKUP($D$3,optionalAttributePTDMap,MATCH($A4,attributeMapFeedProductType,0)+1,FALSE),0)&gt;0,0,1),IF(IFERROR(VLOOKUP($D$3,preferredAttributePTDMap,MATCH($A4,attributeMapFeedProductType,0)+1,FALSE),0)&gt;0,0,1),IF(IFERROR(MATCH($A4,attributeMapFeedProductType,0),0)&gt;0,1,0))</formula>
    </cfRule>
  </conditionalFormatting>
  <conditionalFormatting sqref="E4 E8:E1048576">
    <cfRule type="expression" dxfId="0" priority="17138">
      <formula>IF(VLOOKUP($E$3,requiredAttributePTDMap,MATCH($A4,attributeMapFeedProductType,0)+1,FALSE)&gt;0,1,0)</formula>
    </cfRule>
    <cfRule type="expression" dxfId="1" priority="17139">
      <formula>IF(VLOOKUP($E$3,optionalAttributePTDMap,MATCH($A4,attributeMapFeedProductType,0)+1,FALSE)&gt;0,1,0)</formula>
    </cfRule>
    <cfRule type="expression" dxfId="2" priority="17140">
      <formula>IF(VLOOKUP($E$3,preferredAttributePTDMap,MATCH($A4,attributeMapFeedProductType,0)+1,FALSE)&gt;0,1,0)</formula>
    </cfRule>
    <cfRule type="expression" dxfId="3" priority="17141">
      <formula>AND(IF(IFERROR(VLOOKUP($E$3,requiredAttributePTDMap,MATCH($A4,attributeMapFeedProductType,0)+1,FALSE),0)&gt;0,0,1),IF(IFERROR(VLOOKUP($E$3,optionalAttributePTDMap,MATCH($A4,attributeMapFeedProductType,0)+1,FALSE),0)&gt;0,0,1),IF(IFERROR(VLOOKUP($E$3,preferredAttributePTDMap,MATCH($A4,attributeMapFeedProductType,0)+1,FALSE),0)&gt;0,0,1),IF(IFERROR(MATCH($A4,attributeMapFeedProductType,0),0)&gt;0,1,0))</formula>
    </cfRule>
  </conditionalFormatting>
  <conditionalFormatting sqref="O4:Q4 O5:P7 O8:Q10 O11:R1048576">
    <cfRule type="expression" dxfId="4" priority="15381">
      <formula>IF(LEN(O4)&gt;0,1,0)</formula>
    </cfRule>
  </conditionalFormatting>
  <conditionalFormatting sqref="Q4 Q8:Q1048576">
    <cfRule type="expression" dxfId="0" priority="17198">
      <formula>IF(VLOOKUP($Q$3,requiredAttributePTDMap,MATCH($A4,attributeMapFeedProductType,0)+1,FALSE)&gt;0,1,0)</formula>
    </cfRule>
    <cfRule type="expression" dxfId="1" priority="17199">
      <formula>IF(VLOOKUP($Q$3,optionalAttributePTDMap,MATCH($A4,attributeMapFeedProductType,0)+1,FALSE)&gt;0,1,0)</formula>
    </cfRule>
    <cfRule type="expression" dxfId="2" priority="17200">
      <formula>IF(VLOOKUP($Q$3,preferredAttributePTDMap,MATCH($A4,attributeMapFeedProductType,0)+1,FALSE)&gt;0,1,0)</formula>
    </cfRule>
    <cfRule type="expression" dxfId="3" priority="17201">
      <formula>AND(IF(IFERROR(VLOOKUP($Q$3,requiredAttributePTDMap,MATCH($A4,attributeMapFeedProductType,0)+1,FALSE),0)&gt;0,0,1),IF(IFERROR(VLOOKUP($Q$3,optionalAttributePTDMap,MATCH($A4,attributeMapFeedProductType,0)+1,FALSE),0)&gt;0,0,1),IF(IFERROR(VLOOKUP($Q$3,preferredAttributePTDMap,MATCH($A4,attributeMapFeedProductType,0)+1,FALSE),0)&gt;0,0,1),IF(IFERROR(MATCH($A4,attributeMapFeedProductType,0),0)&gt;0,1,0))</formula>
    </cfRule>
  </conditionalFormatting>
  <conditionalFormatting sqref="W4 W8:W1048576">
    <cfRule type="expression" dxfId="0" priority="17228">
      <formula>IF(VLOOKUP($W$3,requiredAttributePTDMap,MATCH($A4,attributeMapFeedProductType,0)+1,FALSE)&gt;0,1,0)</formula>
    </cfRule>
    <cfRule type="expression" dxfId="1" priority="17229">
      <formula>IF(VLOOKUP($W$3,optionalAttributePTDMap,MATCH($A4,attributeMapFeedProductType,0)+1,FALSE)&gt;0,1,0)</formula>
    </cfRule>
    <cfRule type="expression" dxfId="2" priority="17230">
      <formula>IF(VLOOKUP($W$3,preferredAttributePTDMap,MATCH($A4,attributeMapFeedProductType,0)+1,FALSE)&gt;0,1,0)</formula>
    </cfRule>
    <cfRule type="expression" dxfId="3" priority="17231">
      <formula>AND(IF(IFERROR(VLOOKUP($W$3,requiredAttributePTDMap,MATCH($A4,attributeMapFeedProductType,0)+1,FALSE),0)&gt;0,0,1),IF(IFERROR(VLOOKUP($W$3,optionalAttributePTDMap,MATCH($A4,attributeMapFeedProductType,0)+1,FALSE),0)&gt;0,0,1),IF(IFERROR(VLOOKUP($W$3,preferredAttributePTDMap,MATCH($A4,attributeMapFeedProductType,0)+1,FALSE),0)&gt;0,0,1),IF(IFERROR(MATCH($A4,attributeMapFeedProductType,0),0)&gt;0,1,0))</formula>
    </cfRule>
  </conditionalFormatting>
  <conditionalFormatting sqref="X4 X8:X1048576">
    <cfRule type="expression" dxfId="0" priority="17233">
      <formula>IF(VLOOKUP($X$3,requiredAttributePTDMap,MATCH($A4,attributeMapFeedProductType,0)+1,FALSE)&gt;0,1,0)</formula>
    </cfRule>
    <cfRule type="expression" dxfId="1" priority="17234">
      <formula>IF(VLOOKUP($X$3,optionalAttributePTDMap,MATCH($A4,attributeMapFeedProductType,0)+1,FALSE)&gt;0,1,0)</formula>
    </cfRule>
    <cfRule type="expression" dxfId="2" priority="17235">
      <formula>IF(VLOOKUP($X$3,preferredAttributePTDMap,MATCH($A4,attributeMapFeedProductType,0)+1,FALSE)&gt;0,1,0)</formula>
    </cfRule>
    <cfRule type="expression" dxfId="3" priority="17236">
      <formula>AND(IF(IFERROR(VLOOKUP($X$3,requiredAttributePTDMap,MATCH($A4,attributeMapFeedProductType,0)+1,FALSE),0)&gt;0,0,1),IF(IFERROR(VLOOKUP($X$3,optionalAttributePTDMap,MATCH($A4,attributeMapFeedProductType,0)+1,FALSE),0)&gt;0,0,1),IF(IFERROR(VLOOKUP($X$3,preferredAttributePTDMap,MATCH($A4,attributeMapFeedProductType,0)+1,FALSE),0)&gt;0,0,1),IF(IFERROR(MATCH($A4,attributeMapFeedProductType,0),0)&gt;0,1,0))</formula>
    </cfRule>
  </conditionalFormatting>
  <conditionalFormatting sqref="Y4 Y8:Y1048576">
    <cfRule type="expression" dxfId="0" priority="17238">
      <formula>IF(VLOOKUP($Y$3,requiredAttributePTDMap,MATCH($A4,attributeMapFeedProductType,0)+1,FALSE)&gt;0,1,0)</formula>
    </cfRule>
    <cfRule type="expression" dxfId="1" priority="17239">
      <formula>IF(VLOOKUP($Y$3,optionalAttributePTDMap,MATCH($A4,attributeMapFeedProductType,0)+1,FALSE)&gt;0,1,0)</formula>
    </cfRule>
    <cfRule type="expression" dxfId="2" priority="17240">
      <formula>IF(VLOOKUP($Y$3,preferredAttributePTDMap,MATCH($A4,attributeMapFeedProductType,0)+1,FALSE)&gt;0,1,0)</formula>
    </cfRule>
    <cfRule type="expression" dxfId="3" priority="17241">
      <formula>AND(IF(IFERROR(VLOOKUP($Y$3,requiredAttributePTDMap,MATCH($A4,attributeMapFeedProductType,0)+1,FALSE),0)&gt;0,0,1),IF(IFERROR(VLOOKUP($Y$3,optionalAttributePTDMap,MATCH($A4,attributeMapFeedProductType,0)+1,FALSE),0)&gt;0,0,1),IF(IFERROR(VLOOKUP($Y$3,preferredAttributePTDMap,MATCH($A4,attributeMapFeedProductType,0)+1,FALSE),0)&gt;0,0,1),IF(IFERROR(MATCH($A4,attributeMapFeedProductType,0),0)&gt;0,1,0))</formula>
    </cfRule>
  </conditionalFormatting>
  <conditionalFormatting sqref="AK4 AX4 AK5 AX5 AK6 AX6 AK7 AX7 AK8 AX8 AK9 AX9 AK10 AX10 AK11 AX11 AK12 AX12 AK13 AX13 AK14 AX14 AK15 AX15 AK16:AK1048576">
    <cfRule type="expression" dxfId="0" priority="1342">
      <formula>IF(VLOOKUP($AK$3,requiredAttributePTDMap,MATCH($A4,attributeMapFeedProductType,0)+1,FALSE)&gt;0,1,0)</formula>
    </cfRule>
    <cfRule type="expression" dxfId="1" priority="1343">
      <formula>IF(VLOOKUP($AK$3,optionalAttributePTDMap,MATCH($A4,attributeMapFeedProductType,0)+1,FALSE)&gt;0,1,0)</formula>
    </cfRule>
    <cfRule type="expression" dxfId="2" priority="1344">
      <formula>IF(VLOOKUP($AK$3,preferredAttributePTDMap,MATCH($A4,attributeMapFeedProductType,0)+1,FALSE)&gt;0,1,0)</formula>
    </cfRule>
    <cfRule type="expression" dxfId="3" priority="1345">
      <formula>AND(IF(IFERROR(VLOOKUP($AK$3,requiredAttributePTDMap,MATCH($A4,attributeMapFeedProductType,0)+1,FALSE),0)&gt;0,0,1),IF(IFERROR(VLOOKUP($AK$3,optionalAttributePTDMap,MATCH($A4,attributeMapFeedProductType,0)+1,FALSE),0)&gt;0,0,1),IF(IFERROR(VLOOKUP($AK$3,preferredAttributePTDMap,MATCH($A4,attributeMapFeedProductType,0)+1,FALSE),0)&gt;0,0,1),IF(IFERROR(MATCH($A4,attributeMapFeedProductType,0),0)&gt;0,1,0))</formula>
    </cfRule>
  </conditionalFormatting>
  <conditionalFormatting sqref="AQ4 AQ8:AQ1048576">
    <cfRule type="expression" dxfId="0" priority="17328">
      <formula>IF(VLOOKUP($AQ$3,requiredAttributePTDMap,MATCH($A4,attributeMapFeedProductType,0)+1,FALSE)&gt;0,1,0)</formula>
    </cfRule>
    <cfRule type="expression" dxfId="1" priority="17329">
      <formula>IF(VLOOKUP($AQ$3,optionalAttributePTDMap,MATCH($A4,attributeMapFeedProductType,0)+1,FALSE)&gt;0,1,0)</formula>
    </cfRule>
    <cfRule type="expression" dxfId="2" priority="17330">
      <formula>IF(VLOOKUP($AQ$3,preferredAttributePTDMap,MATCH($A4,attributeMapFeedProductType,0)+1,FALSE)&gt;0,1,0)</formula>
    </cfRule>
    <cfRule type="expression" dxfId="3" priority="17331">
      <formula>AND(IF(IFERROR(VLOOKUP($AQ$3,requiredAttributePTDMap,MATCH($A4,attributeMapFeedProductType,0)+1,FALSE),0)&gt;0,0,1),IF(IFERROR(VLOOKUP($AQ$3,optionalAttributePTDMap,MATCH($A4,attributeMapFeedProductType,0)+1,FALSE),0)&gt;0,0,1),IF(IFERROR(VLOOKUP($AQ$3,preferredAttributePTDMap,MATCH($A4,attributeMapFeedProductType,0)+1,FALSE),0)&gt;0,0,1),IF(IFERROR(MATCH($A4,attributeMapFeedProductType,0),0)&gt;0,1,0))</formula>
    </cfRule>
  </conditionalFormatting>
  <conditionalFormatting sqref="AR4 AR8:AR1048576">
    <cfRule type="expression" dxfId="0" priority="17333">
      <formula>IF(VLOOKUP($AR$3,requiredAttributePTDMap,MATCH($A4,attributeMapFeedProductType,0)+1,FALSE)&gt;0,1,0)</formula>
    </cfRule>
    <cfRule type="expression" dxfId="1" priority="17334">
      <formula>IF(VLOOKUP($AR$3,optionalAttributePTDMap,MATCH($A4,attributeMapFeedProductType,0)+1,FALSE)&gt;0,1,0)</formula>
    </cfRule>
    <cfRule type="expression" dxfId="2" priority="17335">
      <formula>IF(VLOOKUP($AR$3,preferredAttributePTDMap,MATCH($A4,attributeMapFeedProductType,0)+1,FALSE)&gt;0,1,0)</formula>
    </cfRule>
    <cfRule type="expression" dxfId="3" priority="17336">
      <formula>AND(IF(IFERROR(VLOOKUP($AR$3,requiredAttributePTDMap,MATCH($A4,attributeMapFeedProductType,0)+1,FALSE),0)&gt;0,0,1),IF(IFERROR(VLOOKUP($AR$3,optionalAttributePTDMap,MATCH($A4,attributeMapFeedProductType,0)+1,FALSE),0)&gt;0,0,1),IF(IFERROR(VLOOKUP($AR$3,preferredAttributePTDMap,MATCH($A4,attributeMapFeedProductType,0)+1,FALSE),0)&gt;0,0,1),IF(IFERROR(MATCH($A4,attributeMapFeedProductType,0),0)&gt;0,1,0))</formula>
    </cfRule>
  </conditionalFormatting>
  <conditionalFormatting sqref="AZ4 AZ8:AZ1048576">
    <cfRule type="expression" dxfId="0" priority="17373">
      <formula>IF(VLOOKUP($AZ$3,requiredAttributePTDMap,MATCH($A4,attributeMapFeedProductType,0)+1,FALSE)&gt;0,1,0)</formula>
    </cfRule>
    <cfRule type="expression" dxfId="1" priority="17374">
      <formula>IF(VLOOKUP($AZ$3,optionalAttributePTDMap,MATCH($A4,attributeMapFeedProductType,0)+1,FALSE)&gt;0,1,0)</formula>
    </cfRule>
    <cfRule type="expression" dxfId="2" priority="17375">
      <formula>IF(VLOOKUP($AZ$3,preferredAttributePTDMap,MATCH($A4,attributeMapFeedProductType,0)+1,FALSE)&gt;0,1,0)</formula>
    </cfRule>
    <cfRule type="expression" dxfId="3" priority="17376">
      <formula>AND(IF(IFERROR(VLOOKUP($AZ$3,requiredAttributePTDMap,MATCH($A4,attributeMapFeedProductType,0)+1,FALSE),0)&gt;0,0,1),IF(IFERROR(VLOOKUP($AZ$3,optionalAttributePTDMap,MATCH($A4,attributeMapFeedProductType,0)+1,FALSE),0)&gt;0,0,1),IF(IFERROR(VLOOKUP($AZ$3,preferredAttributePTDMap,MATCH($A4,attributeMapFeedProductType,0)+1,FALSE),0)&gt;0,0,1),IF(IFERROR(MATCH($A4,attributeMapFeedProductType,0),0)&gt;0,1,0))</formula>
    </cfRule>
  </conditionalFormatting>
  <conditionalFormatting sqref="BN4:BN15 BC16:BC1048576">
    <cfRule type="expression" dxfId="1" priority="17389">
      <formula>IF(VLOOKUP($BC$3,optionalAttributePTDMap,MATCH($A4,attributeMapFeedProductType,0)+1,FALSE)&gt;0,1,0)</formula>
    </cfRule>
    <cfRule type="expression" dxfId="2" priority="17390">
      <formula>IF(VLOOKUP($BC$3,preferredAttributePTDMap,MATCH($A4,attributeMapFeedProductType,0)+1,FALSE)&gt;0,1,0)</formula>
    </cfRule>
    <cfRule type="expression" dxfId="3" priority="17391">
      <formula>AND(IF(IFERROR(VLOOKUP($BC$3,requiredAttributePTDMap,MATCH($A4,attributeMapFeedProductType,0)+1,FALSE),0)&gt;0,0,1),IF(IFERROR(VLOOKUP($BC$3,optionalAttributePTDMap,MATCH($A4,attributeMapFeedProductType,0)+1,FALSE),0)&gt;0,0,1),IF(IFERROR(VLOOKUP($BC$3,preferredAttributePTDMap,MATCH($A4,attributeMapFeedProductType,0)+1,FALSE),0)&gt;0,0,1),IF(IFERROR(MATCH($A4,attributeMapFeedProductType,0),0)&gt;0,1,0))</formula>
    </cfRule>
    <cfRule type="expression" dxfId="0" priority="17388">
      <formula>IF(VLOOKUP($BC$3,requiredAttributePTDMap,MATCH($A4,attributeMapFeedProductType,0)+1,FALSE)&gt;0,1,0)</formula>
    </cfRule>
  </conditionalFormatting>
  <conditionalFormatting sqref="BO4:BO15 BD16:BD1048576">
    <cfRule type="expression" dxfId="1" priority="17394">
      <formula>IF(VLOOKUP($BD$3,optionalAttributePTDMap,MATCH($A4,attributeMapFeedProductType,0)+1,FALSE)&gt;0,1,0)</formula>
    </cfRule>
    <cfRule type="expression" dxfId="2" priority="17395">
      <formula>IF(VLOOKUP($BD$3,preferredAttributePTDMap,MATCH($A4,attributeMapFeedProductType,0)+1,FALSE)&gt;0,1,0)</formula>
    </cfRule>
    <cfRule type="expression" dxfId="3" priority="17396">
      <formula>AND(IF(IFERROR(VLOOKUP($BD$3,requiredAttributePTDMap,MATCH($A4,attributeMapFeedProductType,0)+1,FALSE),0)&gt;0,0,1),IF(IFERROR(VLOOKUP($BD$3,optionalAttributePTDMap,MATCH($A4,attributeMapFeedProductType,0)+1,FALSE),0)&gt;0,0,1),IF(IFERROR(VLOOKUP($BD$3,preferredAttributePTDMap,MATCH($A4,attributeMapFeedProductType,0)+1,FALSE),0)&gt;0,0,1),IF(IFERROR(MATCH($A4,attributeMapFeedProductType,0),0)&gt;0,1,0))</formula>
    </cfRule>
    <cfRule type="expression" dxfId="0" priority="17393">
      <formula>IF(VLOOKUP($BD$3,requiredAttributePTDMap,MATCH($A4,attributeMapFeedProductType,0)+1,FALSE)&gt;0,1,0)</formula>
    </cfRule>
  </conditionalFormatting>
  <conditionalFormatting sqref="BE4 BE8:BE1048576">
    <cfRule type="expression" dxfId="0" priority="17398">
      <formula>IF(VLOOKUP($BE$3,requiredAttributePTDMap,MATCH($A4,attributeMapFeedProductType,0)+1,FALSE)&gt;0,1,0)</formula>
    </cfRule>
    <cfRule type="expression" dxfId="1" priority="17399">
      <formula>IF(VLOOKUP($BE$3,optionalAttributePTDMap,MATCH($A4,attributeMapFeedProductType,0)+1,FALSE)&gt;0,1,0)</formula>
    </cfRule>
    <cfRule type="expression" dxfId="2" priority="17400">
      <formula>IF(VLOOKUP($BE$3,preferredAttributePTDMap,MATCH($A4,attributeMapFeedProductType,0)+1,FALSE)&gt;0,1,0)</formula>
    </cfRule>
    <cfRule type="expression" dxfId="3" priority="17401">
      <formula>AND(IF(IFERROR(VLOOKUP($BE$3,requiredAttributePTDMap,MATCH($A4,attributeMapFeedProductType,0)+1,FALSE),0)&gt;0,0,1),IF(IFERROR(VLOOKUP($BE$3,optionalAttributePTDMap,MATCH($A4,attributeMapFeedProductType,0)+1,FALSE),0)&gt;0,0,1),IF(IFERROR(VLOOKUP($BE$3,preferredAttributePTDMap,MATCH($A4,attributeMapFeedProductType,0)+1,FALSE),0)&gt;0,0,1),IF(IFERROR(MATCH($A4,attributeMapFeedProductType,0),0)&gt;0,1,0))</formula>
    </cfRule>
  </conditionalFormatting>
  <conditionalFormatting sqref="BF4 BF8:BF1048576">
    <cfRule type="expression" dxfId="0" priority="17403">
      <formula>IF(VLOOKUP($BF$3,requiredAttributePTDMap,MATCH($A4,attributeMapFeedProductType,0)+1,FALSE)&gt;0,1,0)</formula>
    </cfRule>
    <cfRule type="expression" dxfId="1" priority="17404">
      <formula>IF(VLOOKUP($BF$3,optionalAttributePTDMap,MATCH($A4,attributeMapFeedProductType,0)+1,FALSE)&gt;0,1,0)</formula>
    </cfRule>
    <cfRule type="expression" dxfId="2" priority="17405">
      <formula>IF(VLOOKUP($BF$3,preferredAttributePTDMap,MATCH($A4,attributeMapFeedProductType,0)+1,FALSE)&gt;0,1,0)</formula>
    </cfRule>
    <cfRule type="expression" dxfId="3" priority="17406">
      <formula>AND(IF(IFERROR(VLOOKUP($BF$3,requiredAttributePTDMap,MATCH($A4,attributeMapFeedProductType,0)+1,FALSE),0)&gt;0,0,1),IF(IFERROR(VLOOKUP($BF$3,optionalAttributePTDMap,MATCH($A4,attributeMapFeedProductType,0)+1,FALSE),0)&gt;0,0,1),IF(IFERROR(VLOOKUP($BF$3,preferredAttributePTDMap,MATCH($A4,attributeMapFeedProductType,0)+1,FALSE),0)&gt;0,0,1),IF(IFERROR(MATCH($A4,attributeMapFeedProductType,0),0)&gt;0,1,0))</formula>
    </cfRule>
  </conditionalFormatting>
  <conditionalFormatting sqref="BG4 BG8:BG1048576">
    <cfRule type="expression" dxfId="0" priority="17408">
      <formula>IF(VLOOKUP($BG$3,requiredAttributePTDMap,MATCH($A4,attributeMapFeedProductType,0)+1,FALSE)&gt;0,1,0)</formula>
    </cfRule>
    <cfRule type="expression" dxfId="1" priority="17409">
      <formula>IF(VLOOKUP($BG$3,optionalAttributePTDMap,MATCH($A4,attributeMapFeedProductType,0)+1,FALSE)&gt;0,1,0)</formula>
    </cfRule>
    <cfRule type="expression" dxfId="2" priority="17410">
      <formula>IF(VLOOKUP($BG$3,preferredAttributePTDMap,MATCH($A4,attributeMapFeedProductType,0)+1,FALSE)&gt;0,1,0)</formula>
    </cfRule>
    <cfRule type="expression" dxfId="3" priority="17411">
      <formula>AND(IF(IFERROR(VLOOKUP($BG$3,requiredAttributePTDMap,MATCH($A4,attributeMapFeedProductType,0)+1,FALSE),0)&gt;0,0,1),IF(IFERROR(VLOOKUP($BG$3,optionalAttributePTDMap,MATCH($A4,attributeMapFeedProductType,0)+1,FALSE),0)&gt;0,0,1),IF(IFERROR(VLOOKUP($BG$3,preferredAttributePTDMap,MATCH($A4,attributeMapFeedProductType,0)+1,FALSE),0)&gt;0,0,1),IF(IFERROR(MATCH($A4,attributeMapFeedProductType,0),0)&gt;0,1,0))</formula>
    </cfRule>
  </conditionalFormatting>
  <conditionalFormatting sqref="BH4 BH8:BH1048576">
    <cfRule type="expression" dxfId="0" priority="17413">
      <formula>IF(VLOOKUP($BH$3,requiredAttributePTDMap,MATCH($A4,attributeMapFeedProductType,0)+1,FALSE)&gt;0,1,0)</formula>
    </cfRule>
    <cfRule type="expression" dxfId="1" priority="17414">
      <formula>IF(VLOOKUP($BH$3,optionalAttributePTDMap,MATCH($A4,attributeMapFeedProductType,0)+1,FALSE)&gt;0,1,0)</formula>
    </cfRule>
    <cfRule type="expression" dxfId="2" priority="17415">
      <formula>IF(VLOOKUP($BH$3,preferredAttributePTDMap,MATCH($A4,attributeMapFeedProductType,0)+1,FALSE)&gt;0,1,0)</formula>
    </cfRule>
    <cfRule type="expression" dxfId="3" priority="17416">
      <formula>AND(IF(IFERROR(VLOOKUP($BH$3,requiredAttributePTDMap,MATCH($A4,attributeMapFeedProductType,0)+1,FALSE),0)&gt;0,0,1),IF(IFERROR(VLOOKUP($BH$3,optionalAttributePTDMap,MATCH($A4,attributeMapFeedProductType,0)+1,FALSE),0)&gt;0,0,1),IF(IFERROR(VLOOKUP($BH$3,preferredAttributePTDMap,MATCH($A4,attributeMapFeedProductType,0)+1,FALSE),0)&gt;0,0,1),IF(IFERROR(MATCH($A4,attributeMapFeedProductType,0),0)&gt;0,1,0))</formula>
    </cfRule>
  </conditionalFormatting>
  <conditionalFormatting sqref="BI4 BI8:BI1048576">
    <cfRule type="expression" dxfId="0" priority="17418">
      <formula>IF(VLOOKUP($BI$3,requiredAttributePTDMap,MATCH($A4,attributeMapFeedProductType,0)+1,FALSE)&gt;0,1,0)</formula>
    </cfRule>
    <cfRule type="expression" dxfId="1" priority="17419">
      <formula>IF(VLOOKUP($BI$3,optionalAttributePTDMap,MATCH($A4,attributeMapFeedProductType,0)+1,FALSE)&gt;0,1,0)</formula>
    </cfRule>
    <cfRule type="expression" dxfId="2" priority="17420">
      <formula>IF(VLOOKUP($BI$3,preferredAttributePTDMap,MATCH($A4,attributeMapFeedProductType,0)+1,FALSE)&gt;0,1,0)</formula>
    </cfRule>
    <cfRule type="expression" dxfId="3" priority="17421">
      <formula>AND(IF(IFERROR(VLOOKUP($BI$3,requiredAttributePTDMap,MATCH($A4,attributeMapFeedProductType,0)+1,FALSE),0)&gt;0,0,1),IF(IFERROR(VLOOKUP($BI$3,optionalAttributePTDMap,MATCH($A4,attributeMapFeedProductType,0)+1,FALSE),0)&gt;0,0,1),IF(IFERROR(VLOOKUP($BI$3,preferredAttributePTDMap,MATCH($A4,attributeMapFeedProductType,0)+1,FALSE),0)&gt;0,0,1),IF(IFERROR(MATCH($A4,attributeMapFeedProductType,0),0)&gt;0,1,0))</formula>
    </cfRule>
  </conditionalFormatting>
  <conditionalFormatting sqref="BJ4 BJ8:BJ1048576">
    <cfRule type="expression" dxfId="0" priority="17423">
      <formula>IF(VLOOKUP($BJ$3,requiredAttributePTDMap,MATCH($A4,attributeMapFeedProductType,0)+1,FALSE)&gt;0,1,0)</formula>
    </cfRule>
    <cfRule type="expression" dxfId="1" priority="17424">
      <formula>IF(VLOOKUP($BJ$3,optionalAttributePTDMap,MATCH($A4,attributeMapFeedProductType,0)+1,FALSE)&gt;0,1,0)</formula>
    </cfRule>
    <cfRule type="expression" dxfId="2" priority="17425">
      <formula>IF(VLOOKUP($BJ$3,preferredAttributePTDMap,MATCH($A4,attributeMapFeedProductType,0)+1,FALSE)&gt;0,1,0)</formula>
    </cfRule>
    <cfRule type="expression" dxfId="3" priority="17426">
      <formula>AND(IF(IFERROR(VLOOKUP($BJ$3,requiredAttributePTDMap,MATCH($A4,attributeMapFeedProductType,0)+1,FALSE),0)&gt;0,0,1),IF(IFERROR(VLOOKUP($BJ$3,optionalAttributePTDMap,MATCH($A4,attributeMapFeedProductType,0)+1,FALSE),0)&gt;0,0,1),IF(IFERROR(VLOOKUP($BJ$3,preferredAttributePTDMap,MATCH($A4,attributeMapFeedProductType,0)+1,FALSE),0)&gt;0,0,1),IF(IFERROR(MATCH($A4,attributeMapFeedProductType,0),0)&gt;0,1,0))</formula>
    </cfRule>
  </conditionalFormatting>
  <conditionalFormatting sqref="BK4 BK8:BK1048576">
    <cfRule type="expression" dxfId="0" priority="17428">
      <formula>IF(VLOOKUP($BK$3,requiredAttributePTDMap,MATCH($A4,attributeMapFeedProductType,0)+1,FALSE)&gt;0,1,0)</formula>
    </cfRule>
    <cfRule type="expression" dxfId="1" priority="17429">
      <formula>IF(VLOOKUP($BK$3,optionalAttributePTDMap,MATCH($A4,attributeMapFeedProductType,0)+1,FALSE)&gt;0,1,0)</formula>
    </cfRule>
    <cfRule type="expression" dxfId="2" priority="17430">
      <formula>IF(VLOOKUP($BK$3,preferredAttributePTDMap,MATCH($A4,attributeMapFeedProductType,0)+1,FALSE)&gt;0,1,0)</formula>
    </cfRule>
    <cfRule type="expression" dxfId="3" priority="17431">
      <formula>AND(IF(IFERROR(VLOOKUP($BK$3,requiredAttributePTDMap,MATCH($A4,attributeMapFeedProductType,0)+1,FALSE),0)&gt;0,0,1),IF(IFERROR(VLOOKUP($BK$3,optionalAttributePTDMap,MATCH($A4,attributeMapFeedProductType,0)+1,FALSE),0)&gt;0,0,1),IF(IFERROR(VLOOKUP($BK$3,preferredAttributePTDMap,MATCH($A4,attributeMapFeedProductType,0)+1,FALSE),0)&gt;0,0,1),IF(IFERROR(MATCH($A4,attributeMapFeedProductType,0),0)&gt;0,1,0))</formula>
    </cfRule>
  </conditionalFormatting>
  <conditionalFormatting sqref="BM4:BQ10 BN11:BQ15">
    <cfRule type="expression" dxfId="4" priority="242">
      <formula>IF(LEN(BM4)&gt;0,1,0)</formula>
    </cfRule>
  </conditionalFormatting>
  <conditionalFormatting sqref="BP4:BQ15">
    <cfRule type="expression" dxfId="0" priority="243">
      <formula>IF(VLOOKUP($BE$3,requiredAttributePTDMap,MATCH(#REF!,attributeMapFeedProductType,0)+1,FALSE)&gt;0,1,0)</formula>
    </cfRule>
    <cfRule type="expression" dxfId="1" priority="244">
      <formula>IF(VLOOKUP($BE$3,optionalAttributePTDMap,MATCH(#REF!,attributeMapFeedProductType,0)+1,FALSE)&gt;0,1,0)</formula>
    </cfRule>
    <cfRule type="expression" dxfId="2" priority="245">
      <formula>IF(VLOOKUP($BE$3,preferredAttributePTDMap,MATCH(#REF!,attributeMapFeedProductType,0)+1,FALSE)&gt;0,1,0)</formula>
    </cfRule>
    <cfRule type="expression" dxfId="3" priority="246">
      <formula>AND(IF(IFERROR(VLOOKUP($BE$3,requiredAttributePTDMap,MATCH(#REF!,attributeMapFeedProductType,0)+1,FALSE),0)&gt;0,0,1),IF(IFERROR(VLOOKUP($BE$3,optionalAttributePTDMap,MATCH(#REF!,attributeMapFeedProductType,0)+1,FALSE),0)&gt;0,0,1),IF(IFERROR(VLOOKUP($BE$3,preferredAttributePTDMap,MATCH(#REF!,attributeMapFeedProductType,0)+1,FALSE),0)&gt;0,0,1),IF(IFERROR(MATCH(#REF!,attributeMapFeedProductType,0),0)&gt;0,1,0))</formula>
    </cfRule>
  </conditionalFormatting>
  <conditionalFormatting sqref="BS4 BS8:BS1048576">
    <cfRule type="expression" dxfId="0" priority="17468">
      <formula>IF(VLOOKUP($BS$3,requiredAttributePTDMap,MATCH($A4,attributeMapFeedProductType,0)+1,FALSE)&gt;0,1,0)</formula>
    </cfRule>
    <cfRule type="expression" dxfId="1" priority="17469">
      <formula>IF(VLOOKUP($BS$3,optionalAttributePTDMap,MATCH($A4,attributeMapFeedProductType,0)+1,FALSE)&gt;0,1,0)</formula>
    </cfRule>
    <cfRule type="expression" dxfId="2" priority="17470">
      <formula>IF(VLOOKUP($BS$3,preferredAttributePTDMap,MATCH($A4,attributeMapFeedProductType,0)+1,FALSE)&gt;0,1,0)</formula>
    </cfRule>
    <cfRule type="expression" dxfId="3" priority="17471">
      <formula>AND(IF(IFERROR(VLOOKUP($BS$3,requiredAttributePTDMap,MATCH($A4,attributeMapFeedProductType,0)+1,FALSE),0)&gt;0,0,1),IF(IFERROR(VLOOKUP($BS$3,optionalAttributePTDMap,MATCH($A4,attributeMapFeedProductType,0)+1,FALSE),0)&gt;0,0,1),IF(IFERROR(VLOOKUP($BS$3,preferredAttributePTDMap,MATCH($A4,attributeMapFeedProductType,0)+1,FALSE),0)&gt;0,0,1),IF(IFERROR(MATCH($A4,attributeMapFeedProductType,0),0)&gt;0,1,0))</formula>
    </cfRule>
  </conditionalFormatting>
  <conditionalFormatting sqref="BT4 BT8:BT1048576">
    <cfRule type="expression" dxfId="0" priority="17473">
      <formula>IF(VLOOKUP($BT$3,requiredAttributePTDMap,MATCH($A4,attributeMapFeedProductType,0)+1,FALSE)&gt;0,1,0)</formula>
    </cfRule>
    <cfRule type="expression" dxfId="1" priority="17474">
      <formula>IF(VLOOKUP($BT$3,optionalAttributePTDMap,MATCH($A4,attributeMapFeedProductType,0)+1,FALSE)&gt;0,1,0)</formula>
    </cfRule>
    <cfRule type="expression" dxfId="2" priority="17475">
      <formula>IF(VLOOKUP($BT$3,preferredAttributePTDMap,MATCH($A4,attributeMapFeedProductType,0)+1,FALSE)&gt;0,1,0)</formula>
    </cfRule>
    <cfRule type="expression" dxfId="3" priority="17476">
      <formula>AND(IF(IFERROR(VLOOKUP($BT$3,requiredAttributePTDMap,MATCH($A4,attributeMapFeedProductType,0)+1,FALSE),0)&gt;0,0,1),IF(IFERROR(VLOOKUP($BT$3,optionalAttributePTDMap,MATCH($A4,attributeMapFeedProductType,0)+1,FALSE),0)&gt;0,0,1),IF(IFERROR(VLOOKUP($BT$3,preferredAttributePTDMap,MATCH($A4,attributeMapFeedProductType,0)+1,FALSE),0)&gt;0,0,1),IF(IFERROR(MATCH($A4,attributeMapFeedProductType,0),0)&gt;0,1,0))</formula>
    </cfRule>
  </conditionalFormatting>
  <conditionalFormatting sqref="BU4 BU8:BU1048576">
    <cfRule type="expression" dxfId="0" priority="17478">
      <formula>IF(VLOOKUP($BU$3,requiredAttributePTDMap,MATCH($A4,attributeMapFeedProductType,0)+1,FALSE)&gt;0,1,0)</formula>
    </cfRule>
    <cfRule type="expression" dxfId="1" priority="17479">
      <formula>IF(VLOOKUP($BU$3,optionalAttributePTDMap,MATCH($A4,attributeMapFeedProductType,0)+1,FALSE)&gt;0,1,0)</formula>
    </cfRule>
    <cfRule type="expression" dxfId="2" priority="17480">
      <formula>IF(VLOOKUP($BU$3,preferredAttributePTDMap,MATCH($A4,attributeMapFeedProductType,0)+1,FALSE)&gt;0,1,0)</formula>
    </cfRule>
    <cfRule type="expression" dxfId="3" priority="17481">
      <formula>AND(IF(IFERROR(VLOOKUP($BU$3,requiredAttributePTDMap,MATCH($A4,attributeMapFeedProductType,0)+1,FALSE),0)&gt;0,0,1),IF(IFERROR(VLOOKUP($BU$3,optionalAttributePTDMap,MATCH($A4,attributeMapFeedProductType,0)+1,FALSE),0)&gt;0,0,1),IF(IFERROR(VLOOKUP($BU$3,preferredAttributePTDMap,MATCH($A4,attributeMapFeedProductType,0)+1,FALSE),0)&gt;0,0,1),IF(IFERROR(MATCH($A4,attributeMapFeedProductType,0),0)&gt;0,1,0))</formula>
    </cfRule>
  </conditionalFormatting>
  <conditionalFormatting sqref="BV4 BV8:BV1048576">
    <cfRule type="expression" dxfId="0" priority="17483">
      <formula>IF(VLOOKUP($BV$3,requiredAttributePTDMap,MATCH($A4,attributeMapFeedProductType,0)+1,FALSE)&gt;0,1,0)</formula>
    </cfRule>
    <cfRule type="expression" dxfId="1" priority="17484">
      <formula>IF(VLOOKUP($BV$3,optionalAttributePTDMap,MATCH($A4,attributeMapFeedProductType,0)+1,FALSE)&gt;0,1,0)</formula>
    </cfRule>
    <cfRule type="expression" dxfId="2" priority="17485">
      <formula>IF(VLOOKUP($BV$3,preferredAttributePTDMap,MATCH($A4,attributeMapFeedProductType,0)+1,FALSE)&gt;0,1,0)</formula>
    </cfRule>
    <cfRule type="expression" dxfId="3" priority="17486">
      <formula>AND(IF(IFERROR(VLOOKUP($BV$3,requiredAttributePTDMap,MATCH($A4,attributeMapFeedProductType,0)+1,FALSE),0)&gt;0,0,1),IF(IFERROR(VLOOKUP($BV$3,optionalAttributePTDMap,MATCH($A4,attributeMapFeedProductType,0)+1,FALSE),0)&gt;0,0,1),IF(IFERROR(VLOOKUP($BV$3,preferredAttributePTDMap,MATCH($A4,attributeMapFeedProductType,0)+1,FALSE),0)&gt;0,0,1),IF(IFERROR(MATCH($A4,attributeMapFeedProductType,0),0)&gt;0,1,0))</formula>
    </cfRule>
  </conditionalFormatting>
  <conditionalFormatting sqref="BW4 BW8:BW1048576">
    <cfRule type="expression" dxfId="0" priority="17488">
      <formula>IF(VLOOKUP($BW$3,requiredAttributePTDMap,MATCH($A4,attributeMapFeedProductType,0)+1,FALSE)&gt;0,1,0)</formula>
    </cfRule>
    <cfRule type="expression" dxfId="1" priority="17489">
      <formula>IF(VLOOKUP($BW$3,optionalAttributePTDMap,MATCH($A4,attributeMapFeedProductType,0)+1,FALSE)&gt;0,1,0)</formula>
    </cfRule>
    <cfRule type="expression" dxfId="2" priority="17490">
      <formula>IF(VLOOKUP($BW$3,preferredAttributePTDMap,MATCH($A4,attributeMapFeedProductType,0)+1,FALSE)&gt;0,1,0)</formula>
    </cfRule>
    <cfRule type="expression" dxfId="3" priority="17491">
      <formula>AND(IF(IFERROR(VLOOKUP($BW$3,requiredAttributePTDMap,MATCH($A4,attributeMapFeedProductType,0)+1,FALSE),0)&gt;0,0,1),IF(IFERROR(VLOOKUP($BW$3,optionalAttributePTDMap,MATCH($A4,attributeMapFeedProductType,0)+1,FALSE),0)&gt;0,0,1),IF(IFERROR(VLOOKUP($BW$3,preferredAttributePTDMap,MATCH($A4,attributeMapFeedProductType,0)+1,FALSE),0)&gt;0,0,1),IF(IFERROR(MATCH($A4,attributeMapFeedProductType,0),0)&gt;0,1,0))</formula>
    </cfRule>
  </conditionalFormatting>
  <conditionalFormatting sqref="BX4 BX8:BX1048576">
    <cfRule type="expression" dxfId="0" priority="17493">
      <formula>IF(VLOOKUP($BX$3,requiredAttributePTDMap,MATCH($A4,attributeMapFeedProductType,0)+1,FALSE)&gt;0,1,0)</formula>
    </cfRule>
    <cfRule type="expression" dxfId="1" priority="17494">
      <formula>IF(VLOOKUP($BX$3,optionalAttributePTDMap,MATCH($A4,attributeMapFeedProductType,0)+1,FALSE)&gt;0,1,0)</formula>
    </cfRule>
    <cfRule type="expression" dxfId="2" priority="17495">
      <formula>IF(VLOOKUP($BX$3,preferredAttributePTDMap,MATCH($A4,attributeMapFeedProductType,0)+1,FALSE)&gt;0,1,0)</formula>
    </cfRule>
    <cfRule type="expression" dxfId="3" priority="17496">
      <formula>AND(IF(IFERROR(VLOOKUP($BX$3,requiredAttributePTDMap,MATCH($A4,attributeMapFeedProductType,0)+1,FALSE),0)&gt;0,0,1),IF(IFERROR(VLOOKUP($BX$3,optionalAttributePTDMap,MATCH($A4,attributeMapFeedProductType,0)+1,FALSE),0)&gt;0,0,1),IF(IFERROR(VLOOKUP($BX$3,preferredAttributePTDMap,MATCH($A4,attributeMapFeedProductType,0)+1,FALSE),0)&gt;0,0,1),IF(IFERROR(MATCH($A4,attributeMapFeedProductType,0),0)&gt;0,1,0))</formula>
    </cfRule>
  </conditionalFormatting>
  <conditionalFormatting sqref="BY4 BY8:BY1048576">
    <cfRule type="expression" dxfId="0" priority="17498">
      <formula>IF(VLOOKUP($BY$3,requiredAttributePTDMap,MATCH($A4,attributeMapFeedProductType,0)+1,FALSE)&gt;0,1,0)</formula>
    </cfRule>
    <cfRule type="expression" dxfId="1" priority="17499">
      <formula>IF(VLOOKUP($BY$3,optionalAttributePTDMap,MATCH($A4,attributeMapFeedProductType,0)+1,FALSE)&gt;0,1,0)</formula>
    </cfRule>
    <cfRule type="expression" dxfId="2" priority="17500">
      <formula>IF(VLOOKUP($BY$3,preferredAttributePTDMap,MATCH($A4,attributeMapFeedProductType,0)+1,FALSE)&gt;0,1,0)</formula>
    </cfRule>
    <cfRule type="expression" dxfId="3" priority="17501">
      <formula>AND(IF(IFERROR(VLOOKUP($BY$3,requiredAttributePTDMap,MATCH($A4,attributeMapFeedProductType,0)+1,FALSE),0)&gt;0,0,1),IF(IFERROR(VLOOKUP($BY$3,optionalAttributePTDMap,MATCH($A4,attributeMapFeedProductType,0)+1,FALSE),0)&gt;0,0,1),IF(IFERROR(VLOOKUP($BY$3,preferredAttributePTDMap,MATCH($A4,attributeMapFeedProductType,0)+1,FALSE),0)&gt;0,0,1),IF(IFERROR(MATCH($A4,attributeMapFeedProductType,0),0)&gt;0,1,0))</formula>
    </cfRule>
  </conditionalFormatting>
  <conditionalFormatting sqref="BZ4 BZ8:BZ1048576">
    <cfRule type="expression" dxfId="0" priority="17503">
      <formula>IF(VLOOKUP($BZ$3,requiredAttributePTDMap,MATCH($A4,attributeMapFeedProductType,0)+1,FALSE)&gt;0,1,0)</formula>
    </cfRule>
    <cfRule type="expression" dxfId="1" priority="17504">
      <formula>IF(VLOOKUP($BZ$3,optionalAttributePTDMap,MATCH($A4,attributeMapFeedProductType,0)+1,FALSE)&gt;0,1,0)</formula>
    </cfRule>
    <cfRule type="expression" dxfId="2" priority="17505">
      <formula>IF(VLOOKUP($BZ$3,preferredAttributePTDMap,MATCH($A4,attributeMapFeedProductType,0)+1,FALSE)&gt;0,1,0)</formula>
    </cfRule>
    <cfRule type="expression" dxfId="3" priority="17506">
      <formula>AND(IF(IFERROR(VLOOKUP($BZ$3,requiredAttributePTDMap,MATCH($A4,attributeMapFeedProductType,0)+1,FALSE),0)&gt;0,0,1),IF(IFERROR(VLOOKUP($BZ$3,optionalAttributePTDMap,MATCH($A4,attributeMapFeedProductType,0)+1,FALSE),0)&gt;0,0,1),IF(IFERROR(VLOOKUP($BZ$3,preferredAttributePTDMap,MATCH($A4,attributeMapFeedProductType,0)+1,FALSE),0)&gt;0,0,1),IF(IFERROR(MATCH($A4,attributeMapFeedProductType,0),0)&gt;0,1,0))</formula>
    </cfRule>
  </conditionalFormatting>
  <conditionalFormatting sqref="CA4 CA8:CA1048576">
    <cfRule type="expression" dxfId="0" priority="17508">
      <formula>IF(VLOOKUP($CA$3,requiredAttributePTDMap,MATCH($A4,attributeMapFeedProductType,0)+1,FALSE)&gt;0,1,0)</formula>
    </cfRule>
    <cfRule type="expression" dxfId="1" priority="17509">
      <formula>IF(VLOOKUP($CA$3,optionalAttributePTDMap,MATCH($A4,attributeMapFeedProductType,0)+1,FALSE)&gt;0,1,0)</formula>
    </cfRule>
    <cfRule type="expression" dxfId="2" priority="17510">
      <formula>IF(VLOOKUP($CA$3,preferredAttributePTDMap,MATCH($A4,attributeMapFeedProductType,0)+1,FALSE)&gt;0,1,0)</formula>
    </cfRule>
    <cfRule type="expression" dxfId="3" priority="17511">
      <formula>AND(IF(IFERROR(VLOOKUP($CA$3,requiredAttributePTDMap,MATCH($A4,attributeMapFeedProductType,0)+1,FALSE),0)&gt;0,0,1),IF(IFERROR(VLOOKUP($CA$3,optionalAttributePTDMap,MATCH($A4,attributeMapFeedProductType,0)+1,FALSE),0)&gt;0,0,1),IF(IFERROR(VLOOKUP($CA$3,preferredAttributePTDMap,MATCH($A4,attributeMapFeedProductType,0)+1,FALSE),0)&gt;0,0,1),IF(IFERROR(MATCH($A4,attributeMapFeedProductType,0),0)&gt;0,1,0))</formula>
    </cfRule>
  </conditionalFormatting>
  <conditionalFormatting sqref="CB4 CB8:CB1048576">
    <cfRule type="expression" dxfId="0" priority="17513">
      <formula>IF(VLOOKUP($CB$3,requiredAttributePTDMap,MATCH($A4,attributeMapFeedProductType,0)+1,FALSE)&gt;0,1,0)</formula>
    </cfRule>
    <cfRule type="expression" dxfId="1" priority="17514">
      <formula>IF(VLOOKUP($CB$3,optionalAttributePTDMap,MATCH($A4,attributeMapFeedProductType,0)+1,FALSE)&gt;0,1,0)</formula>
    </cfRule>
    <cfRule type="expression" dxfId="2" priority="17515">
      <formula>IF(VLOOKUP($CB$3,preferredAttributePTDMap,MATCH($A4,attributeMapFeedProductType,0)+1,FALSE)&gt;0,1,0)</formula>
    </cfRule>
    <cfRule type="expression" dxfId="3" priority="17516">
      <formula>AND(IF(IFERROR(VLOOKUP($CB$3,requiredAttributePTDMap,MATCH($A4,attributeMapFeedProductType,0)+1,FALSE),0)&gt;0,0,1),IF(IFERROR(VLOOKUP($CB$3,optionalAttributePTDMap,MATCH($A4,attributeMapFeedProductType,0)+1,FALSE),0)&gt;0,0,1),IF(IFERROR(VLOOKUP($CB$3,preferredAttributePTDMap,MATCH($A4,attributeMapFeedProductType,0)+1,FALSE),0)&gt;0,0,1),IF(IFERROR(MATCH($A4,attributeMapFeedProductType,0),0)&gt;0,1,0))</formula>
    </cfRule>
  </conditionalFormatting>
  <conditionalFormatting sqref="CC4 CC8:CC1048576">
    <cfRule type="expression" dxfId="0" priority="17518">
      <formula>IF(VLOOKUP($CC$3,requiredAttributePTDMap,MATCH($A4,attributeMapFeedProductType,0)+1,FALSE)&gt;0,1,0)</formula>
    </cfRule>
    <cfRule type="expression" dxfId="1" priority="17519">
      <formula>IF(VLOOKUP($CC$3,optionalAttributePTDMap,MATCH($A4,attributeMapFeedProductType,0)+1,FALSE)&gt;0,1,0)</formula>
    </cfRule>
    <cfRule type="expression" dxfId="2" priority="17520">
      <formula>IF(VLOOKUP($CC$3,preferredAttributePTDMap,MATCH($A4,attributeMapFeedProductType,0)+1,FALSE)&gt;0,1,0)</formula>
    </cfRule>
    <cfRule type="expression" dxfId="3" priority="17521">
      <formula>AND(IF(IFERROR(VLOOKUP($CC$3,requiredAttributePTDMap,MATCH($A4,attributeMapFeedProductType,0)+1,FALSE),0)&gt;0,0,1),IF(IFERROR(VLOOKUP($CC$3,optionalAttributePTDMap,MATCH($A4,attributeMapFeedProductType,0)+1,FALSE),0)&gt;0,0,1),IF(IFERROR(VLOOKUP($CC$3,preferredAttributePTDMap,MATCH($A4,attributeMapFeedProductType,0)+1,FALSE),0)&gt;0,0,1),IF(IFERROR(MATCH($A4,attributeMapFeedProductType,0),0)&gt;0,1,0))</formula>
    </cfRule>
  </conditionalFormatting>
  <conditionalFormatting sqref="CD4 CD8:CD1048576">
    <cfRule type="expression" dxfId="0" priority="17523">
      <formula>IF(VLOOKUP($CD$3,requiredAttributePTDMap,MATCH($A4,attributeMapFeedProductType,0)+1,FALSE)&gt;0,1,0)</formula>
    </cfRule>
    <cfRule type="expression" dxfId="1" priority="17524">
      <formula>IF(VLOOKUP($CD$3,optionalAttributePTDMap,MATCH($A4,attributeMapFeedProductType,0)+1,FALSE)&gt;0,1,0)</formula>
    </cfRule>
    <cfRule type="expression" dxfId="2" priority="17525">
      <formula>IF(VLOOKUP($CD$3,preferredAttributePTDMap,MATCH($A4,attributeMapFeedProductType,0)+1,FALSE)&gt;0,1,0)</formula>
    </cfRule>
    <cfRule type="expression" dxfId="3" priority="17526">
      <formula>AND(IF(IFERROR(VLOOKUP($CD$3,requiredAttributePTDMap,MATCH($A4,attributeMapFeedProductType,0)+1,FALSE),0)&gt;0,0,1),IF(IFERROR(VLOOKUP($CD$3,optionalAttributePTDMap,MATCH($A4,attributeMapFeedProductType,0)+1,FALSE),0)&gt;0,0,1),IF(IFERROR(VLOOKUP($CD$3,preferredAttributePTDMap,MATCH($A4,attributeMapFeedProductType,0)+1,FALSE),0)&gt;0,0,1),IF(IFERROR(MATCH($A4,attributeMapFeedProductType,0),0)&gt;0,1,0))</formula>
    </cfRule>
  </conditionalFormatting>
  <conditionalFormatting sqref="CE4 CE8:CE1048576">
    <cfRule type="expression" dxfId="0" priority="17528">
      <formula>IF(VLOOKUP($CE$3,requiredAttributePTDMap,MATCH($A4,attributeMapFeedProductType,0)+1,FALSE)&gt;0,1,0)</formula>
    </cfRule>
    <cfRule type="expression" dxfId="1" priority="17529">
      <formula>IF(VLOOKUP($CE$3,optionalAttributePTDMap,MATCH($A4,attributeMapFeedProductType,0)+1,FALSE)&gt;0,1,0)</formula>
    </cfRule>
    <cfRule type="expression" dxfId="2" priority="17530">
      <formula>IF(VLOOKUP($CE$3,preferredAttributePTDMap,MATCH($A4,attributeMapFeedProductType,0)+1,FALSE)&gt;0,1,0)</formula>
    </cfRule>
    <cfRule type="expression" dxfId="3" priority="17531">
      <formula>AND(IF(IFERROR(VLOOKUP($CE$3,requiredAttributePTDMap,MATCH($A4,attributeMapFeedProductType,0)+1,FALSE),0)&gt;0,0,1),IF(IFERROR(VLOOKUP($CE$3,optionalAttributePTDMap,MATCH($A4,attributeMapFeedProductType,0)+1,FALSE),0)&gt;0,0,1),IF(IFERROR(VLOOKUP($CE$3,preferredAttributePTDMap,MATCH($A4,attributeMapFeedProductType,0)+1,FALSE),0)&gt;0,0,1),IF(IFERROR(MATCH($A4,attributeMapFeedProductType,0),0)&gt;0,1,0))</formula>
    </cfRule>
  </conditionalFormatting>
  <conditionalFormatting sqref="CG4 CG8:CG1048576">
    <cfRule type="expression" dxfId="0" priority="17538">
      <formula>IF(VLOOKUP($CG$3,requiredAttributePTDMap,MATCH($A4,attributeMapFeedProductType,0)+1,FALSE)&gt;0,1,0)</formula>
    </cfRule>
    <cfRule type="expression" dxfId="1" priority="17539">
      <formula>IF(VLOOKUP($CG$3,optionalAttributePTDMap,MATCH($A4,attributeMapFeedProductType,0)+1,FALSE)&gt;0,1,0)</formula>
    </cfRule>
    <cfRule type="expression" dxfId="2" priority="17540">
      <formula>IF(VLOOKUP($CG$3,preferredAttributePTDMap,MATCH($A4,attributeMapFeedProductType,0)+1,FALSE)&gt;0,1,0)</formula>
    </cfRule>
    <cfRule type="expression" dxfId="3" priority="17541">
      <formula>AND(IF(IFERROR(VLOOKUP($CG$3,requiredAttributePTDMap,MATCH($A4,attributeMapFeedProductType,0)+1,FALSE),0)&gt;0,0,1),IF(IFERROR(VLOOKUP($CG$3,optionalAttributePTDMap,MATCH($A4,attributeMapFeedProductType,0)+1,FALSE),0)&gt;0,0,1),IF(IFERROR(VLOOKUP($CG$3,preferredAttributePTDMap,MATCH($A4,attributeMapFeedProductType,0)+1,FALSE),0)&gt;0,0,1),IF(IFERROR(MATCH($A4,attributeMapFeedProductType,0),0)&gt;0,1,0))</formula>
    </cfRule>
  </conditionalFormatting>
  <conditionalFormatting sqref="CH4 CH8:CH1048576">
    <cfRule type="expression" dxfId="0" priority="17543">
      <formula>IF(VLOOKUP($CH$3,requiredAttributePTDMap,MATCH($A4,attributeMapFeedProductType,0)+1,FALSE)&gt;0,1,0)</formula>
    </cfRule>
    <cfRule type="expression" dxfId="1" priority="17544">
      <formula>IF(VLOOKUP($CH$3,optionalAttributePTDMap,MATCH($A4,attributeMapFeedProductType,0)+1,FALSE)&gt;0,1,0)</formula>
    </cfRule>
    <cfRule type="expression" dxfId="2" priority="17545">
      <formula>IF(VLOOKUP($CH$3,preferredAttributePTDMap,MATCH($A4,attributeMapFeedProductType,0)+1,FALSE)&gt;0,1,0)</formula>
    </cfRule>
    <cfRule type="expression" dxfId="3" priority="17546">
      <formula>AND(IF(IFERROR(VLOOKUP($CH$3,requiredAttributePTDMap,MATCH($A4,attributeMapFeedProductType,0)+1,FALSE),0)&gt;0,0,1),IF(IFERROR(VLOOKUP($CH$3,optionalAttributePTDMap,MATCH($A4,attributeMapFeedProductType,0)+1,FALSE),0)&gt;0,0,1),IF(IFERROR(VLOOKUP($CH$3,preferredAttributePTDMap,MATCH($A4,attributeMapFeedProductType,0)+1,FALSE),0)&gt;0,0,1),IF(IFERROR(MATCH($A4,attributeMapFeedProductType,0),0)&gt;0,1,0))</formula>
    </cfRule>
  </conditionalFormatting>
  <conditionalFormatting sqref="CI4 CI8:CI1048576">
    <cfRule type="expression" dxfId="0" priority="17548">
      <formula>IF(VLOOKUP($CI$3,requiredAttributePTDMap,MATCH($A4,attributeMapFeedProductType,0)+1,FALSE)&gt;0,1,0)</formula>
    </cfRule>
    <cfRule type="expression" dxfId="1" priority="17549">
      <formula>IF(VLOOKUP($CI$3,optionalAttributePTDMap,MATCH($A4,attributeMapFeedProductType,0)+1,FALSE)&gt;0,1,0)</formula>
    </cfRule>
    <cfRule type="expression" dxfId="2" priority="17550">
      <formula>IF(VLOOKUP($CI$3,preferredAttributePTDMap,MATCH($A4,attributeMapFeedProductType,0)+1,FALSE)&gt;0,1,0)</formula>
    </cfRule>
    <cfRule type="expression" dxfId="3" priority="17551">
      <formula>AND(IF(IFERROR(VLOOKUP($CI$3,requiredAttributePTDMap,MATCH($A4,attributeMapFeedProductType,0)+1,FALSE),0)&gt;0,0,1),IF(IFERROR(VLOOKUP($CI$3,optionalAttributePTDMap,MATCH($A4,attributeMapFeedProductType,0)+1,FALSE),0)&gt;0,0,1),IF(IFERROR(VLOOKUP($CI$3,preferredAttributePTDMap,MATCH($A4,attributeMapFeedProductType,0)+1,FALSE),0)&gt;0,0,1),IF(IFERROR(MATCH($A4,attributeMapFeedProductType,0),0)&gt;0,1,0))</formula>
    </cfRule>
  </conditionalFormatting>
  <conditionalFormatting sqref="CJ4 CJ8:CJ1048576">
    <cfRule type="expression" dxfId="0" priority="17553">
      <formula>IF(VLOOKUP($CJ$3,requiredAttributePTDMap,MATCH($A4,attributeMapFeedProductType,0)+1,FALSE)&gt;0,1,0)</formula>
    </cfRule>
    <cfRule type="expression" dxfId="1" priority="17554">
      <formula>IF(VLOOKUP($CJ$3,optionalAttributePTDMap,MATCH($A4,attributeMapFeedProductType,0)+1,FALSE)&gt;0,1,0)</formula>
    </cfRule>
    <cfRule type="expression" dxfId="2" priority="17555">
      <formula>IF(VLOOKUP($CJ$3,preferredAttributePTDMap,MATCH($A4,attributeMapFeedProductType,0)+1,FALSE)&gt;0,1,0)</formula>
    </cfRule>
    <cfRule type="expression" dxfId="3" priority="17556">
      <formula>AND(IF(IFERROR(VLOOKUP($CJ$3,requiredAttributePTDMap,MATCH($A4,attributeMapFeedProductType,0)+1,FALSE),0)&gt;0,0,1),IF(IFERROR(VLOOKUP($CJ$3,optionalAttributePTDMap,MATCH($A4,attributeMapFeedProductType,0)+1,FALSE),0)&gt;0,0,1),IF(IFERROR(VLOOKUP($CJ$3,preferredAttributePTDMap,MATCH($A4,attributeMapFeedProductType,0)+1,FALSE),0)&gt;0,0,1),IF(IFERROR(MATCH($A4,attributeMapFeedProductType,0),0)&gt;0,1,0))</formula>
    </cfRule>
  </conditionalFormatting>
  <conditionalFormatting sqref="CK4 CK8:CK1048576">
    <cfRule type="expression" dxfId="0" priority="17558">
      <formula>IF(VLOOKUP($CK$3,requiredAttributePTDMap,MATCH($A4,attributeMapFeedProductType,0)+1,FALSE)&gt;0,1,0)</formula>
    </cfRule>
    <cfRule type="expression" dxfId="1" priority="17559">
      <formula>IF(VLOOKUP($CK$3,optionalAttributePTDMap,MATCH($A4,attributeMapFeedProductType,0)+1,FALSE)&gt;0,1,0)</formula>
    </cfRule>
    <cfRule type="expression" dxfId="2" priority="17560">
      <formula>IF(VLOOKUP($CK$3,preferredAttributePTDMap,MATCH($A4,attributeMapFeedProductType,0)+1,FALSE)&gt;0,1,0)</formula>
    </cfRule>
    <cfRule type="expression" dxfId="3" priority="17561">
      <formula>AND(IF(IFERROR(VLOOKUP($CK$3,requiredAttributePTDMap,MATCH($A4,attributeMapFeedProductType,0)+1,FALSE),0)&gt;0,0,1),IF(IFERROR(VLOOKUP($CK$3,optionalAttributePTDMap,MATCH($A4,attributeMapFeedProductType,0)+1,FALSE),0)&gt;0,0,1),IF(IFERROR(VLOOKUP($CK$3,preferredAttributePTDMap,MATCH($A4,attributeMapFeedProductType,0)+1,FALSE),0)&gt;0,0,1),IF(IFERROR(MATCH($A4,attributeMapFeedProductType,0),0)&gt;0,1,0))</formula>
    </cfRule>
  </conditionalFormatting>
  <conditionalFormatting sqref="CL4 CL8:CL1048576">
    <cfRule type="expression" dxfId="0" priority="17563">
      <formula>IF(VLOOKUP($CL$3,requiredAttributePTDMap,MATCH($A4,attributeMapFeedProductType,0)+1,FALSE)&gt;0,1,0)</formula>
    </cfRule>
    <cfRule type="expression" dxfId="1" priority="17564">
      <formula>IF(VLOOKUP($CL$3,optionalAttributePTDMap,MATCH($A4,attributeMapFeedProductType,0)+1,FALSE)&gt;0,1,0)</formula>
    </cfRule>
    <cfRule type="expression" dxfId="2" priority="17565">
      <formula>IF(VLOOKUP($CL$3,preferredAttributePTDMap,MATCH($A4,attributeMapFeedProductType,0)+1,FALSE)&gt;0,1,0)</formula>
    </cfRule>
    <cfRule type="expression" dxfId="3" priority="17566">
      <formula>AND(IF(IFERROR(VLOOKUP($CL$3,requiredAttributePTDMap,MATCH($A4,attributeMapFeedProductType,0)+1,FALSE),0)&gt;0,0,1),IF(IFERROR(VLOOKUP($CL$3,optionalAttributePTDMap,MATCH($A4,attributeMapFeedProductType,0)+1,FALSE),0)&gt;0,0,1),IF(IFERROR(VLOOKUP($CL$3,preferredAttributePTDMap,MATCH($A4,attributeMapFeedProductType,0)+1,FALSE),0)&gt;0,0,1),IF(IFERROR(MATCH($A4,attributeMapFeedProductType,0),0)&gt;0,1,0))</formula>
    </cfRule>
  </conditionalFormatting>
  <conditionalFormatting sqref="CM4 CM8:CM1048576">
    <cfRule type="expression" dxfId="0" priority="17568">
      <formula>IF(VLOOKUP($CM$3,requiredAttributePTDMap,MATCH($A4,attributeMapFeedProductType,0)+1,FALSE)&gt;0,1,0)</formula>
    </cfRule>
    <cfRule type="expression" dxfId="1" priority="17569">
      <formula>IF(VLOOKUP($CM$3,optionalAttributePTDMap,MATCH($A4,attributeMapFeedProductType,0)+1,FALSE)&gt;0,1,0)</formula>
    </cfRule>
    <cfRule type="expression" dxfId="2" priority="17570">
      <formula>IF(VLOOKUP($CM$3,preferredAttributePTDMap,MATCH($A4,attributeMapFeedProductType,0)+1,FALSE)&gt;0,1,0)</formula>
    </cfRule>
    <cfRule type="expression" dxfId="3" priority="17571">
      <formula>AND(IF(IFERROR(VLOOKUP($CM$3,requiredAttributePTDMap,MATCH($A4,attributeMapFeedProductType,0)+1,FALSE),0)&gt;0,0,1),IF(IFERROR(VLOOKUP($CM$3,optionalAttributePTDMap,MATCH($A4,attributeMapFeedProductType,0)+1,FALSE),0)&gt;0,0,1),IF(IFERROR(VLOOKUP($CM$3,preferredAttributePTDMap,MATCH($A4,attributeMapFeedProductType,0)+1,FALSE),0)&gt;0,0,1),IF(IFERROR(MATCH($A4,attributeMapFeedProductType,0),0)&gt;0,1,0))</formula>
    </cfRule>
  </conditionalFormatting>
  <conditionalFormatting sqref="CN4 CN8:CN1048576">
    <cfRule type="expression" dxfId="3" priority="17121">
      <formula>IF($AS4&lt;&gt;"Parent",0,1)</formula>
    </cfRule>
    <cfRule type="expression" dxfId="0" priority="17573">
      <formula>IF(VLOOKUP($CN$3,requiredAttributePTDMap,MATCH($A4,attributeMapFeedProductType,0)+1,FALSE)&gt;0,1,0)</formula>
    </cfRule>
    <cfRule type="expression" dxfId="1" priority="17574">
      <formula>IF(VLOOKUP($CN$3,optionalAttributePTDMap,MATCH($A4,attributeMapFeedProductType,0)+1,FALSE)&gt;0,1,0)</formula>
    </cfRule>
    <cfRule type="expression" dxfId="2" priority="17575">
      <formula>IF(VLOOKUP($CN$3,preferredAttributePTDMap,MATCH($A4,attributeMapFeedProductType,0)+1,FALSE)&gt;0,1,0)</formula>
    </cfRule>
    <cfRule type="expression" dxfId="3" priority="17576">
      <formula>AND(IF(IFERROR(VLOOKUP($CN$3,requiredAttributePTDMap,MATCH($A4,attributeMapFeedProductType,0)+1,FALSE),0)&gt;0,0,1),IF(IFERROR(VLOOKUP($CN$3,optionalAttributePTDMap,MATCH($A4,attributeMapFeedProductType,0)+1,FALSE),0)&gt;0,0,1),IF(IFERROR(VLOOKUP($CN$3,preferredAttributePTDMap,MATCH($A4,attributeMapFeedProductType,0)+1,FALSE),0)&gt;0,0,1),IF(IFERROR(MATCH($A4,attributeMapFeedProductType,0),0)&gt;0,1,0))</formula>
    </cfRule>
  </conditionalFormatting>
  <conditionalFormatting sqref="CO4:CT15">
    <cfRule type="expression" dxfId="4" priority="247">
      <formula>IF(LEN(CO4)&gt;0,1,0)</formula>
    </cfRule>
  </conditionalFormatting>
  <conditionalFormatting sqref="CU4 CU8:CU1048576">
    <cfRule type="expression" dxfId="0" priority="17608">
      <formula>IF(VLOOKUP($CU$3,requiredAttributePTDMap,MATCH($A4,attributeMapFeedProductType,0)+1,FALSE)&gt;0,1,0)</formula>
    </cfRule>
    <cfRule type="expression" dxfId="1" priority="17609">
      <formula>IF(VLOOKUP($CU$3,optionalAttributePTDMap,MATCH($A4,attributeMapFeedProductType,0)+1,FALSE)&gt;0,1,0)</formula>
    </cfRule>
    <cfRule type="expression" dxfId="2" priority="17610">
      <formula>IF(VLOOKUP($CU$3,preferredAttributePTDMap,MATCH($A4,attributeMapFeedProductType,0)+1,FALSE)&gt;0,1,0)</formula>
    </cfRule>
    <cfRule type="expression" dxfId="3" priority="17611">
      <formula>AND(IF(IFERROR(VLOOKUP($CU$3,requiredAttributePTDMap,MATCH($A4,attributeMapFeedProductType,0)+1,FALSE),0)&gt;0,0,1),IF(IFERROR(VLOOKUP($CU$3,optionalAttributePTDMap,MATCH($A4,attributeMapFeedProductType,0)+1,FALSE),0)&gt;0,0,1),IF(IFERROR(VLOOKUP($CU$3,preferredAttributePTDMap,MATCH($A4,attributeMapFeedProductType,0)+1,FALSE),0)&gt;0,0,1),IF(IFERROR(MATCH($A4,attributeMapFeedProductType,0),0)&gt;0,1,0))</formula>
    </cfRule>
  </conditionalFormatting>
  <conditionalFormatting sqref="CV4 CV8:CV1048576">
    <cfRule type="expression" dxfId="0" priority="17613">
      <formula>IF(VLOOKUP($CV$3,requiredAttributePTDMap,MATCH($A4,attributeMapFeedProductType,0)+1,FALSE)&gt;0,1,0)</formula>
    </cfRule>
    <cfRule type="expression" dxfId="1" priority="17614">
      <formula>IF(VLOOKUP($CV$3,optionalAttributePTDMap,MATCH($A4,attributeMapFeedProductType,0)+1,FALSE)&gt;0,1,0)</formula>
    </cfRule>
    <cfRule type="expression" dxfId="2" priority="17615">
      <formula>IF(VLOOKUP($CV$3,preferredAttributePTDMap,MATCH($A4,attributeMapFeedProductType,0)+1,FALSE)&gt;0,1,0)</formula>
    </cfRule>
    <cfRule type="expression" dxfId="3" priority="17616">
      <formula>AND(IF(IFERROR(VLOOKUP($CV$3,requiredAttributePTDMap,MATCH($A4,attributeMapFeedProductType,0)+1,FALSE),0)&gt;0,0,1),IF(IFERROR(VLOOKUP($CV$3,optionalAttributePTDMap,MATCH($A4,attributeMapFeedProductType,0)+1,FALSE),0)&gt;0,0,1),IF(IFERROR(VLOOKUP($CV$3,preferredAttributePTDMap,MATCH($A4,attributeMapFeedProductType,0)+1,FALSE),0)&gt;0,0,1),IF(IFERROR(MATCH($A4,attributeMapFeedProductType,0),0)&gt;0,1,0))</formula>
    </cfRule>
  </conditionalFormatting>
  <conditionalFormatting sqref="CW4 CW8:CW1048576">
    <cfRule type="expression" dxfId="0" priority="17618">
      <formula>IF(VLOOKUP($CW$3,requiredAttributePTDMap,MATCH($A4,attributeMapFeedProductType,0)+1,FALSE)&gt;0,1,0)</formula>
    </cfRule>
    <cfRule type="expression" dxfId="1" priority="17619">
      <formula>IF(VLOOKUP($CW$3,optionalAttributePTDMap,MATCH($A4,attributeMapFeedProductType,0)+1,FALSE)&gt;0,1,0)</formula>
    </cfRule>
    <cfRule type="expression" dxfId="2" priority="17620">
      <formula>IF(VLOOKUP($CW$3,preferredAttributePTDMap,MATCH($A4,attributeMapFeedProductType,0)+1,FALSE)&gt;0,1,0)</formula>
    </cfRule>
    <cfRule type="expression" dxfId="3" priority="17621">
      <formula>AND(IF(IFERROR(VLOOKUP($CW$3,requiredAttributePTDMap,MATCH($A4,attributeMapFeedProductType,0)+1,FALSE),0)&gt;0,0,1),IF(IFERROR(VLOOKUP($CW$3,optionalAttributePTDMap,MATCH($A4,attributeMapFeedProductType,0)+1,FALSE),0)&gt;0,0,1),IF(IFERROR(VLOOKUP($CW$3,preferredAttributePTDMap,MATCH($A4,attributeMapFeedProductType,0)+1,FALSE),0)&gt;0,0,1),IF(IFERROR(MATCH($A4,attributeMapFeedProductType,0),0)&gt;0,1,0))</formula>
    </cfRule>
  </conditionalFormatting>
  <conditionalFormatting sqref="CX4 CX8:CX1048576">
    <cfRule type="expression" dxfId="0" priority="17623">
      <formula>IF(VLOOKUP($CX$3,requiredAttributePTDMap,MATCH($A4,attributeMapFeedProductType,0)+1,FALSE)&gt;0,1,0)</formula>
    </cfRule>
    <cfRule type="expression" dxfId="1" priority="17624">
      <formula>IF(VLOOKUP($CX$3,optionalAttributePTDMap,MATCH($A4,attributeMapFeedProductType,0)+1,FALSE)&gt;0,1,0)</formula>
    </cfRule>
    <cfRule type="expression" dxfId="2" priority="17625">
      <formula>IF(VLOOKUP($CX$3,preferredAttributePTDMap,MATCH($A4,attributeMapFeedProductType,0)+1,FALSE)&gt;0,1,0)</formula>
    </cfRule>
    <cfRule type="expression" dxfId="3" priority="17626">
      <formula>AND(IF(IFERROR(VLOOKUP($CX$3,requiredAttributePTDMap,MATCH($A4,attributeMapFeedProductType,0)+1,FALSE),0)&gt;0,0,1),IF(IFERROR(VLOOKUP($CX$3,optionalAttributePTDMap,MATCH($A4,attributeMapFeedProductType,0)+1,FALSE),0)&gt;0,0,1),IF(IFERROR(VLOOKUP($CX$3,preferredAttributePTDMap,MATCH($A4,attributeMapFeedProductType,0)+1,FALSE),0)&gt;0,0,1),IF(IFERROR(MATCH($A4,attributeMapFeedProductType,0),0)&gt;0,1,0))</formula>
    </cfRule>
  </conditionalFormatting>
  <conditionalFormatting sqref="CY4 CY8:CY1048576">
    <cfRule type="expression" dxfId="0" priority="17628">
      <formula>IF(VLOOKUP($CY$3,requiredAttributePTDMap,MATCH($A4,attributeMapFeedProductType,0)+1,FALSE)&gt;0,1,0)</formula>
    </cfRule>
    <cfRule type="expression" dxfId="1" priority="17629">
      <formula>IF(VLOOKUP($CY$3,optionalAttributePTDMap,MATCH($A4,attributeMapFeedProductType,0)+1,FALSE)&gt;0,1,0)</formula>
    </cfRule>
    <cfRule type="expression" dxfId="2" priority="17630">
      <formula>IF(VLOOKUP($CY$3,preferredAttributePTDMap,MATCH($A4,attributeMapFeedProductType,0)+1,FALSE)&gt;0,1,0)</formula>
    </cfRule>
    <cfRule type="expression" dxfId="3" priority="17631">
      <formula>AND(IF(IFERROR(VLOOKUP($CY$3,requiredAttributePTDMap,MATCH($A4,attributeMapFeedProductType,0)+1,FALSE),0)&gt;0,0,1),IF(IFERROR(VLOOKUP($CY$3,optionalAttributePTDMap,MATCH($A4,attributeMapFeedProductType,0)+1,FALSE),0)&gt;0,0,1),IF(IFERROR(VLOOKUP($CY$3,preferredAttributePTDMap,MATCH($A4,attributeMapFeedProductType,0)+1,FALSE),0)&gt;0,0,1),IF(IFERROR(MATCH($A4,attributeMapFeedProductType,0),0)&gt;0,1,0))</formula>
    </cfRule>
  </conditionalFormatting>
  <conditionalFormatting sqref="CZ4:DA7 CZ8:EB15 ED8:EF15 CZ16:EB1048576 ED16:EF1048576">
    <cfRule type="expression" dxfId="3" priority="17632">
      <formula>AND(AND((0)),1=1)</formula>
    </cfRule>
  </conditionalFormatting>
  <conditionalFormatting sqref="DB4 DB8:DB1048576">
    <cfRule type="expression" dxfId="3" priority="17647">
      <formula>AND(AND(OR(AND(AND(IF(COUNTIF(CONDITION_LIST_0,DA4)&gt;0,FALSE,TRUE)))),A4&lt;&gt;""))</formula>
    </cfRule>
    <cfRule type="expression" dxfId="4" priority="17648">
      <formula>IF(LEN(DB4)&gt;0,1,0)</formula>
    </cfRule>
    <cfRule type="expression" dxfId="0" priority="17649">
      <formula>IF(VLOOKUP($DB$3,requiredAttributePTDMap,MATCH($A4,attributeMapFeedProductType,0)+1,FALSE)&gt;0,1,0)</formula>
    </cfRule>
    <cfRule type="expression" dxfId="1" priority="17650">
      <formula>IF(VLOOKUP($DB$3,optionalAttributePTDMap,MATCH($A4,attributeMapFeedProductType,0)+1,FALSE)&gt;0,1,0)</formula>
    </cfRule>
    <cfRule type="expression" dxfId="2" priority="17651">
      <formula>IF(VLOOKUP($DB$3,preferredAttributePTDMap,MATCH($A4,attributeMapFeedProductType,0)+1,FALSE)&gt;0,1,0)</formula>
    </cfRule>
    <cfRule type="expression" dxfId="3" priority="17652">
      <formula>AND(IF(IFERROR(VLOOKUP($DB$3,requiredAttributePTDMap,MATCH($A4,attributeMapFeedProductType,0)+1,FALSE),0)&gt;0,0,1),IF(IFERROR(VLOOKUP($DB$3,optionalAttributePTDMap,MATCH($A4,attributeMapFeedProductType,0)+1,FALSE),0)&gt;0,0,1),IF(IFERROR(VLOOKUP($DB$3,preferredAttributePTDMap,MATCH($A4,attributeMapFeedProductType,0)+1,FALSE),0)&gt;0,0,1),IF(IFERROR(MATCH($A4,attributeMapFeedProductType,0),0)&gt;0,1,0))</formula>
    </cfRule>
  </conditionalFormatting>
  <conditionalFormatting sqref="DC4 DC8:DC1048576">
    <cfRule type="expression" dxfId="3" priority="17654">
      <formula>AND(AND(OR(AND(AND(IF(COUNTIF(CONDITION_LIST_1,DB4)&gt;0,FALSE,TRUE)))),A4&lt;&gt;""))</formula>
    </cfRule>
    <cfRule type="expression" dxfId="4" priority="17655">
      <formula>IF(LEN(DC4)&gt;0,1,0)</formula>
    </cfRule>
    <cfRule type="expression" dxfId="0" priority="17656">
      <formula>IF(VLOOKUP($DC$3,requiredAttributePTDMap,MATCH($A4,attributeMapFeedProductType,0)+1,FALSE)&gt;0,1,0)</formula>
    </cfRule>
    <cfRule type="expression" dxfId="1" priority="17657">
      <formula>IF(VLOOKUP($DC$3,optionalAttributePTDMap,MATCH($A4,attributeMapFeedProductType,0)+1,FALSE)&gt;0,1,0)</formula>
    </cfRule>
    <cfRule type="expression" dxfId="2" priority="17658">
      <formula>IF(VLOOKUP($DC$3,preferredAttributePTDMap,MATCH($A4,attributeMapFeedProductType,0)+1,FALSE)&gt;0,1,0)</formula>
    </cfRule>
    <cfRule type="expression" dxfId="3" priority="17659">
      <formula>AND(IF(IFERROR(VLOOKUP($DC$3,requiredAttributePTDMap,MATCH($A4,attributeMapFeedProductType,0)+1,FALSE),0)&gt;0,0,1),IF(IFERROR(VLOOKUP($DC$3,optionalAttributePTDMap,MATCH($A4,attributeMapFeedProductType,0)+1,FALSE),0)&gt;0,0,1),IF(IFERROR(VLOOKUP($DC$3,preferredAttributePTDMap,MATCH($A4,attributeMapFeedProductType,0)+1,FALSE),0)&gt;0,0,1),IF(IFERROR(MATCH($A4,attributeMapFeedProductType,0),0)&gt;0,1,0))</formula>
    </cfRule>
  </conditionalFormatting>
  <conditionalFormatting sqref="DD4 DD8:DD1048576">
    <cfRule type="expression" dxfId="3" priority="17661">
      <formula>AND(AND(OR(AND(AND(IF(COUNTIF(CONDITION_LIST_1,DB4)&gt;0,FALSE,TRUE)))),A4&lt;&gt;""))</formula>
    </cfRule>
    <cfRule type="expression" dxfId="4" priority="17662">
      <formula>IF(LEN(DD4)&gt;0,1,0)</formula>
    </cfRule>
    <cfRule type="expression" dxfId="0" priority="17663">
      <formula>IF(VLOOKUP($DD$3,requiredAttributePTDMap,MATCH($A4,attributeMapFeedProductType,0)+1,FALSE)&gt;0,1,0)</formula>
    </cfRule>
    <cfRule type="expression" dxfId="1" priority="17664">
      <formula>IF(VLOOKUP($DD$3,optionalAttributePTDMap,MATCH($A4,attributeMapFeedProductType,0)+1,FALSE)&gt;0,1,0)</formula>
    </cfRule>
    <cfRule type="expression" dxfId="2" priority="17665">
      <formula>IF(VLOOKUP($DD$3,preferredAttributePTDMap,MATCH($A4,attributeMapFeedProductType,0)+1,FALSE)&gt;0,1,0)</formula>
    </cfRule>
    <cfRule type="expression" dxfId="3" priority="17666">
      <formula>AND(IF(IFERROR(VLOOKUP($DD$3,requiredAttributePTDMap,MATCH($A4,attributeMapFeedProductType,0)+1,FALSE),0)&gt;0,0,1),IF(IFERROR(VLOOKUP($DD$3,optionalAttributePTDMap,MATCH($A4,attributeMapFeedProductType,0)+1,FALSE),0)&gt;0,0,1),IF(IFERROR(VLOOKUP($DD$3,preferredAttributePTDMap,MATCH($A4,attributeMapFeedProductType,0)+1,FALSE),0)&gt;0,0,1),IF(IFERROR(MATCH($A4,attributeMapFeedProductType,0),0)&gt;0,1,0))</formula>
    </cfRule>
  </conditionalFormatting>
  <conditionalFormatting sqref="DE4 DE8:DE1048576">
    <cfRule type="expression" dxfId="3" priority="17668">
      <formula>AND(AND(OR(AND(AND(IF(COUNTIF(CONDITION_LIST_1,DB4)&gt;0,FALSE,TRUE)))),A4&lt;&gt;""))</formula>
    </cfRule>
    <cfRule type="expression" dxfId="4" priority="17669">
      <formula>IF(LEN(DE4)&gt;0,1,0)</formula>
    </cfRule>
    <cfRule type="expression" dxfId="0" priority="17670">
      <formula>IF(VLOOKUP($DE$3,requiredAttributePTDMap,MATCH($A4,attributeMapFeedProductType,0)+1,FALSE)&gt;0,1,0)</formula>
    </cfRule>
    <cfRule type="expression" dxfId="1" priority="17671">
      <formula>IF(VLOOKUP($DE$3,optionalAttributePTDMap,MATCH($A4,attributeMapFeedProductType,0)+1,FALSE)&gt;0,1,0)</formula>
    </cfRule>
    <cfRule type="expression" dxfId="2" priority="17672">
      <formula>IF(VLOOKUP($DE$3,preferredAttributePTDMap,MATCH($A4,attributeMapFeedProductType,0)+1,FALSE)&gt;0,1,0)</formula>
    </cfRule>
    <cfRule type="expression" dxfId="3" priority="17673">
      <formula>AND(IF(IFERROR(VLOOKUP($DE$3,requiredAttributePTDMap,MATCH($A4,attributeMapFeedProductType,0)+1,FALSE),0)&gt;0,0,1),IF(IFERROR(VLOOKUP($DE$3,optionalAttributePTDMap,MATCH($A4,attributeMapFeedProductType,0)+1,FALSE),0)&gt;0,0,1),IF(IFERROR(VLOOKUP($DE$3,preferredAttributePTDMap,MATCH($A4,attributeMapFeedProductType,0)+1,FALSE),0)&gt;0,0,1),IF(IFERROR(MATCH($A4,attributeMapFeedProductType,0),0)&gt;0,1,0))</formula>
    </cfRule>
  </conditionalFormatting>
  <conditionalFormatting sqref="DF4 DF8:DF1048576">
    <cfRule type="expression" dxfId="3" priority="17675">
      <formula>AND(AND(OR(AND(AND(IF(COUNTIF(CONDITION_LIST_1,DB4)&gt;0,FALSE,TRUE)))),A4&lt;&gt;""))</formula>
    </cfRule>
    <cfRule type="expression" dxfId="4" priority="17676">
      <formula>IF(LEN(DF4)&gt;0,1,0)</formula>
    </cfRule>
    <cfRule type="expression" dxfId="0" priority="17677">
      <formula>IF(VLOOKUP($DF$3,requiredAttributePTDMap,MATCH($A4,attributeMapFeedProductType,0)+1,FALSE)&gt;0,1,0)</formula>
    </cfRule>
    <cfRule type="expression" dxfId="1" priority="17678">
      <formula>IF(VLOOKUP($DF$3,optionalAttributePTDMap,MATCH($A4,attributeMapFeedProductType,0)+1,FALSE)&gt;0,1,0)</formula>
    </cfRule>
    <cfRule type="expression" dxfId="2" priority="17679">
      <formula>IF(VLOOKUP($DF$3,preferredAttributePTDMap,MATCH($A4,attributeMapFeedProductType,0)+1,FALSE)&gt;0,1,0)</formula>
    </cfRule>
    <cfRule type="expression" dxfId="3" priority="17680">
      <formula>AND(IF(IFERROR(VLOOKUP($DF$3,requiredAttributePTDMap,MATCH($A4,attributeMapFeedProductType,0)+1,FALSE),0)&gt;0,0,1),IF(IFERROR(VLOOKUP($DF$3,optionalAttributePTDMap,MATCH($A4,attributeMapFeedProductType,0)+1,FALSE),0)&gt;0,0,1),IF(IFERROR(VLOOKUP($DF$3,preferredAttributePTDMap,MATCH($A4,attributeMapFeedProductType,0)+1,FALSE),0)&gt;0,0,1),IF(IFERROR(MATCH($A4,attributeMapFeedProductType,0),0)&gt;0,1,0))</formula>
    </cfRule>
  </conditionalFormatting>
  <conditionalFormatting sqref="DG4 DG8:DG1048576">
    <cfRule type="expression" dxfId="3" priority="17682">
      <formula>AND(AND(OR(AND(AND(IF(COUNTIF(CONDITION_LIST_1,DB4)&gt;0,FALSE,TRUE)))),A4&lt;&gt;""))</formula>
    </cfRule>
    <cfRule type="expression" dxfId="4" priority="17683">
      <formula>IF(LEN(DG4)&gt;0,1,0)</formula>
    </cfRule>
    <cfRule type="expression" dxfId="0" priority="17684">
      <formula>IF(VLOOKUP($DG$3,requiredAttributePTDMap,MATCH($A4,attributeMapFeedProductType,0)+1,FALSE)&gt;0,1,0)</formula>
    </cfRule>
    <cfRule type="expression" dxfId="1" priority="17685">
      <formula>IF(VLOOKUP($DG$3,optionalAttributePTDMap,MATCH($A4,attributeMapFeedProductType,0)+1,FALSE)&gt;0,1,0)</formula>
    </cfRule>
    <cfRule type="expression" dxfId="2" priority="17686">
      <formula>IF(VLOOKUP($DG$3,preferredAttributePTDMap,MATCH($A4,attributeMapFeedProductType,0)+1,FALSE)&gt;0,1,0)</formula>
    </cfRule>
    <cfRule type="expression" dxfId="3" priority="17687">
      <formula>AND(IF(IFERROR(VLOOKUP($DG$3,requiredAttributePTDMap,MATCH($A4,attributeMapFeedProductType,0)+1,FALSE),0)&gt;0,0,1),IF(IFERROR(VLOOKUP($DG$3,optionalAttributePTDMap,MATCH($A4,attributeMapFeedProductType,0)+1,FALSE),0)&gt;0,0,1),IF(IFERROR(VLOOKUP($DG$3,preferredAttributePTDMap,MATCH($A4,attributeMapFeedProductType,0)+1,FALSE),0)&gt;0,0,1),IF(IFERROR(MATCH($A4,attributeMapFeedProductType,0),0)&gt;0,1,0))</formula>
    </cfRule>
  </conditionalFormatting>
  <conditionalFormatting sqref="DH4 DH8:DH1048576">
    <cfRule type="expression" dxfId="3" priority="17689">
      <formula>AND(AND(OR(AND(AND(IF(COUNTIF(CONDITION_LIST_1,DB4)&gt;0,FALSE,TRUE)))),A4&lt;&gt;""))</formula>
    </cfRule>
    <cfRule type="expression" dxfId="4" priority="17690">
      <formula>IF(LEN(DH4)&gt;0,1,0)</formula>
    </cfRule>
    <cfRule type="expression" dxfId="0" priority="17691">
      <formula>IF(VLOOKUP($DH$3,requiredAttributePTDMap,MATCH($A4,attributeMapFeedProductType,0)+1,FALSE)&gt;0,1,0)</formula>
    </cfRule>
    <cfRule type="expression" dxfId="1" priority="17692">
      <formula>IF(VLOOKUP($DH$3,optionalAttributePTDMap,MATCH($A4,attributeMapFeedProductType,0)+1,FALSE)&gt;0,1,0)</formula>
    </cfRule>
    <cfRule type="expression" dxfId="2" priority="17693">
      <formula>IF(VLOOKUP($DH$3,preferredAttributePTDMap,MATCH($A4,attributeMapFeedProductType,0)+1,FALSE)&gt;0,1,0)</formula>
    </cfRule>
    <cfRule type="expression" dxfId="3" priority="17694">
      <formula>AND(IF(IFERROR(VLOOKUP($DH$3,requiredAttributePTDMap,MATCH($A4,attributeMapFeedProductType,0)+1,FALSE),0)&gt;0,0,1),IF(IFERROR(VLOOKUP($DH$3,optionalAttributePTDMap,MATCH($A4,attributeMapFeedProductType,0)+1,FALSE),0)&gt;0,0,1),IF(IFERROR(VLOOKUP($DH$3,preferredAttributePTDMap,MATCH($A4,attributeMapFeedProductType,0)+1,FALSE),0)&gt;0,0,1),IF(IFERROR(MATCH($A4,attributeMapFeedProductType,0),0)&gt;0,1,0))</formula>
    </cfRule>
  </conditionalFormatting>
  <conditionalFormatting sqref="DI4 DI8:DI1048576">
    <cfRule type="expression" dxfId="3" priority="17696">
      <formula>AND(AND(OR(AND(AND(IF(COUNTIF(CONDITION_LIST_1,DB4)&gt;0,FALSE,TRUE)))),A4&lt;&gt;""))</formula>
    </cfRule>
    <cfRule type="expression" dxfId="4" priority="17697">
      <formula>IF(LEN(DI4)&gt;0,1,0)</formula>
    </cfRule>
    <cfRule type="expression" dxfId="0" priority="17698">
      <formula>IF(VLOOKUP($DI$3,requiredAttributePTDMap,MATCH($A4,attributeMapFeedProductType,0)+1,FALSE)&gt;0,1,0)</formula>
    </cfRule>
    <cfRule type="expression" dxfId="1" priority="17699">
      <formula>IF(VLOOKUP($DI$3,optionalAttributePTDMap,MATCH($A4,attributeMapFeedProductType,0)+1,FALSE)&gt;0,1,0)</formula>
    </cfRule>
    <cfRule type="expression" dxfId="2" priority="17700">
      <formula>IF(VLOOKUP($DI$3,preferredAttributePTDMap,MATCH($A4,attributeMapFeedProductType,0)+1,FALSE)&gt;0,1,0)</formula>
    </cfRule>
    <cfRule type="expression" dxfId="3" priority="17701">
      <formula>AND(IF(IFERROR(VLOOKUP($DI$3,requiredAttributePTDMap,MATCH($A4,attributeMapFeedProductType,0)+1,FALSE),0)&gt;0,0,1),IF(IFERROR(VLOOKUP($DI$3,optionalAttributePTDMap,MATCH($A4,attributeMapFeedProductType,0)+1,FALSE),0)&gt;0,0,1),IF(IFERROR(VLOOKUP($DI$3,preferredAttributePTDMap,MATCH($A4,attributeMapFeedProductType,0)+1,FALSE),0)&gt;0,0,1),IF(IFERROR(MATCH($A4,attributeMapFeedProductType,0),0)&gt;0,1,0))</formula>
    </cfRule>
  </conditionalFormatting>
  <conditionalFormatting sqref="DJ4 DJ8:DJ1048576">
    <cfRule type="expression" dxfId="3" priority="17703">
      <formula>AND(AND(OR(AND(AND(IF(COUNTIF(CONDITION_LIST_1,DB4)&gt;0,FALSE,TRUE)))),A4&lt;&gt;""))</formula>
    </cfRule>
    <cfRule type="expression" dxfId="4" priority="17704">
      <formula>IF(LEN(DJ4)&gt;0,1,0)</formula>
    </cfRule>
    <cfRule type="expression" dxfId="0" priority="17705">
      <formula>IF(VLOOKUP($DJ$3,requiredAttributePTDMap,MATCH($A4,attributeMapFeedProductType,0)+1,FALSE)&gt;0,1,0)</formula>
    </cfRule>
    <cfRule type="expression" dxfId="1" priority="17706">
      <formula>IF(VLOOKUP($DJ$3,optionalAttributePTDMap,MATCH($A4,attributeMapFeedProductType,0)+1,FALSE)&gt;0,1,0)</formula>
    </cfRule>
    <cfRule type="expression" dxfId="2" priority="17707">
      <formula>IF(VLOOKUP($DJ$3,preferredAttributePTDMap,MATCH($A4,attributeMapFeedProductType,0)+1,FALSE)&gt;0,1,0)</formula>
    </cfRule>
    <cfRule type="expression" dxfId="3" priority="17708">
      <formula>AND(IF(IFERROR(VLOOKUP($DJ$3,requiredAttributePTDMap,MATCH($A4,attributeMapFeedProductType,0)+1,FALSE),0)&gt;0,0,1),IF(IFERROR(VLOOKUP($DJ$3,optionalAttributePTDMap,MATCH($A4,attributeMapFeedProductType,0)+1,FALSE),0)&gt;0,0,1),IF(IFERROR(VLOOKUP($DJ$3,preferredAttributePTDMap,MATCH($A4,attributeMapFeedProductType,0)+1,FALSE),0)&gt;0,0,1),IF(IFERROR(MATCH($A4,attributeMapFeedProductType,0),0)&gt;0,1,0))</formula>
    </cfRule>
  </conditionalFormatting>
  <conditionalFormatting sqref="DK4 DK8:DK1048576">
    <cfRule type="expression" dxfId="3" priority="17710">
      <formula>AND(AND(OR(AND(AND(IF(COUNTIF(CONDITION_LIST_1,DB4)&gt;0,FALSE,TRUE)))),A4&lt;&gt;""))</formula>
    </cfRule>
    <cfRule type="expression" dxfId="4" priority="17711">
      <formula>IF(LEN(DK4)&gt;0,1,0)</formula>
    </cfRule>
    <cfRule type="expression" dxfId="0" priority="17712">
      <formula>IF(VLOOKUP($DK$3,requiredAttributePTDMap,MATCH($A4,attributeMapFeedProductType,0)+1,FALSE)&gt;0,1,0)</formula>
    </cfRule>
    <cfRule type="expression" dxfId="1" priority="17713">
      <formula>IF(VLOOKUP($DK$3,optionalAttributePTDMap,MATCH($A4,attributeMapFeedProductType,0)+1,FALSE)&gt;0,1,0)</formula>
    </cfRule>
    <cfRule type="expression" dxfId="2" priority="17714">
      <formula>IF(VLOOKUP($DK$3,preferredAttributePTDMap,MATCH($A4,attributeMapFeedProductType,0)+1,FALSE)&gt;0,1,0)</formula>
    </cfRule>
    <cfRule type="expression" dxfId="3" priority="17715">
      <formula>AND(IF(IFERROR(VLOOKUP($DK$3,requiredAttributePTDMap,MATCH($A4,attributeMapFeedProductType,0)+1,FALSE),0)&gt;0,0,1),IF(IFERROR(VLOOKUP($DK$3,optionalAttributePTDMap,MATCH($A4,attributeMapFeedProductType,0)+1,FALSE),0)&gt;0,0,1),IF(IFERROR(VLOOKUP($DK$3,preferredAttributePTDMap,MATCH($A4,attributeMapFeedProductType,0)+1,FALSE),0)&gt;0,0,1),IF(IFERROR(MATCH($A4,attributeMapFeedProductType,0),0)&gt;0,1,0))</formula>
    </cfRule>
  </conditionalFormatting>
  <conditionalFormatting sqref="DL4 DL8:DL1048576">
    <cfRule type="expression" dxfId="3" priority="17717">
      <formula>AND(AND(OR(AND(AND(IF(COUNTIF(CONDITION_LIST_1,DB4)&gt;0,FALSE,TRUE)))),A4&lt;&gt;""))</formula>
    </cfRule>
    <cfRule type="expression" dxfId="4" priority="17718">
      <formula>IF(LEN(DL4)&gt;0,1,0)</formula>
    </cfRule>
    <cfRule type="expression" dxfId="0" priority="17719">
      <formula>IF(VLOOKUP($DL$3,requiredAttributePTDMap,MATCH($A4,attributeMapFeedProductType,0)+1,FALSE)&gt;0,1,0)</formula>
    </cfRule>
    <cfRule type="expression" dxfId="1" priority="17720">
      <formula>IF(VLOOKUP($DL$3,optionalAttributePTDMap,MATCH($A4,attributeMapFeedProductType,0)+1,FALSE)&gt;0,1,0)</formula>
    </cfRule>
    <cfRule type="expression" dxfId="2" priority="17721">
      <formula>IF(VLOOKUP($DL$3,preferredAttributePTDMap,MATCH($A4,attributeMapFeedProductType,0)+1,FALSE)&gt;0,1,0)</formula>
    </cfRule>
    <cfRule type="expression" dxfId="3" priority="17722">
      <formula>AND(IF(IFERROR(VLOOKUP($DL$3,requiredAttributePTDMap,MATCH($A4,attributeMapFeedProductType,0)+1,FALSE),0)&gt;0,0,1),IF(IFERROR(VLOOKUP($DL$3,optionalAttributePTDMap,MATCH($A4,attributeMapFeedProductType,0)+1,FALSE),0)&gt;0,0,1),IF(IFERROR(VLOOKUP($DL$3,preferredAttributePTDMap,MATCH($A4,attributeMapFeedProductType,0)+1,FALSE),0)&gt;0,0,1),IF(IFERROR(MATCH($A4,attributeMapFeedProductType,0),0)&gt;0,1,0))</formula>
    </cfRule>
  </conditionalFormatting>
  <conditionalFormatting sqref="DM4 DM8:DM1048576">
    <cfRule type="expression" dxfId="3" priority="17724">
      <formula>AND(AND(OR(AND(AND(IF(COUNTIF(CONDITION_LIST_1,DB4)&gt;0,FALSE,TRUE)))),A4&lt;&gt;""))</formula>
    </cfRule>
    <cfRule type="expression" dxfId="4" priority="17725">
      <formula>IF(LEN(DM4)&gt;0,1,0)</formula>
    </cfRule>
    <cfRule type="expression" dxfId="0" priority="17726">
      <formula>IF(VLOOKUP($DM$3,requiredAttributePTDMap,MATCH($A4,attributeMapFeedProductType,0)+1,FALSE)&gt;0,1,0)</formula>
    </cfRule>
    <cfRule type="expression" dxfId="1" priority="17727">
      <formula>IF(VLOOKUP($DM$3,optionalAttributePTDMap,MATCH($A4,attributeMapFeedProductType,0)+1,FALSE)&gt;0,1,0)</formula>
    </cfRule>
    <cfRule type="expression" dxfId="2" priority="17728">
      <formula>IF(VLOOKUP($DM$3,preferredAttributePTDMap,MATCH($A4,attributeMapFeedProductType,0)+1,FALSE)&gt;0,1,0)</formula>
    </cfRule>
    <cfRule type="expression" dxfId="3" priority="17729">
      <formula>AND(IF(IFERROR(VLOOKUP($DM$3,requiredAttributePTDMap,MATCH($A4,attributeMapFeedProductType,0)+1,FALSE),0)&gt;0,0,1),IF(IFERROR(VLOOKUP($DM$3,optionalAttributePTDMap,MATCH($A4,attributeMapFeedProductType,0)+1,FALSE),0)&gt;0,0,1),IF(IFERROR(VLOOKUP($DM$3,preferredAttributePTDMap,MATCH($A4,attributeMapFeedProductType,0)+1,FALSE),0)&gt;0,0,1),IF(IFERROR(MATCH($A4,attributeMapFeedProductType,0),0)&gt;0,1,0))</formula>
    </cfRule>
  </conditionalFormatting>
  <conditionalFormatting sqref="DN4 DN8:DN1048576">
    <cfRule type="expression" dxfId="3" priority="17731">
      <formula>AND(AND(OR(AND(AND(IF(COUNTIF(CONDITION_LIST_1,DB4)&gt;0,FALSE,TRUE)))),A4&lt;&gt;""))</formula>
    </cfRule>
    <cfRule type="expression" dxfId="4" priority="17732">
      <formula>IF(LEN(DN4)&gt;0,1,0)</formula>
    </cfRule>
    <cfRule type="expression" dxfId="0" priority="17733">
      <formula>IF(VLOOKUP($DN$3,requiredAttributePTDMap,MATCH($A4,attributeMapFeedProductType,0)+1,FALSE)&gt;0,1,0)</formula>
    </cfRule>
    <cfRule type="expression" dxfId="1" priority="17734">
      <formula>IF(VLOOKUP($DN$3,optionalAttributePTDMap,MATCH($A4,attributeMapFeedProductType,0)+1,FALSE)&gt;0,1,0)</formula>
    </cfRule>
    <cfRule type="expression" dxfId="2" priority="17735">
      <formula>IF(VLOOKUP($DN$3,preferredAttributePTDMap,MATCH($A4,attributeMapFeedProductType,0)+1,FALSE)&gt;0,1,0)</formula>
    </cfRule>
    <cfRule type="expression" dxfId="3" priority="17736">
      <formula>AND(IF(IFERROR(VLOOKUP($DN$3,requiredAttributePTDMap,MATCH($A4,attributeMapFeedProductType,0)+1,FALSE),0)&gt;0,0,1),IF(IFERROR(VLOOKUP($DN$3,optionalAttributePTDMap,MATCH($A4,attributeMapFeedProductType,0)+1,FALSE),0)&gt;0,0,1),IF(IFERROR(VLOOKUP($DN$3,preferredAttributePTDMap,MATCH($A4,attributeMapFeedProductType,0)+1,FALSE),0)&gt;0,0,1),IF(IFERROR(MATCH($A4,attributeMapFeedProductType,0),0)&gt;0,1,0))</formula>
    </cfRule>
  </conditionalFormatting>
  <conditionalFormatting sqref="DO4 DO8:DO1048576">
    <cfRule type="expression" dxfId="3" priority="17738">
      <formula>AND(AND(OR(AND(AND(IF(COUNTIF(CONDITION_LIST_1,DB4)&gt;0,FALSE,TRUE)))),A4&lt;&gt;""))</formula>
    </cfRule>
    <cfRule type="expression" dxfId="4" priority="17739">
      <formula>IF(LEN(DO4)&gt;0,1,0)</formula>
    </cfRule>
    <cfRule type="expression" dxfId="0" priority="17740">
      <formula>IF(VLOOKUP($DO$3,requiredAttributePTDMap,MATCH($A4,attributeMapFeedProductType,0)+1,FALSE)&gt;0,1,0)</formula>
    </cfRule>
    <cfRule type="expression" dxfId="1" priority="17741">
      <formula>IF(VLOOKUP($DO$3,optionalAttributePTDMap,MATCH($A4,attributeMapFeedProductType,0)+1,FALSE)&gt;0,1,0)</formula>
    </cfRule>
    <cfRule type="expression" dxfId="2" priority="17742">
      <formula>IF(VLOOKUP($DO$3,preferredAttributePTDMap,MATCH($A4,attributeMapFeedProductType,0)+1,FALSE)&gt;0,1,0)</formula>
    </cfRule>
    <cfRule type="expression" dxfId="3" priority="17743">
      <formula>AND(IF(IFERROR(VLOOKUP($DO$3,requiredAttributePTDMap,MATCH($A4,attributeMapFeedProductType,0)+1,FALSE),0)&gt;0,0,1),IF(IFERROR(VLOOKUP($DO$3,optionalAttributePTDMap,MATCH($A4,attributeMapFeedProductType,0)+1,FALSE),0)&gt;0,0,1),IF(IFERROR(VLOOKUP($DO$3,preferredAttributePTDMap,MATCH($A4,attributeMapFeedProductType,0)+1,FALSE),0)&gt;0,0,1),IF(IFERROR(MATCH($A4,attributeMapFeedProductType,0),0)&gt;0,1,0))</formula>
    </cfRule>
  </conditionalFormatting>
  <conditionalFormatting sqref="DP4 DP8:DP1048576">
    <cfRule type="expression" dxfId="3" priority="17745">
      <formula>AND(AND(OR(AND(AND(IF(COUNTIF(CONDITION_LIST_1,DB4)&gt;0,FALSE,TRUE)))),A4&lt;&gt;""))</formula>
    </cfRule>
    <cfRule type="expression" dxfId="4" priority="17746">
      <formula>IF(LEN(DP4)&gt;0,1,0)</formula>
    </cfRule>
    <cfRule type="expression" dxfId="0" priority="17747">
      <formula>IF(VLOOKUP($DP$3,requiredAttributePTDMap,MATCH($A4,attributeMapFeedProductType,0)+1,FALSE)&gt;0,1,0)</formula>
    </cfRule>
    <cfRule type="expression" dxfId="1" priority="17748">
      <formula>IF(VLOOKUP($DP$3,optionalAttributePTDMap,MATCH($A4,attributeMapFeedProductType,0)+1,FALSE)&gt;0,1,0)</formula>
    </cfRule>
    <cfRule type="expression" dxfId="2" priority="17749">
      <formula>IF(VLOOKUP($DP$3,preferredAttributePTDMap,MATCH($A4,attributeMapFeedProductType,0)+1,FALSE)&gt;0,1,0)</formula>
    </cfRule>
    <cfRule type="expression" dxfId="3" priority="17750">
      <formula>AND(IF(IFERROR(VLOOKUP($DP$3,requiredAttributePTDMap,MATCH($A4,attributeMapFeedProductType,0)+1,FALSE),0)&gt;0,0,1),IF(IFERROR(VLOOKUP($DP$3,optionalAttributePTDMap,MATCH($A4,attributeMapFeedProductType,0)+1,FALSE),0)&gt;0,0,1),IF(IFERROR(VLOOKUP($DP$3,preferredAttributePTDMap,MATCH($A4,attributeMapFeedProductType,0)+1,FALSE),0)&gt;0,0,1),IF(IFERROR(MATCH($A4,attributeMapFeedProductType,0),0)&gt;0,1,0))</formula>
    </cfRule>
  </conditionalFormatting>
  <conditionalFormatting sqref="DQ4 DQ8:DQ1048576">
    <cfRule type="expression" dxfId="3" priority="17752">
      <formula>AND(AND(OR(AND(AND(IF(COUNTIF(CONDITION_LIST_1,DB4)&gt;0,FALSE,TRUE)))),A4&lt;&gt;""))</formula>
    </cfRule>
    <cfRule type="expression" dxfId="4" priority="17753">
      <formula>IF(LEN(DQ4)&gt;0,1,0)</formula>
    </cfRule>
    <cfRule type="expression" dxfId="0" priority="17754">
      <formula>IF(VLOOKUP($DQ$3,requiredAttributePTDMap,MATCH($A4,attributeMapFeedProductType,0)+1,FALSE)&gt;0,1,0)</formula>
    </cfRule>
    <cfRule type="expression" dxfId="1" priority="17755">
      <formula>IF(VLOOKUP($DQ$3,optionalAttributePTDMap,MATCH($A4,attributeMapFeedProductType,0)+1,FALSE)&gt;0,1,0)</formula>
    </cfRule>
    <cfRule type="expression" dxfId="2" priority="17756">
      <formula>IF(VLOOKUP($DQ$3,preferredAttributePTDMap,MATCH($A4,attributeMapFeedProductType,0)+1,FALSE)&gt;0,1,0)</formula>
    </cfRule>
    <cfRule type="expression" dxfId="3" priority="17757">
      <formula>AND(IF(IFERROR(VLOOKUP($DQ$3,requiredAttributePTDMap,MATCH($A4,attributeMapFeedProductType,0)+1,FALSE),0)&gt;0,0,1),IF(IFERROR(VLOOKUP($DQ$3,optionalAttributePTDMap,MATCH($A4,attributeMapFeedProductType,0)+1,FALSE),0)&gt;0,0,1),IF(IFERROR(VLOOKUP($DQ$3,preferredAttributePTDMap,MATCH($A4,attributeMapFeedProductType,0)+1,FALSE),0)&gt;0,0,1),IF(IFERROR(MATCH($A4,attributeMapFeedProductType,0),0)&gt;0,1,0))</formula>
    </cfRule>
  </conditionalFormatting>
  <conditionalFormatting sqref="DR4 DR8:DR1048576">
    <cfRule type="expression" dxfId="3" priority="17759">
      <formula>AND(AND(OR(AND(OR(OR(NOT(CN4&lt;&gt;"DEFAULT"),CN4="")))),A4&lt;&gt;""))</formula>
    </cfRule>
    <cfRule type="expression" dxfId="4" priority="17760">
      <formula>IF(LEN(DR4)&gt;0,1,0)</formula>
    </cfRule>
    <cfRule type="expression" dxfId="0" priority="17761">
      <formula>IF(VLOOKUP($DR$3,requiredAttributePTDMap,MATCH($A4,attributeMapFeedProductType,0)+1,FALSE)&gt;0,1,0)</formula>
    </cfRule>
    <cfRule type="expression" dxfId="1" priority="17762">
      <formula>IF(VLOOKUP($DR$3,optionalAttributePTDMap,MATCH($A4,attributeMapFeedProductType,0)+1,FALSE)&gt;0,1,0)</formula>
    </cfRule>
    <cfRule type="expression" dxfId="2" priority="17763">
      <formula>IF(VLOOKUP($DR$3,preferredAttributePTDMap,MATCH($A4,attributeMapFeedProductType,0)+1,FALSE)&gt;0,1,0)</formula>
    </cfRule>
    <cfRule type="expression" dxfId="3" priority="17764">
      <formula>AND(IF(IFERROR(VLOOKUP($DR$3,requiredAttributePTDMap,MATCH($A4,attributeMapFeedProductType,0)+1,FALSE),0)&gt;0,0,1),IF(IFERROR(VLOOKUP($DR$3,optionalAttributePTDMap,MATCH($A4,attributeMapFeedProductType,0)+1,FALSE),0)&gt;0,0,1),IF(IFERROR(VLOOKUP($DR$3,preferredAttributePTDMap,MATCH($A4,attributeMapFeedProductType,0)+1,FALSE),0)&gt;0,0,1),IF(IFERROR(MATCH($A4,attributeMapFeedProductType,0),0)&gt;0,1,0))</formula>
    </cfRule>
  </conditionalFormatting>
  <conditionalFormatting sqref="DS4 DS8:DS1048576">
    <cfRule type="expression" dxfId="3" priority="17766">
      <formula>AND(AND(OR(AND(OR(OR(NOT(CN4&lt;&gt;"DEFAULT"),CN4="")))),A4&lt;&gt;""))</formula>
    </cfRule>
    <cfRule type="expression" dxfId="4" priority="17767">
      <formula>IF(LEN(DS4)&gt;0,1,0)</formula>
    </cfRule>
    <cfRule type="expression" dxfId="0" priority="17768">
      <formula>IF(VLOOKUP($DS$3,requiredAttributePTDMap,MATCH($A4,attributeMapFeedProductType,0)+1,FALSE)&gt;0,1,0)</formula>
    </cfRule>
    <cfRule type="expression" dxfId="1" priority="17769">
      <formula>IF(VLOOKUP($DS$3,optionalAttributePTDMap,MATCH($A4,attributeMapFeedProductType,0)+1,FALSE)&gt;0,1,0)</formula>
    </cfRule>
    <cfRule type="expression" dxfId="2" priority="17770">
      <formula>IF(VLOOKUP($DS$3,preferredAttributePTDMap,MATCH($A4,attributeMapFeedProductType,0)+1,FALSE)&gt;0,1,0)</formula>
    </cfRule>
    <cfRule type="expression" dxfId="3" priority="17771">
      <formula>AND(IF(IFERROR(VLOOKUP($DS$3,requiredAttributePTDMap,MATCH($A4,attributeMapFeedProductType,0)+1,FALSE),0)&gt;0,0,1),IF(IFERROR(VLOOKUP($DS$3,optionalAttributePTDMap,MATCH($A4,attributeMapFeedProductType,0)+1,FALSE),0)&gt;0,0,1),IF(IFERROR(VLOOKUP($DS$3,preferredAttributePTDMap,MATCH($A4,attributeMapFeedProductType,0)+1,FALSE),0)&gt;0,0,1),IF(IFERROR(MATCH($A4,attributeMapFeedProductType,0),0)&gt;0,1,0))</formula>
    </cfRule>
  </conditionalFormatting>
  <conditionalFormatting sqref="DT4 DT8:DT1048576">
    <cfRule type="expression" dxfId="3" priority="17773">
      <formula>AND(AND(OR(AND(OR(OR(NOT(CN4&lt;&gt;"DEFAULT"),CN4="")))),A4&lt;&gt;""))</formula>
    </cfRule>
    <cfRule type="expression" dxfId="4" priority="17774">
      <formula>IF(LEN(DT4)&gt;0,1,0)</formula>
    </cfRule>
    <cfRule type="expression" dxfId="0" priority="17775">
      <formula>IF(VLOOKUP($DT$3,requiredAttributePTDMap,MATCH($A4,attributeMapFeedProductType,0)+1,FALSE)&gt;0,1,0)</formula>
    </cfRule>
    <cfRule type="expression" dxfId="1" priority="17776">
      <formula>IF(VLOOKUP($DT$3,optionalAttributePTDMap,MATCH($A4,attributeMapFeedProductType,0)+1,FALSE)&gt;0,1,0)</formula>
    </cfRule>
    <cfRule type="expression" dxfId="2" priority="17777">
      <formula>IF(VLOOKUP($DT$3,preferredAttributePTDMap,MATCH($A4,attributeMapFeedProductType,0)+1,FALSE)&gt;0,1,0)</formula>
    </cfRule>
    <cfRule type="expression" dxfId="3" priority="17778">
      <formula>AND(IF(IFERROR(VLOOKUP($DT$3,requiredAttributePTDMap,MATCH($A4,attributeMapFeedProductType,0)+1,FALSE),0)&gt;0,0,1),IF(IFERROR(VLOOKUP($DT$3,optionalAttributePTDMap,MATCH($A4,attributeMapFeedProductType,0)+1,FALSE),0)&gt;0,0,1),IF(IFERROR(VLOOKUP($DT$3,preferredAttributePTDMap,MATCH($A4,attributeMapFeedProductType,0)+1,FALSE),0)&gt;0,0,1),IF(IFERROR(MATCH($A4,attributeMapFeedProductType,0),0)&gt;0,1,0))</formula>
    </cfRule>
  </conditionalFormatting>
  <conditionalFormatting sqref="DU4 DU8:DU1048576">
    <cfRule type="expression" dxfId="3" priority="17780">
      <formula>AND(AND(OR(AND(OR(OR(NOT(CN4&lt;&gt;"DEFAULT"),CN4="")))),A4&lt;&gt;""))</formula>
    </cfRule>
    <cfRule type="expression" dxfId="4" priority="17781">
      <formula>IF(LEN(DU4)&gt;0,1,0)</formula>
    </cfRule>
    <cfRule type="expression" dxfId="0" priority="17782">
      <formula>IF(VLOOKUP($DU$3,requiredAttributePTDMap,MATCH($A4,attributeMapFeedProductType,0)+1,FALSE)&gt;0,1,0)</formula>
    </cfRule>
    <cfRule type="expression" dxfId="1" priority="17783">
      <formula>IF(VLOOKUP($DU$3,optionalAttributePTDMap,MATCH($A4,attributeMapFeedProductType,0)+1,FALSE)&gt;0,1,0)</formula>
    </cfRule>
    <cfRule type="expression" dxfId="2" priority="17784">
      <formula>IF(VLOOKUP($DU$3,preferredAttributePTDMap,MATCH($A4,attributeMapFeedProductType,0)+1,FALSE)&gt;0,1,0)</formula>
    </cfRule>
    <cfRule type="expression" dxfId="3" priority="17785">
      <formula>AND(IF(IFERROR(VLOOKUP($DU$3,requiredAttributePTDMap,MATCH($A4,attributeMapFeedProductType,0)+1,FALSE),0)&gt;0,0,1),IF(IFERROR(VLOOKUP($DU$3,optionalAttributePTDMap,MATCH($A4,attributeMapFeedProductType,0)+1,FALSE),0)&gt;0,0,1),IF(IFERROR(VLOOKUP($DU$3,preferredAttributePTDMap,MATCH($A4,attributeMapFeedProductType,0)+1,FALSE),0)&gt;0,0,1),IF(IFERROR(MATCH($A4,attributeMapFeedProductType,0),0)&gt;0,1,0))</formula>
    </cfRule>
  </conditionalFormatting>
  <conditionalFormatting sqref="DV4 DV8:DV1048576">
    <cfRule type="expression" dxfId="3" priority="17787">
      <formula>AND(AND(OR(AND(OR(OR(NOT(CN4&lt;&gt;"DEFAULT"),CN4="")))),A4&lt;&gt;""))</formula>
    </cfRule>
    <cfRule type="expression" dxfId="4" priority="17788">
      <formula>IF(LEN(DV4)&gt;0,1,0)</formula>
    </cfRule>
    <cfRule type="expression" dxfId="0" priority="17789">
      <formula>IF(VLOOKUP($DV$3,requiredAttributePTDMap,MATCH($A4,attributeMapFeedProductType,0)+1,FALSE)&gt;0,1,0)</formula>
    </cfRule>
    <cfRule type="expression" dxfId="1" priority="17790">
      <formula>IF(VLOOKUP($DV$3,optionalAttributePTDMap,MATCH($A4,attributeMapFeedProductType,0)+1,FALSE)&gt;0,1,0)</formula>
    </cfRule>
    <cfRule type="expression" dxfId="2" priority="17791">
      <formula>IF(VLOOKUP($DV$3,preferredAttributePTDMap,MATCH($A4,attributeMapFeedProductType,0)+1,FALSE)&gt;0,1,0)</formula>
    </cfRule>
    <cfRule type="expression" dxfId="3" priority="17792">
      <formula>AND(IF(IFERROR(VLOOKUP($DV$3,requiredAttributePTDMap,MATCH($A4,attributeMapFeedProductType,0)+1,FALSE),0)&gt;0,0,1),IF(IFERROR(VLOOKUP($DV$3,optionalAttributePTDMap,MATCH($A4,attributeMapFeedProductType,0)+1,FALSE),0)&gt;0,0,1),IF(IFERROR(VLOOKUP($DV$3,preferredAttributePTDMap,MATCH($A4,attributeMapFeedProductType,0)+1,FALSE),0)&gt;0,0,1),IF(IFERROR(MATCH($A4,attributeMapFeedProductType,0),0)&gt;0,1,0))</formula>
    </cfRule>
  </conditionalFormatting>
  <conditionalFormatting sqref="DW4 DW8:DW1048576">
    <cfRule type="expression" dxfId="3" priority="17794">
      <formula>AND(AND(OR(AND(AND(IF(COUNTIF(CONDITION_LIST_2,DR4)&gt;0,FALSE,TRUE)),AND(IF(COUNTIF(CONDITION_LIST_2,DS4)&gt;0,FALSE,TRUE)),AND(IF(COUNTIF(CONDITION_LIST_2,DT4)&gt;0,FALSE,TRUE)),AND(IF(COUNTIF(CONDITION_LIST_2,DU4)&gt;0,FALSE,TRUE)),AND(IF(COUNTIF(CONDITION_LIST_2,DV4)&gt;0,FALSE,TRUE)))),A4&lt;&gt;""))</formula>
    </cfRule>
    <cfRule type="expression" dxfId="4" priority="17795">
      <formula>IF(LEN(DW4)&gt;0,1,0)</formula>
    </cfRule>
    <cfRule type="expression" dxfId="0" priority="17796">
      <formula>IF(VLOOKUP($DW$3,requiredAttributePTDMap,MATCH($A4,attributeMapFeedProductType,0)+1,FALSE)&gt;0,1,0)</formula>
    </cfRule>
    <cfRule type="expression" dxfId="1" priority="17797">
      <formula>IF(VLOOKUP($DW$3,optionalAttributePTDMap,MATCH($A4,attributeMapFeedProductType,0)+1,FALSE)&gt;0,1,0)</formula>
    </cfRule>
    <cfRule type="expression" dxfId="2" priority="17798">
      <formula>IF(VLOOKUP($DW$3,preferredAttributePTDMap,MATCH($A4,attributeMapFeedProductType,0)+1,FALSE)&gt;0,1,0)</formula>
    </cfRule>
    <cfRule type="expression" dxfId="3" priority="17799">
      <formula>AND(IF(IFERROR(VLOOKUP($DW$3,requiredAttributePTDMap,MATCH($A4,attributeMapFeedProductType,0)+1,FALSE),0)&gt;0,0,1),IF(IFERROR(VLOOKUP($DW$3,optionalAttributePTDMap,MATCH($A4,attributeMapFeedProductType,0)+1,FALSE),0)&gt;0,0,1),IF(IFERROR(VLOOKUP($DW$3,preferredAttributePTDMap,MATCH($A4,attributeMapFeedProductType,0)+1,FALSE),0)&gt;0,0,1),IF(IFERROR(MATCH($A4,attributeMapFeedProductType,0),0)&gt;0,1,0))</formula>
    </cfRule>
  </conditionalFormatting>
  <conditionalFormatting sqref="DX4 DX8:DX1048576">
    <cfRule type="expression" dxfId="3" priority="17801">
      <formula>AND(AND(OR(AND(OR(OR(NOT(DR4&lt;&gt;"GHS"),DR4="")),OR(OR(NOT(DS4&lt;&gt;"GHS"),DS4="")),OR(OR(NOT(DT4&lt;&gt;"GHS"),DT4="")),OR(OR(NOT(DU4&lt;&gt;"GHS"),DU4="")),OR(OR(NOT(DV4&lt;&gt;"GHS"),DV4="")))),A4&lt;&gt;""))</formula>
    </cfRule>
    <cfRule type="expression" dxfId="4" priority="17802">
      <formula>IF(LEN(DX4)&gt;0,1,0)</formula>
    </cfRule>
    <cfRule type="expression" dxfId="0" priority="17803">
      <formula>IF(VLOOKUP($DX$3,requiredAttributePTDMap,MATCH($A4,attributeMapFeedProductType,0)+1,FALSE)&gt;0,1,0)</formula>
    </cfRule>
    <cfRule type="expression" dxfId="1" priority="17804">
      <formula>IF(VLOOKUP($DX$3,optionalAttributePTDMap,MATCH($A4,attributeMapFeedProductType,0)+1,FALSE)&gt;0,1,0)</formula>
    </cfRule>
    <cfRule type="expression" dxfId="2" priority="17805">
      <formula>IF(VLOOKUP($DX$3,preferredAttributePTDMap,MATCH($A4,attributeMapFeedProductType,0)+1,FALSE)&gt;0,1,0)</formula>
    </cfRule>
    <cfRule type="expression" dxfId="3" priority="17806">
      <formula>AND(IF(IFERROR(VLOOKUP($DX$3,requiredAttributePTDMap,MATCH($A4,attributeMapFeedProductType,0)+1,FALSE),0)&gt;0,0,1),IF(IFERROR(VLOOKUP($DX$3,optionalAttributePTDMap,MATCH($A4,attributeMapFeedProductType,0)+1,FALSE),0)&gt;0,0,1),IF(IFERROR(VLOOKUP($DX$3,preferredAttributePTDMap,MATCH($A4,attributeMapFeedProductType,0)+1,FALSE),0)&gt;0,0,1),IF(IFERROR(MATCH($A4,attributeMapFeedProductType,0),0)&gt;0,1,0))</formula>
    </cfRule>
  </conditionalFormatting>
  <conditionalFormatting sqref="DY4 DY8:DY1048576">
    <cfRule type="expression" dxfId="3" priority="17808">
      <formula>AND(AND(OR(AND(OR(OR(NOT(DR4&lt;&gt;"not_applicable"),DR4="")),OR(OR(NOT(DS4&lt;&gt;"not_applicable"),DS4="")),OR(OR(NOT(DT4&lt;&gt;"not_applicable"),DT4="")),OR(OR(NOT(DU4&lt;&gt;"not_applicable"),DU4="")),OR(OR(NOT(DV4&lt;&gt;"not_applicable"),DV4="")))),A4&lt;&gt;""))</formula>
    </cfRule>
    <cfRule type="expression" dxfId="4" priority="17809">
      <formula>IF(LEN(DY4)&gt;0,1,0)</formula>
    </cfRule>
    <cfRule type="expression" dxfId="0" priority="17810">
      <formula>IF(VLOOKUP($DY$3,requiredAttributePTDMap,MATCH($A4,attributeMapFeedProductType,0)+1,FALSE)&gt;0,1,0)</formula>
    </cfRule>
    <cfRule type="expression" dxfId="1" priority="17811">
      <formula>IF(VLOOKUP($DY$3,optionalAttributePTDMap,MATCH($A4,attributeMapFeedProductType,0)+1,FALSE)&gt;0,1,0)</formula>
    </cfRule>
    <cfRule type="expression" dxfId="2" priority="17812">
      <formula>IF(VLOOKUP($DY$3,preferredAttributePTDMap,MATCH($A4,attributeMapFeedProductType,0)+1,FALSE)&gt;0,1,0)</formula>
    </cfRule>
    <cfRule type="expression" dxfId="3" priority="17813">
      <formula>AND(IF(IFERROR(VLOOKUP($DY$3,requiredAttributePTDMap,MATCH($A4,attributeMapFeedProductType,0)+1,FALSE),0)&gt;0,0,1),IF(IFERROR(VLOOKUP($DY$3,optionalAttributePTDMap,MATCH($A4,attributeMapFeedProductType,0)+1,FALSE),0)&gt;0,0,1),IF(IFERROR(VLOOKUP($DY$3,preferredAttributePTDMap,MATCH($A4,attributeMapFeedProductType,0)+1,FALSE),0)&gt;0,0,1),IF(IFERROR(MATCH($A4,attributeMapFeedProductType,0),0)&gt;0,1,0))</formula>
    </cfRule>
  </conditionalFormatting>
  <conditionalFormatting sqref="DZ4 DZ8:DZ1048576">
    <cfRule type="expression" dxfId="3" priority="17815">
      <formula>AND(AND(OR(AND(OR(OR(NOT(DR4&lt;&gt;"not_applicable"),DR4="")),OR(OR(NOT(DS4&lt;&gt;"not_applicable"),DS4="")),OR(OR(NOT(DT4&lt;&gt;"not_applicable"),DT4="")),OR(OR(NOT(DU4&lt;&gt;"not_applicable"),DU4="")),OR(OR(NOT(DV4&lt;&gt;"not_applicable"),DV4="")))),A4&lt;&gt;""))</formula>
    </cfRule>
    <cfRule type="expression" dxfId="4" priority="17816">
      <formula>IF(LEN(DZ4)&gt;0,1,0)</formula>
    </cfRule>
    <cfRule type="expression" dxfId="0" priority="17817">
      <formula>IF(VLOOKUP($DZ$3,requiredAttributePTDMap,MATCH($A4,attributeMapFeedProductType,0)+1,FALSE)&gt;0,1,0)</formula>
    </cfRule>
    <cfRule type="expression" dxfId="1" priority="17818">
      <formula>IF(VLOOKUP($DZ$3,optionalAttributePTDMap,MATCH($A4,attributeMapFeedProductType,0)+1,FALSE)&gt;0,1,0)</formula>
    </cfRule>
    <cfRule type="expression" dxfId="2" priority="17819">
      <formula>IF(VLOOKUP($DZ$3,preferredAttributePTDMap,MATCH($A4,attributeMapFeedProductType,0)+1,FALSE)&gt;0,1,0)</formula>
    </cfRule>
    <cfRule type="expression" dxfId="3" priority="17820">
      <formula>AND(IF(IFERROR(VLOOKUP($DZ$3,requiredAttributePTDMap,MATCH($A4,attributeMapFeedProductType,0)+1,FALSE),0)&gt;0,0,1),IF(IFERROR(VLOOKUP($DZ$3,optionalAttributePTDMap,MATCH($A4,attributeMapFeedProductType,0)+1,FALSE),0)&gt;0,0,1),IF(IFERROR(VLOOKUP($DZ$3,preferredAttributePTDMap,MATCH($A4,attributeMapFeedProductType,0)+1,FALSE),0)&gt;0,0,1),IF(IFERROR(MATCH($A4,attributeMapFeedProductType,0),0)&gt;0,1,0))</formula>
    </cfRule>
  </conditionalFormatting>
  <conditionalFormatting sqref="EA4 EA8:EA1048576">
    <cfRule type="expression" dxfId="3" priority="17822">
      <formula>AND(AND(OR(AND(OR(OR(NOT(DR4&lt;&gt;"not_applicable"),DR4="")),OR(OR(NOT(DS4&lt;&gt;"not_applicable"),DS4="")),OR(OR(NOT(DT4&lt;&gt;"not_applicable"),DT4="")),OR(OR(NOT(DU4&lt;&gt;"not_applicable"),DU4="")),OR(OR(NOT(DV4&lt;&gt;"not_applicable"),DV4="")))),A4&lt;&gt;""))</formula>
    </cfRule>
    <cfRule type="expression" dxfId="4" priority="17823">
      <formula>IF(LEN(EA4)&gt;0,1,0)</formula>
    </cfRule>
    <cfRule type="expression" dxfId="0" priority="17824">
      <formula>IF(VLOOKUP($EA$3,requiredAttributePTDMap,MATCH($A4,attributeMapFeedProductType,0)+1,FALSE)&gt;0,1,0)</formula>
    </cfRule>
    <cfRule type="expression" dxfId="1" priority="17825">
      <formula>IF(VLOOKUP($EA$3,optionalAttributePTDMap,MATCH($A4,attributeMapFeedProductType,0)+1,FALSE)&gt;0,1,0)</formula>
    </cfRule>
    <cfRule type="expression" dxfId="2" priority="17826">
      <formula>IF(VLOOKUP($EA$3,preferredAttributePTDMap,MATCH($A4,attributeMapFeedProductType,0)+1,FALSE)&gt;0,1,0)</formula>
    </cfRule>
    <cfRule type="expression" dxfId="3" priority="17827">
      <formula>AND(IF(IFERROR(VLOOKUP($EA$3,requiredAttributePTDMap,MATCH($A4,attributeMapFeedProductType,0)+1,FALSE),0)&gt;0,0,1),IF(IFERROR(VLOOKUP($EA$3,optionalAttributePTDMap,MATCH($A4,attributeMapFeedProductType,0)+1,FALSE),0)&gt;0,0,1),IF(IFERROR(VLOOKUP($EA$3,preferredAttributePTDMap,MATCH($A4,attributeMapFeedProductType,0)+1,FALSE),0)&gt;0,0,1),IF(IFERROR(MATCH($A4,attributeMapFeedProductType,0),0)&gt;0,1,0))</formula>
    </cfRule>
  </conditionalFormatting>
  <conditionalFormatting sqref="EB4 EB8:EB1048576">
    <cfRule type="expression" dxfId="3" priority="17829">
      <formula>AND(AND(OR(AND(OR(OR(NOT(DR4&lt;&gt;"not_applicable"),DR4="")),OR(OR(NOT(DS4&lt;&gt;"not_applicable"),DS4="")),OR(OR(NOT(DT4&lt;&gt;"not_applicable"),DT4="")),OR(OR(NOT(DU4&lt;&gt;"not_applicable"),DU4="")),OR(OR(NOT(DV4&lt;&gt;"not_applicable"),DV4="")))),A4&lt;&gt;""))</formula>
    </cfRule>
    <cfRule type="expression" dxfId="0" priority="17831">
      <formula>IF(VLOOKUP($EB$3,requiredAttributePTDMap,MATCH($A4,attributeMapFeedProductType,0)+1,FALSE)&gt;0,1,0)</formula>
    </cfRule>
    <cfRule type="expression" dxfId="1" priority="17832">
      <formula>IF(VLOOKUP($EB$3,optionalAttributePTDMap,MATCH($A4,attributeMapFeedProductType,0)+1,FALSE)&gt;0,1,0)</formula>
    </cfRule>
    <cfRule type="expression" dxfId="2" priority="17833">
      <formula>IF(VLOOKUP($EB$3,preferredAttributePTDMap,MATCH($A4,attributeMapFeedProductType,0)+1,FALSE)&gt;0,1,0)</formula>
    </cfRule>
    <cfRule type="expression" dxfId="3" priority="17834">
      <formula>AND(IF(IFERROR(VLOOKUP($EB$3,requiredAttributePTDMap,MATCH($A4,attributeMapFeedProductType,0)+1,FALSE),0)&gt;0,0,1),IF(IFERROR(VLOOKUP($EB$3,optionalAttributePTDMap,MATCH($A4,attributeMapFeedProductType,0)+1,FALSE),0)&gt;0,0,1),IF(IFERROR(VLOOKUP($EB$3,preferredAttributePTDMap,MATCH($A4,attributeMapFeedProductType,0)+1,FALSE),0)&gt;0,0,1),IF(IFERROR(MATCH($A4,attributeMapFeedProductType,0),0)&gt;0,1,0))</formula>
    </cfRule>
  </conditionalFormatting>
  <conditionalFormatting sqref="EC4 EC8:EC1048576">
    <cfRule type="expression" dxfId="0" priority="17836">
      <formula>IF(VLOOKUP($EC$3,requiredAttributePTDMap,MATCH($A4,attributeMapFeedProductType,0)+1,FALSE)&gt;0,1,0)</formula>
    </cfRule>
    <cfRule type="expression" dxfId="1" priority="17837">
      <formula>IF(VLOOKUP($EC$3,optionalAttributePTDMap,MATCH($A4,attributeMapFeedProductType,0)+1,FALSE)&gt;0,1,0)</formula>
    </cfRule>
    <cfRule type="expression" dxfId="2" priority="17838">
      <formula>IF(VLOOKUP($EC$3,preferredAttributePTDMap,MATCH($A4,attributeMapFeedProductType,0)+1,FALSE)&gt;0,1,0)</formula>
    </cfRule>
    <cfRule type="expression" dxfId="3" priority="17839">
      <formula>AND(IF(IFERROR(VLOOKUP($EC$3,requiredAttributePTDMap,MATCH($A4,attributeMapFeedProductType,0)+1,FALSE),0)&gt;0,0,1),IF(IFERROR(VLOOKUP($EC$3,optionalAttributePTDMap,MATCH($A4,attributeMapFeedProductType,0)+1,FALSE),0)&gt;0,0,1),IF(IFERROR(VLOOKUP($EC$3,preferredAttributePTDMap,MATCH($A4,attributeMapFeedProductType,0)+1,FALSE),0)&gt;0,0,1),IF(IFERROR(MATCH($A4,attributeMapFeedProductType,0),0)&gt;0,1,0))</formula>
    </cfRule>
  </conditionalFormatting>
  <conditionalFormatting sqref="ED4 ED8:ED1048576">
    <cfRule type="expression" dxfId="3" priority="17841">
      <formula>AND(AND(OR(AND(AND(IF(COUNTIF(CONDITION_LIST_3,DR4)&gt;0,FALSE,TRUE)),AND(IF(COUNTIF(CONDITION_LIST_3,DS4)&gt;0,FALSE,TRUE)),AND(IF(COUNTIF(CONDITION_LIST_3,DT4)&gt;0,FALSE,TRUE)),AND(IF(COUNTIF(CONDITION_LIST_3,DU4)&gt;0,FALSE,TRUE)),AND(IF(COUNTIF(CONDITION_LIST_3,DV4)&gt;0,FALSE,TRUE)))),A4&lt;&gt;""))</formula>
    </cfRule>
    <cfRule type="expression" dxfId="4" priority="17842">
      <formula>IF(LEN(ED4)&gt;0,1,0)</formula>
    </cfRule>
    <cfRule type="expression" dxfId="0" priority="17843">
      <formula>IF(VLOOKUP($ED$3,requiredAttributePTDMap,MATCH($A4,attributeMapFeedProductType,0)+1,FALSE)&gt;0,1,0)</formula>
    </cfRule>
    <cfRule type="expression" dxfId="1" priority="17844">
      <formula>IF(VLOOKUP($ED$3,optionalAttributePTDMap,MATCH($A4,attributeMapFeedProductType,0)+1,FALSE)&gt;0,1,0)</formula>
    </cfRule>
    <cfRule type="expression" dxfId="2" priority="17845">
      <formula>IF(VLOOKUP($ED$3,preferredAttributePTDMap,MATCH($A4,attributeMapFeedProductType,0)+1,FALSE)&gt;0,1,0)</formula>
    </cfRule>
    <cfRule type="expression" dxfId="3" priority="17846">
      <formula>AND(IF(IFERROR(VLOOKUP($ED$3,requiredAttributePTDMap,MATCH($A4,attributeMapFeedProductType,0)+1,FALSE),0)&gt;0,0,1),IF(IFERROR(VLOOKUP($ED$3,optionalAttributePTDMap,MATCH($A4,attributeMapFeedProductType,0)+1,FALSE),0)&gt;0,0,1),IF(IFERROR(VLOOKUP($ED$3,preferredAttributePTDMap,MATCH($A4,attributeMapFeedProductType,0)+1,FALSE),0)&gt;0,0,1),IF(IFERROR(MATCH($A4,attributeMapFeedProductType,0),0)&gt;0,1,0))</formula>
    </cfRule>
  </conditionalFormatting>
  <conditionalFormatting sqref="EE4 EE8:EE1048576">
    <cfRule type="expression" dxfId="3" priority="17848">
      <formula>AND(AND(OR(AND(AND(IF(COUNTIF(CONDITION_LIST_3,DR4)&gt;0,FALSE,TRUE)),AND(IF(COUNTIF(CONDITION_LIST_3,DS4)&gt;0,FALSE,TRUE)),AND(IF(COUNTIF(CONDITION_LIST_3,DT4)&gt;0,FALSE,TRUE)),AND(IF(COUNTIF(CONDITION_LIST_3,DU4)&gt;0,FALSE,TRUE)),AND(IF(COUNTIF(CONDITION_LIST_3,DV4)&gt;0,FALSE,TRUE)))),A4&lt;&gt;""))</formula>
    </cfRule>
    <cfRule type="expression" dxfId="4" priority="17849">
      <formula>IF(LEN(EE4)&gt;0,1,0)</formula>
    </cfRule>
    <cfRule type="expression" dxfId="0" priority="17850">
      <formula>IF(VLOOKUP($EE$3,requiredAttributePTDMap,MATCH($A4,attributeMapFeedProductType,0)+1,FALSE)&gt;0,1,0)</formula>
    </cfRule>
    <cfRule type="expression" dxfId="1" priority="17851">
      <formula>IF(VLOOKUP($EE$3,optionalAttributePTDMap,MATCH($A4,attributeMapFeedProductType,0)+1,FALSE)&gt;0,1,0)</formula>
    </cfRule>
    <cfRule type="expression" dxfId="2" priority="17852">
      <formula>IF(VLOOKUP($EE$3,preferredAttributePTDMap,MATCH($A4,attributeMapFeedProductType,0)+1,FALSE)&gt;0,1,0)</formula>
    </cfRule>
    <cfRule type="expression" dxfId="3" priority="17853">
      <formula>AND(IF(IFERROR(VLOOKUP($EE$3,requiredAttributePTDMap,MATCH($A4,attributeMapFeedProductType,0)+1,FALSE),0)&gt;0,0,1),IF(IFERROR(VLOOKUP($EE$3,optionalAttributePTDMap,MATCH($A4,attributeMapFeedProductType,0)+1,FALSE),0)&gt;0,0,1),IF(IFERROR(VLOOKUP($EE$3,preferredAttributePTDMap,MATCH($A4,attributeMapFeedProductType,0)+1,FALSE),0)&gt;0,0,1),IF(IFERROR(MATCH($A4,attributeMapFeedProductType,0),0)&gt;0,1,0))</formula>
    </cfRule>
  </conditionalFormatting>
  <conditionalFormatting sqref="EF4 EF8:EF1048576">
    <cfRule type="expression" dxfId="3" priority="17855">
      <formula>AND(AND(OR(AND(AND(IF(COUNTIF(CONDITION_LIST_3,DR4)&gt;0,FALSE,TRUE)),AND(IF(COUNTIF(CONDITION_LIST_3,DS4)&gt;0,FALSE,TRUE)),AND(IF(COUNTIF(CONDITION_LIST_3,DT4)&gt;0,FALSE,TRUE)),AND(IF(COUNTIF(CONDITION_LIST_3,DU4)&gt;0,FALSE,TRUE)),AND(IF(COUNTIF(CONDITION_LIST_3,DV4)&gt;0,FALSE,TRUE)))),A4&lt;&gt;""))</formula>
    </cfRule>
    <cfRule type="expression" dxfId="4" priority="17856">
      <formula>IF(LEN(EF4)&gt;0,1,0)</formula>
    </cfRule>
    <cfRule type="expression" dxfId="0" priority="17857">
      <formula>IF(VLOOKUP($EF$3,requiredAttributePTDMap,MATCH($A4,attributeMapFeedProductType,0)+1,FALSE)&gt;0,1,0)</formula>
    </cfRule>
    <cfRule type="expression" dxfId="1" priority="17858">
      <formula>IF(VLOOKUP($EF$3,optionalAttributePTDMap,MATCH($A4,attributeMapFeedProductType,0)+1,FALSE)&gt;0,1,0)</formula>
    </cfRule>
    <cfRule type="expression" dxfId="2" priority="17859">
      <formula>IF(VLOOKUP($EF$3,preferredAttributePTDMap,MATCH($A4,attributeMapFeedProductType,0)+1,FALSE)&gt;0,1,0)</formula>
    </cfRule>
    <cfRule type="expression" dxfId="3" priority="17860">
      <formula>AND(IF(IFERROR(VLOOKUP($EF$3,requiredAttributePTDMap,MATCH($A4,attributeMapFeedProductType,0)+1,FALSE),0)&gt;0,0,1),IF(IFERROR(VLOOKUP($EF$3,optionalAttributePTDMap,MATCH($A4,attributeMapFeedProductType,0)+1,FALSE),0)&gt;0,0,1),IF(IFERROR(VLOOKUP($EF$3,preferredAttributePTDMap,MATCH($A4,attributeMapFeedProductType,0)+1,FALSE),0)&gt;0,0,1),IF(IFERROR(MATCH($A4,attributeMapFeedProductType,0),0)&gt;0,1,0))</formula>
    </cfRule>
  </conditionalFormatting>
  <conditionalFormatting sqref="EJ4:ES4 EU4:FI4 FK4:GE4">
    <cfRule type="expression" dxfId="4" priority="17876">
      <formula>IF(LEN(EJ4)&gt;0,1,0)</formula>
    </cfRule>
  </conditionalFormatting>
  <conditionalFormatting sqref="EJ4 EJ8:EJ1048576">
    <cfRule type="expression" dxfId="0" priority="17877">
      <formula>IF(VLOOKUP($EJ$3,requiredAttributePTDMap,MATCH($A4,attributeMapFeedProductType,0)+1,FALSE)&gt;0,1,0)</formula>
    </cfRule>
    <cfRule type="expression" dxfId="1" priority="17878">
      <formula>IF(VLOOKUP($EJ$3,optionalAttributePTDMap,MATCH($A4,attributeMapFeedProductType,0)+1,FALSE)&gt;0,1,0)</formula>
    </cfRule>
    <cfRule type="expression" dxfId="2" priority="17879">
      <formula>IF(VLOOKUP($EJ$3,preferredAttributePTDMap,MATCH($A4,attributeMapFeedProductType,0)+1,FALSE)&gt;0,1,0)</formula>
    </cfRule>
    <cfRule type="expression" dxfId="3" priority="17880">
      <formula>AND(IF(IFERROR(VLOOKUP($EJ$3,requiredAttributePTDMap,MATCH($A4,attributeMapFeedProductType,0)+1,FALSE),0)&gt;0,0,1),IF(IFERROR(VLOOKUP($EJ$3,optionalAttributePTDMap,MATCH($A4,attributeMapFeedProductType,0)+1,FALSE),0)&gt;0,0,1),IF(IFERROR(VLOOKUP($EJ$3,preferredAttributePTDMap,MATCH($A4,attributeMapFeedProductType,0)+1,FALSE),0)&gt;0,0,1),IF(IFERROR(MATCH($A4,attributeMapFeedProductType,0),0)&gt;0,1,0))</formula>
    </cfRule>
  </conditionalFormatting>
  <conditionalFormatting sqref="EK4 EK8:EK1048576">
    <cfRule type="expression" dxfId="0" priority="17882">
      <formula>IF(VLOOKUP($EK$3,requiredAttributePTDMap,MATCH($A4,attributeMapFeedProductType,0)+1,FALSE)&gt;0,1,0)</formula>
    </cfRule>
    <cfRule type="expression" dxfId="1" priority="17883">
      <formula>IF(VLOOKUP($EK$3,optionalAttributePTDMap,MATCH($A4,attributeMapFeedProductType,0)+1,FALSE)&gt;0,1,0)</formula>
    </cfRule>
    <cfRule type="expression" dxfId="2" priority="17884">
      <formula>IF(VLOOKUP($EK$3,preferredAttributePTDMap,MATCH($A4,attributeMapFeedProductType,0)+1,FALSE)&gt;0,1,0)</formula>
    </cfRule>
    <cfRule type="expression" dxfId="3" priority="17885">
      <formula>AND(IF(IFERROR(VLOOKUP($EK$3,requiredAttributePTDMap,MATCH($A4,attributeMapFeedProductType,0)+1,FALSE),0)&gt;0,0,1),IF(IFERROR(VLOOKUP($EK$3,optionalAttributePTDMap,MATCH($A4,attributeMapFeedProductType,0)+1,FALSE),0)&gt;0,0,1),IF(IFERROR(VLOOKUP($EK$3,preferredAttributePTDMap,MATCH($A4,attributeMapFeedProductType,0)+1,FALSE),0)&gt;0,0,1),IF(IFERROR(MATCH($A4,attributeMapFeedProductType,0),0)&gt;0,1,0))</formula>
    </cfRule>
  </conditionalFormatting>
  <conditionalFormatting sqref="EL4 EL8:EL1048576">
    <cfRule type="expression" dxfId="0" priority="17887">
      <formula>IF(VLOOKUP($EL$3,requiredAttributePTDMap,MATCH($A4,attributeMapFeedProductType,0)+1,FALSE)&gt;0,1,0)</formula>
    </cfRule>
    <cfRule type="expression" dxfId="1" priority="17888">
      <formula>IF(VLOOKUP($EL$3,optionalAttributePTDMap,MATCH($A4,attributeMapFeedProductType,0)+1,FALSE)&gt;0,1,0)</formula>
    </cfRule>
    <cfRule type="expression" dxfId="2" priority="17889">
      <formula>IF(VLOOKUP($EL$3,preferredAttributePTDMap,MATCH($A4,attributeMapFeedProductType,0)+1,FALSE)&gt;0,1,0)</formula>
    </cfRule>
    <cfRule type="expression" dxfId="3" priority="17890">
      <formula>AND(IF(IFERROR(VLOOKUP($EL$3,requiredAttributePTDMap,MATCH($A4,attributeMapFeedProductType,0)+1,FALSE),0)&gt;0,0,1),IF(IFERROR(VLOOKUP($EL$3,optionalAttributePTDMap,MATCH($A4,attributeMapFeedProductType,0)+1,FALSE),0)&gt;0,0,1),IF(IFERROR(VLOOKUP($EL$3,preferredAttributePTDMap,MATCH($A4,attributeMapFeedProductType,0)+1,FALSE),0)&gt;0,0,1),IF(IFERROR(MATCH($A4,attributeMapFeedProductType,0),0)&gt;0,1,0))</formula>
    </cfRule>
  </conditionalFormatting>
  <conditionalFormatting sqref="EM4 EM8:EM1048576">
    <cfRule type="expression" dxfId="0" priority="17892">
      <formula>IF(VLOOKUP($EM$3,requiredAttributePTDMap,MATCH($A4,attributeMapFeedProductType,0)+1,FALSE)&gt;0,1,0)</formula>
    </cfRule>
    <cfRule type="expression" dxfId="1" priority="17893">
      <formula>IF(VLOOKUP($EM$3,optionalAttributePTDMap,MATCH($A4,attributeMapFeedProductType,0)+1,FALSE)&gt;0,1,0)</formula>
    </cfRule>
    <cfRule type="expression" dxfId="2" priority="17894">
      <formula>IF(VLOOKUP($EM$3,preferredAttributePTDMap,MATCH($A4,attributeMapFeedProductType,0)+1,FALSE)&gt;0,1,0)</formula>
    </cfRule>
    <cfRule type="expression" dxfId="3" priority="17895">
      <formula>AND(IF(IFERROR(VLOOKUP($EM$3,requiredAttributePTDMap,MATCH($A4,attributeMapFeedProductType,0)+1,FALSE),0)&gt;0,0,1),IF(IFERROR(VLOOKUP($EM$3,optionalAttributePTDMap,MATCH($A4,attributeMapFeedProductType,0)+1,FALSE),0)&gt;0,0,1),IF(IFERROR(VLOOKUP($EM$3,preferredAttributePTDMap,MATCH($A4,attributeMapFeedProductType,0)+1,FALSE),0)&gt;0,0,1),IF(IFERROR(MATCH($A4,attributeMapFeedProductType,0),0)&gt;0,1,0))</formula>
    </cfRule>
  </conditionalFormatting>
  <conditionalFormatting sqref="EN4 EN8:EN1048576">
    <cfRule type="expression" dxfId="0" priority="17897">
      <formula>IF(VLOOKUP($EN$3,requiredAttributePTDMap,MATCH($A4,attributeMapFeedProductType,0)+1,FALSE)&gt;0,1,0)</formula>
    </cfRule>
    <cfRule type="expression" dxfId="1" priority="17898">
      <formula>IF(VLOOKUP($EN$3,optionalAttributePTDMap,MATCH($A4,attributeMapFeedProductType,0)+1,FALSE)&gt;0,1,0)</formula>
    </cfRule>
    <cfRule type="expression" dxfId="2" priority="17899">
      <formula>IF(VLOOKUP($EN$3,preferredAttributePTDMap,MATCH($A4,attributeMapFeedProductType,0)+1,FALSE)&gt;0,1,0)</formula>
    </cfRule>
    <cfRule type="expression" dxfId="3" priority="17900">
      <formula>AND(IF(IFERROR(VLOOKUP($EN$3,requiredAttributePTDMap,MATCH($A4,attributeMapFeedProductType,0)+1,FALSE),0)&gt;0,0,1),IF(IFERROR(VLOOKUP($EN$3,optionalAttributePTDMap,MATCH($A4,attributeMapFeedProductType,0)+1,FALSE),0)&gt;0,0,1),IF(IFERROR(VLOOKUP($EN$3,preferredAttributePTDMap,MATCH($A4,attributeMapFeedProductType,0)+1,FALSE),0)&gt;0,0,1),IF(IFERROR(MATCH($A4,attributeMapFeedProductType,0),0)&gt;0,1,0))</formula>
    </cfRule>
  </conditionalFormatting>
  <conditionalFormatting sqref="EO4 EO8:EO1048576">
    <cfRule type="expression" dxfId="0" priority="17902">
      <formula>IF(VLOOKUP($EO$3,requiredAttributePTDMap,MATCH($A4,attributeMapFeedProductType,0)+1,FALSE)&gt;0,1,0)</formula>
    </cfRule>
    <cfRule type="expression" dxfId="1" priority="17903">
      <formula>IF(VLOOKUP($EO$3,optionalAttributePTDMap,MATCH($A4,attributeMapFeedProductType,0)+1,FALSE)&gt;0,1,0)</formula>
    </cfRule>
    <cfRule type="expression" dxfId="2" priority="17904">
      <formula>IF(VLOOKUP($EO$3,preferredAttributePTDMap,MATCH($A4,attributeMapFeedProductType,0)+1,FALSE)&gt;0,1,0)</formula>
    </cfRule>
    <cfRule type="expression" dxfId="3" priority="17905">
      <formula>AND(IF(IFERROR(VLOOKUP($EO$3,requiredAttributePTDMap,MATCH($A4,attributeMapFeedProductType,0)+1,FALSE),0)&gt;0,0,1),IF(IFERROR(VLOOKUP($EO$3,optionalAttributePTDMap,MATCH($A4,attributeMapFeedProductType,0)+1,FALSE),0)&gt;0,0,1),IF(IFERROR(VLOOKUP($EO$3,preferredAttributePTDMap,MATCH($A4,attributeMapFeedProductType,0)+1,FALSE),0)&gt;0,0,1),IF(IFERROR(MATCH($A4,attributeMapFeedProductType,0),0)&gt;0,1,0))</formula>
    </cfRule>
  </conditionalFormatting>
  <conditionalFormatting sqref="EP4 EP8:EP1048576">
    <cfRule type="expression" dxfId="0" priority="17907">
      <formula>IF(VLOOKUP($EP$3,requiredAttributePTDMap,MATCH($A4,attributeMapFeedProductType,0)+1,FALSE)&gt;0,1,0)</formula>
    </cfRule>
    <cfRule type="expression" dxfId="1" priority="17908">
      <formula>IF(VLOOKUP($EP$3,optionalAttributePTDMap,MATCH($A4,attributeMapFeedProductType,0)+1,FALSE)&gt;0,1,0)</formula>
    </cfRule>
    <cfRule type="expression" dxfId="2" priority="17909">
      <formula>IF(VLOOKUP($EP$3,preferredAttributePTDMap,MATCH($A4,attributeMapFeedProductType,0)+1,FALSE)&gt;0,1,0)</formula>
    </cfRule>
    <cfRule type="expression" dxfId="3" priority="17910">
      <formula>AND(IF(IFERROR(VLOOKUP($EP$3,requiredAttributePTDMap,MATCH($A4,attributeMapFeedProductType,0)+1,FALSE),0)&gt;0,0,1),IF(IFERROR(VLOOKUP($EP$3,optionalAttributePTDMap,MATCH($A4,attributeMapFeedProductType,0)+1,FALSE),0)&gt;0,0,1),IF(IFERROR(VLOOKUP($EP$3,preferredAttributePTDMap,MATCH($A4,attributeMapFeedProductType,0)+1,FALSE),0)&gt;0,0,1),IF(IFERROR(MATCH($A4,attributeMapFeedProductType,0),0)&gt;0,1,0))</formula>
    </cfRule>
  </conditionalFormatting>
  <conditionalFormatting sqref="EQ4 EQ8:EQ1048576">
    <cfRule type="expression" dxfId="0" priority="17912">
      <formula>IF(VLOOKUP($EQ$3,requiredAttributePTDMap,MATCH($A4,attributeMapFeedProductType,0)+1,FALSE)&gt;0,1,0)</formula>
    </cfRule>
    <cfRule type="expression" dxfId="1" priority="17913">
      <formula>IF(VLOOKUP($EQ$3,optionalAttributePTDMap,MATCH($A4,attributeMapFeedProductType,0)+1,FALSE)&gt;0,1,0)</formula>
    </cfRule>
    <cfRule type="expression" dxfId="2" priority="17914">
      <formula>IF(VLOOKUP($EQ$3,preferredAttributePTDMap,MATCH($A4,attributeMapFeedProductType,0)+1,FALSE)&gt;0,1,0)</formula>
    </cfRule>
    <cfRule type="expression" dxfId="3" priority="17915">
      <formula>AND(IF(IFERROR(VLOOKUP($EQ$3,requiredAttributePTDMap,MATCH($A4,attributeMapFeedProductType,0)+1,FALSE),0)&gt;0,0,1),IF(IFERROR(VLOOKUP($EQ$3,optionalAttributePTDMap,MATCH($A4,attributeMapFeedProductType,0)+1,FALSE),0)&gt;0,0,1),IF(IFERROR(VLOOKUP($EQ$3,preferredAttributePTDMap,MATCH($A4,attributeMapFeedProductType,0)+1,FALSE),0)&gt;0,0,1),IF(IFERROR(MATCH($A4,attributeMapFeedProductType,0),0)&gt;0,1,0))</formula>
    </cfRule>
  </conditionalFormatting>
  <conditionalFormatting sqref="ER4 ER8:ER1048576">
    <cfRule type="expression" dxfId="0" priority="17917">
      <formula>IF(VLOOKUP($ER$3,requiredAttributePTDMap,MATCH($A4,attributeMapFeedProductType,0)+1,FALSE)&gt;0,1,0)</formula>
    </cfRule>
    <cfRule type="expression" dxfId="1" priority="17918">
      <formula>IF(VLOOKUP($ER$3,optionalAttributePTDMap,MATCH($A4,attributeMapFeedProductType,0)+1,FALSE)&gt;0,1,0)</formula>
    </cfRule>
    <cfRule type="expression" dxfId="2" priority="17919">
      <formula>IF(VLOOKUP($ER$3,preferredAttributePTDMap,MATCH($A4,attributeMapFeedProductType,0)+1,FALSE)&gt;0,1,0)</formula>
    </cfRule>
    <cfRule type="expression" dxfId="3" priority="17920">
      <formula>AND(IF(IFERROR(VLOOKUP($ER$3,requiredAttributePTDMap,MATCH($A4,attributeMapFeedProductType,0)+1,FALSE),0)&gt;0,0,1),IF(IFERROR(VLOOKUP($ER$3,optionalAttributePTDMap,MATCH($A4,attributeMapFeedProductType,0)+1,FALSE),0)&gt;0,0,1),IF(IFERROR(VLOOKUP($ER$3,preferredAttributePTDMap,MATCH($A4,attributeMapFeedProductType,0)+1,FALSE),0)&gt;0,0,1),IF(IFERROR(MATCH($A4,attributeMapFeedProductType,0),0)&gt;0,1,0))</formula>
    </cfRule>
  </conditionalFormatting>
  <conditionalFormatting sqref="ES4 ES8:ES1048576">
    <cfRule type="expression" dxfId="0" priority="17922">
      <formula>IF(VLOOKUP($ES$3,requiredAttributePTDMap,MATCH($A4,attributeMapFeedProductType,0)+1,FALSE)&gt;0,1,0)</formula>
    </cfRule>
    <cfRule type="expression" dxfId="1" priority="17923">
      <formula>IF(VLOOKUP($ES$3,optionalAttributePTDMap,MATCH($A4,attributeMapFeedProductType,0)+1,FALSE)&gt;0,1,0)</formula>
    </cfRule>
    <cfRule type="expression" dxfId="2" priority="17924">
      <formula>IF(VLOOKUP($ES$3,preferredAttributePTDMap,MATCH($A4,attributeMapFeedProductType,0)+1,FALSE)&gt;0,1,0)</formula>
    </cfRule>
    <cfRule type="expression" dxfId="3" priority="17925">
      <formula>AND(IF(IFERROR(VLOOKUP($ES$3,requiredAttributePTDMap,MATCH($A4,attributeMapFeedProductType,0)+1,FALSE),0)&gt;0,0,1),IF(IFERROR(VLOOKUP($ES$3,optionalAttributePTDMap,MATCH($A4,attributeMapFeedProductType,0)+1,FALSE),0)&gt;0,0,1),IF(IFERROR(VLOOKUP($ES$3,preferredAttributePTDMap,MATCH($A4,attributeMapFeedProductType,0)+1,FALSE),0)&gt;0,0,1),IF(IFERROR(MATCH($A4,attributeMapFeedProductType,0),0)&gt;0,1,0))</formula>
    </cfRule>
  </conditionalFormatting>
  <conditionalFormatting sqref="EU4 EU8:EU1048576">
    <cfRule type="expression" dxfId="0" priority="17932">
      <formula>IF(VLOOKUP($EU$3,requiredAttributePTDMap,MATCH($A4,attributeMapFeedProductType,0)+1,FALSE)&gt;0,1,0)</formula>
    </cfRule>
    <cfRule type="expression" dxfId="1" priority="17933">
      <formula>IF(VLOOKUP($EU$3,optionalAttributePTDMap,MATCH($A4,attributeMapFeedProductType,0)+1,FALSE)&gt;0,1,0)</formula>
    </cfRule>
    <cfRule type="expression" dxfId="2" priority="17934">
      <formula>IF(VLOOKUP($EU$3,preferredAttributePTDMap,MATCH($A4,attributeMapFeedProductType,0)+1,FALSE)&gt;0,1,0)</formula>
    </cfRule>
    <cfRule type="expression" dxfId="3" priority="17935">
      <formula>AND(IF(IFERROR(VLOOKUP($EU$3,requiredAttributePTDMap,MATCH($A4,attributeMapFeedProductType,0)+1,FALSE),0)&gt;0,0,1),IF(IFERROR(VLOOKUP($EU$3,optionalAttributePTDMap,MATCH($A4,attributeMapFeedProductType,0)+1,FALSE),0)&gt;0,0,1),IF(IFERROR(VLOOKUP($EU$3,preferredAttributePTDMap,MATCH($A4,attributeMapFeedProductType,0)+1,FALSE),0)&gt;0,0,1),IF(IFERROR(MATCH($A4,attributeMapFeedProductType,0),0)&gt;0,1,0))</formula>
    </cfRule>
  </conditionalFormatting>
  <conditionalFormatting sqref="EV4 EV8:EV1048576">
    <cfRule type="expression" dxfId="0" priority="17937">
      <formula>IF(VLOOKUP($EV$3,requiredAttributePTDMap,MATCH($A4,attributeMapFeedProductType,0)+1,FALSE)&gt;0,1,0)</formula>
    </cfRule>
    <cfRule type="expression" dxfId="1" priority="17938">
      <formula>IF(VLOOKUP($EV$3,optionalAttributePTDMap,MATCH($A4,attributeMapFeedProductType,0)+1,FALSE)&gt;0,1,0)</formula>
    </cfRule>
    <cfRule type="expression" dxfId="2" priority="17939">
      <formula>IF(VLOOKUP($EV$3,preferredAttributePTDMap,MATCH($A4,attributeMapFeedProductType,0)+1,FALSE)&gt;0,1,0)</formula>
    </cfRule>
    <cfRule type="expression" dxfId="3" priority="17940">
      <formula>AND(IF(IFERROR(VLOOKUP($EV$3,requiredAttributePTDMap,MATCH($A4,attributeMapFeedProductType,0)+1,FALSE),0)&gt;0,0,1),IF(IFERROR(VLOOKUP($EV$3,optionalAttributePTDMap,MATCH($A4,attributeMapFeedProductType,0)+1,FALSE),0)&gt;0,0,1),IF(IFERROR(VLOOKUP($EV$3,preferredAttributePTDMap,MATCH($A4,attributeMapFeedProductType,0)+1,FALSE),0)&gt;0,0,1),IF(IFERROR(MATCH($A4,attributeMapFeedProductType,0),0)&gt;0,1,0))</formula>
    </cfRule>
  </conditionalFormatting>
  <conditionalFormatting sqref="EW4 EW8:EW1048576">
    <cfRule type="expression" dxfId="0" priority="17942">
      <formula>IF(VLOOKUP($EW$3,requiredAttributePTDMap,MATCH($A4,attributeMapFeedProductType,0)+1,FALSE)&gt;0,1,0)</formula>
    </cfRule>
    <cfRule type="expression" dxfId="1" priority="17943">
      <formula>IF(VLOOKUP($EW$3,optionalAttributePTDMap,MATCH($A4,attributeMapFeedProductType,0)+1,FALSE)&gt;0,1,0)</formula>
    </cfRule>
    <cfRule type="expression" dxfId="2" priority="17944">
      <formula>IF(VLOOKUP($EW$3,preferredAttributePTDMap,MATCH($A4,attributeMapFeedProductType,0)+1,FALSE)&gt;0,1,0)</formula>
    </cfRule>
    <cfRule type="expression" dxfId="3" priority="17945">
      <formula>AND(IF(IFERROR(VLOOKUP($EW$3,requiredAttributePTDMap,MATCH($A4,attributeMapFeedProductType,0)+1,FALSE),0)&gt;0,0,1),IF(IFERROR(VLOOKUP($EW$3,optionalAttributePTDMap,MATCH($A4,attributeMapFeedProductType,0)+1,FALSE),0)&gt;0,0,1),IF(IFERROR(VLOOKUP($EW$3,preferredAttributePTDMap,MATCH($A4,attributeMapFeedProductType,0)+1,FALSE),0)&gt;0,0,1),IF(IFERROR(MATCH($A4,attributeMapFeedProductType,0),0)&gt;0,1,0))</formula>
    </cfRule>
  </conditionalFormatting>
  <conditionalFormatting sqref="EX4 EX8:EX1048576">
    <cfRule type="expression" dxfId="0" priority="17947">
      <formula>IF(VLOOKUP($EX$3,requiredAttributePTDMap,MATCH($A4,attributeMapFeedProductType,0)+1,FALSE)&gt;0,1,0)</formula>
    </cfRule>
    <cfRule type="expression" dxfId="1" priority="17948">
      <formula>IF(VLOOKUP($EX$3,optionalAttributePTDMap,MATCH($A4,attributeMapFeedProductType,0)+1,FALSE)&gt;0,1,0)</formula>
    </cfRule>
    <cfRule type="expression" dxfId="2" priority="17949">
      <formula>IF(VLOOKUP($EX$3,preferredAttributePTDMap,MATCH($A4,attributeMapFeedProductType,0)+1,FALSE)&gt;0,1,0)</formula>
    </cfRule>
    <cfRule type="expression" dxfId="3" priority="17950">
      <formula>AND(IF(IFERROR(VLOOKUP($EX$3,requiredAttributePTDMap,MATCH($A4,attributeMapFeedProductType,0)+1,FALSE),0)&gt;0,0,1),IF(IFERROR(VLOOKUP($EX$3,optionalAttributePTDMap,MATCH($A4,attributeMapFeedProductType,0)+1,FALSE),0)&gt;0,0,1),IF(IFERROR(VLOOKUP($EX$3,preferredAttributePTDMap,MATCH($A4,attributeMapFeedProductType,0)+1,FALSE),0)&gt;0,0,1),IF(IFERROR(MATCH($A4,attributeMapFeedProductType,0),0)&gt;0,1,0))</formula>
    </cfRule>
  </conditionalFormatting>
  <conditionalFormatting sqref="EY4 EY8:EY1048576">
    <cfRule type="expression" dxfId="0" priority="17952">
      <formula>IF(VLOOKUP($EY$3,requiredAttributePTDMap,MATCH($A4,attributeMapFeedProductType,0)+1,FALSE)&gt;0,1,0)</formula>
    </cfRule>
    <cfRule type="expression" dxfId="1" priority="17953">
      <formula>IF(VLOOKUP($EY$3,optionalAttributePTDMap,MATCH($A4,attributeMapFeedProductType,0)+1,FALSE)&gt;0,1,0)</formula>
    </cfRule>
    <cfRule type="expression" dxfId="2" priority="17954">
      <formula>IF(VLOOKUP($EY$3,preferredAttributePTDMap,MATCH($A4,attributeMapFeedProductType,0)+1,FALSE)&gt;0,1,0)</formula>
    </cfRule>
    <cfRule type="expression" dxfId="3" priority="17955">
      <formula>AND(IF(IFERROR(VLOOKUP($EY$3,requiredAttributePTDMap,MATCH($A4,attributeMapFeedProductType,0)+1,FALSE),0)&gt;0,0,1),IF(IFERROR(VLOOKUP($EY$3,optionalAttributePTDMap,MATCH($A4,attributeMapFeedProductType,0)+1,FALSE),0)&gt;0,0,1),IF(IFERROR(VLOOKUP($EY$3,preferredAttributePTDMap,MATCH($A4,attributeMapFeedProductType,0)+1,FALSE),0)&gt;0,0,1),IF(IFERROR(MATCH($A4,attributeMapFeedProductType,0),0)&gt;0,1,0))</formula>
    </cfRule>
  </conditionalFormatting>
  <conditionalFormatting sqref="EZ4 EZ8:EZ1048576">
    <cfRule type="expression" dxfId="0" priority="17957">
      <formula>IF(VLOOKUP($EZ$3,requiredAttributePTDMap,MATCH($A4,attributeMapFeedProductType,0)+1,FALSE)&gt;0,1,0)</formula>
    </cfRule>
    <cfRule type="expression" dxfId="1" priority="17958">
      <formula>IF(VLOOKUP($EZ$3,optionalAttributePTDMap,MATCH($A4,attributeMapFeedProductType,0)+1,FALSE)&gt;0,1,0)</formula>
    </cfRule>
    <cfRule type="expression" dxfId="2" priority="17959">
      <formula>IF(VLOOKUP($EZ$3,preferredAttributePTDMap,MATCH($A4,attributeMapFeedProductType,0)+1,FALSE)&gt;0,1,0)</formula>
    </cfRule>
    <cfRule type="expression" dxfId="3" priority="17960">
      <formula>AND(IF(IFERROR(VLOOKUP($EZ$3,requiredAttributePTDMap,MATCH($A4,attributeMapFeedProductType,0)+1,FALSE),0)&gt;0,0,1),IF(IFERROR(VLOOKUP($EZ$3,optionalAttributePTDMap,MATCH($A4,attributeMapFeedProductType,0)+1,FALSE),0)&gt;0,0,1),IF(IFERROR(VLOOKUP($EZ$3,preferredAttributePTDMap,MATCH($A4,attributeMapFeedProductType,0)+1,FALSE),0)&gt;0,0,1),IF(IFERROR(MATCH($A4,attributeMapFeedProductType,0),0)&gt;0,1,0))</formula>
    </cfRule>
  </conditionalFormatting>
  <conditionalFormatting sqref="FA4 FA8:FA1048576">
    <cfRule type="expression" dxfId="0" priority="17962">
      <formula>IF(VLOOKUP($FA$3,requiredAttributePTDMap,MATCH($A4,attributeMapFeedProductType,0)+1,FALSE)&gt;0,1,0)</formula>
    </cfRule>
    <cfRule type="expression" dxfId="1" priority="17963">
      <formula>IF(VLOOKUP($FA$3,optionalAttributePTDMap,MATCH($A4,attributeMapFeedProductType,0)+1,FALSE)&gt;0,1,0)</formula>
    </cfRule>
    <cfRule type="expression" dxfId="2" priority="17964">
      <formula>IF(VLOOKUP($FA$3,preferredAttributePTDMap,MATCH($A4,attributeMapFeedProductType,0)+1,FALSE)&gt;0,1,0)</formula>
    </cfRule>
    <cfRule type="expression" dxfId="3" priority="17965">
      <formula>AND(IF(IFERROR(VLOOKUP($FA$3,requiredAttributePTDMap,MATCH($A4,attributeMapFeedProductType,0)+1,FALSE),0)&gt;0,0,1),IF(IFERROR(VLOOKUP($FA$3,optionalAttributePTDMap,MATCH($A4,attributeMapFeedProductType,0)+1,FALSE),0)&gt;0,0,1),IF(IFERROR(VLOOKUP($FA$3,preferredAttributePTDMap,MATCH($A4,attributeMapFeedProductType,0)+1,FALSE),0)&gt;0,0,1),IF(IFERROR(MATCH($A4,attributeMapFeedProductType,0),0)&gt;0,1,0))</formula>
    </cfRule>
  </conditionalFormatting>
  <conditionalFormatting sqref="FB4 FB8:FB1048576">
    <cfRule type="expression" dxfId="0" priority="17967">
      <formula>IF(VLOOKUP($FB$3,requiredAttributePTDMap,MATCH($A4,attributeMapFeedProductType,0)+1,FALSE)&gt;0,1,0)</formula>
    </cfRule>
    <cfRule type="expression" dxfId="1" priority="17968">
      <formula>IF(VLOOKUP($FB$3,optionalAttributePTDMap,MATCH($A4,attributeMapFeedProductType,0)+1,FALSE)&gt;0,1,0)</formula>
    </cfRule>
    <cfRule type="expression" dxfId="2" priority="17969">
      <formula>IF(VLOOKUP($FB$3,preferredAttributePTDMap,MATCH($A4,attributeMapFeedProductType,0)+1,FALSE)&gt;0,1,0)</formula>
    </cfRule>
    <cfRule type="expression" dxfId="3" priority="17970">
      <formula>AND(IF(IFERROR(VLOOKUP($FB$3,requiredAttributePTDMap,MATCH($A4,attributeMapFeedProductType,0)+1,FALSE),0)&gt;0,0,1),IF(IFERROR(VLOOKUP($FB$3,optionalAttributePTDMap,MATCH($A4,attributeMapFeedProductType,0)+1,FALSE),0)&gt;0,0,1),IF(IFERROR(VLOOKUP($FB$3,preferredAttributePTDMap,MATCH($A4,attributeMapFeedProductType,0)+1,FALSE),0)&gt;0,0,1),IF(IFERROR(MATCH($A4,attributeMapFeedProductType,0),0)&gt;0,1,0))</formula>
    </cfRule>
  </conditionalFormatting>
  <conditionalFormatting sqref="FC4 FC8:FC1048576">
    <cfRule type="expression" dxfId="0" priority="17972">
      <formula>IF(VLOOKUP($FC$3,requiredAttributePTDMap,MATCH($A4,attributeMapFeedProductType,0)+1,FALSE)&gt;0,1,0)</formula>
    </cfRule>
    <cfRule type="expression" dxfId="1" priority="17973">
      <formula>IF(VLOOKUP($FC$3,optionalAttributePTDMap,MATCH($A4,attributeMapFeedProductType,0)+1,FALSE)&gt;0,1,0)</formula>
    </cfRule>
    <cfRule type="expression" dxfId="2" priority="17974">
      <formula>IF(VLOOKUP($FC$3,preferredAttributePTDMap,MATCH($A4,attributeMapFeedProductType,0)+1,FALSE)&gt;0,1,0)</formula>
    </cfRule>
    <cfRule type="expression" dxfId="3" priority="17975">
      <formula>AND(IF(IFERROR(VLOOKUP($FC$3,requiredAttributePTDMap,MATCH($A4,attributeMapFeedProductType,0)+1,FALSE),0)&gt;0,0,1),IF(IFERROR(VLOOKUP($FC$3,optionalAttributePTDMap,MATCH($A4,attributeMapFeedProductType,0)+1,FALSE),0)&gt;0,0,1),IF(IFERROR(VLOOKUP($FC$3,preferredAttributePTDMap,MATCH($A4,attributeMapFeedProductType,0)+1,FALSE),0)&gt;0,0,1),IF(IFERROR(MATCH($A4,attributeMapFeedProductType,0),0)&gt;0,1,0))</formula>
    </cfRule>
  </conditionalFormatting>
  <conditionalFormatting sqref="FD4 FD8:FD1048576">
    <cfRule type="expression" dxfId="0" priority="17977">
      <formula>IF(VLOOKUP($FD$3,requiredAttributePTDMap,MATCH($A4,attributeMapFeedProductType,0)+1,FALSE)&gt;0,1,0)</formula>
    </cfRule>
    <cfRule type="expression" dxfId="1" priority="17978">
      <formula>IF(VLOOKUP($FD$3,optionalAttributePTDMap,MATCH($A4,attributeMapFeedProductType,0)+1,FALSE)&gt;0,1,0)</formula>
    </cfRule>
    <cfRule type="expression" dxfId="2" priority="17979">
      <formula>IF(VLOOKUP($FD$3,preferredAttributePTDMap,MATCH($A4,attributeMapFeedProductType,0)+1,FALSE)&gt;0,1,0)</formula>
    </cfRule>
    <cfRule type="expression" dxfId="3" priority="17980">
      <formula>AND(IF(IFERROR(VLOOKUP($FD$3,requiredAttributePTDMap,MATCH($A4,attributeMapFeedProductType,0)+1,FALSE),0)&gt;0,0,1),IF(IFERROR(VLOOKUP($FD$3,optionalAttributePTDMap,MATCH($A4,attributeMapFeedProductType,0)+1,FALSE),0)&gt;0,0,1),IF(IFERROR(VLOOKUP($FD$3,preferredAttributePTDMap,MATCH($A4,attributeMapFeedProductType,0)+1,FALSE),0)&gt;0,0,1),IF(IFERROR(MATCH($A4,attributeMapFeedProductType,0),0)&gt;0,1,0))</formula>
    </cfRule>
  </conditionalFormatting>
  <conditionalFormatting sqref="FE4 FE8:FE1048576">
    <cfRule type="expression" dxfId="0" priority="17982">
      <formula>IF(VLOOKUP($FE$3,requiredAttributePTDMap,MATCH($A4,attributeMapFeedProductType,0)+1,FALSE)&gt;0,1,0)</formula>
    </cfRule>
    <cfRule type="expression" dxfId="1" priority="17983">
      <formula>IF(VLOOKUP($FE$3,optionalAttributePTDMap,MATCH($A4,attributeMapFeedProductType,0)+1,FALSE)&gt;0,1,0)</formula>
    </cfRule>
    <cfRule type="expression" dxfId="2" priority="17984">
      <formula>IF(VLOOKUP($FE$3,preferredAttributePTDMap,MATCH($A4,attributeMapFeedProductType,0)+1,FALSE)&gt;0,1,0)</formula>
    </cfRule>
    <cfRule type="expression" dxfId="3" priority="17985">
      <formula>AND(IF(IFERROR(VLOOKUP($FE$3,requiredAttributePTDMap,MATCH($A4,attributeMapFeedProductType,0)+1,FALSE),0)&gt;0,0,1),IF(IFERROR(VLOOKUP($FE$3,optionalAttributePTDMap,MATCH($A4,attributeMapFeedProductType,0)+1,FALSE),0)&gt;0,0,1),IF(IFERROR(VLOOKUP($FE$3,preferredAttributePTDMap,MATCH($A4,attributeMapFeedProductType,0)+1,FALSE),0)&gt;0,0,1),IF(IFERROR(MATCH($A4,attributeMapFeedProductType,0),0)&gt;0,1,0))</formula>
    </cfRule>
  </conditionalFormatting>
  <conditionalFormatting sqref="FF4 FF8:FF1048576">
    <cfRule type="expression" dxfId="0" priority="17987">
      <formula>IF(VLOOKUP($FF$3,requiredAttributePTDMap,MATCH($A4,attributeMapFeedProductType,0)+1,FALSE)&gt;0,1,0)</formula>
    </cfRule>
    <cfRule type="expression" dxfId="1" priority="17988">
      <formula>IF(VLOOKUP($FF$3,optionalAttributePTDMap,MATCH($A4,attributeMapFeedProductType,0)+1,FALSE)&gt;0,1,0)</formula>
    </cfRule>
    <cfRule type="expression" dxfId="2" priority="17989">
      <formula>IF(VLOOKUP($FF$3,preferredAttributePTDMap,MATCH($A4,attributeMapFeedProductType,0)+1,FALSE)&gt;0,1,0)</formula>
    </cfRule>
    <cfRule type="expression" dxfId="3" priority="17990">
      <formula>AND(IF(IFERROR(VLOOKUP($FF$3,requiredAttributePTDMap,MATCH($A4,attributeMapFeedProductType,0)+1,FALSE),0)&gt;0,0,1),IF(IFERROR(VLOOKUP($FF$3,optionalAttributePTDMap,MATCH($A4,attributeMapFeedProductType,0)+1,FALSE),0)&gt;0,0,1),IF(IFERROR(VLOOKUP($FF$3,preferredAttributePTDMap,MATCH($A4,attributeMapFeedProductType,0)+1,FALSE),0)&gt;0,0,1),IF(IFERROR(MATCH($A4,attributeMapFeedProductType,0),0)&gt;0,1,0))</formula>
    </cfRule>
  </conditionalFormatting>
  <conditionalFormatting sqref="FG4 FG8:FG1048576">
    <cfRule type="expression" dxfId="0" priority="17992">
      <formula>IF(VLOOKUP($FG$3,requiredAttributePTDMap,MATCH($A4,attributeMapFeedProductType,0)+1,FALSE)&gt;0,1,0)</formula>
    </cfRule>
    <cfRule type="expression" dxfId="1" priority="17993">
      <formula>IF(VLOOKUP($FG$3,optionalAttributePTDMap,MATCH($A4,attributeMapFeedProductType,0)+1,FALSE)&gt;0,1,0)</formula>
    </cfRule>
    <cfRule type="expression" dxfId="2" priority="17994">
      <formula>IF(VLOOKUP($FG$3,preferredAttributePTDMap,MATCH($A4,attributeMapFeedProductType,0)+1,FALSE)&gt;0,1,0)</formula>
    </cfRule>
    <cfRule type="expression" dxfId="3" priority="17995">
      <formula>AND(IF(IFERROR(VLOOKUP($FG$3,requiredAttributePTDMap,MATCH($A4,attributeMapFeedProductType,0)+1,FALSE),0)&gt;0,0,1),IF(IFERROR(VLOOKUP($FG$3,optionalAttributePTDMap,MATCH($A4,attributeMapFeedProductType,0)+1,FALSE),0)&gt;0,0,1),IF(IFERROR(VLOOKUP($FG$3,preferredAttributePTDMap,MATCH($A4,attributeMapFeedProductType,0)+1,FALSE),0)&gt;0,0,1),IF(IFERROR(MATCH($A4,attributeMapFeedProductType,0),0)&gt;0,1,0))</formula>
    </cfRule>
  </conditionalFormatting>
  <conditionalFormatting sqref="FH4 FH8:FH1048576">
    <cfRule type="expression" dxfId="0" priority="17997">
      <formula>IF(VLOOKUP($FH$3,requiredAttributePTDMap,MATCH($A4,attributeMapFeedProductType,0)+1,FALSE)&gt;0,1,0)</formula>
    </cfRule>
    <cfRule type="expression" dxfId="1" priority="17998">
      <formula>IF(VLOOKUP($FH$3,optionalAttributePTDMap,MATCH($A4,attributeMapFeedProductType,0)+1,FALSE)&gt;0,1,0)</formula>
    </cfRule>
    <cfRule type="expression" dxfId="2" priority="17999">
      <formula>IF(VLOOKUP($FH$3,preferredAttributePTDMap,MATCH($A4,attributeMapFeedProductType,0)+1,FALSE)&gt;0,1,0)</formula>
    </cfRule>
    <cfRule type="expression" dxfId="3" priority="18000">
      <formula>AND(IF(IFERROR(VLOOKUP($FH$3,requiredAttributePTDMap,MATCH($A4,attributeMapFeedProductType,0)+1,FALSE),0)&gt;0,0,1),IF(IFERROR(VLOOKUP($FH$3,optionalAttributePTDMap,MATCH($A4,attributeMapFeedProductType,0)+1,FALSE),0)&gt;0,0,1),IF(IFERROR(VLOOKUP($FH$3,preferredAttributePTDMap,MATCH($A4,attributeMapFeedProductType,0)+1,FALSE),0)&gt;0,0,1),IF(IFERROR(MATCH($A4,attributeMapFeedProductType,0),0)&gt;0,1,0))</formula>
    </cfRule>
  </conditionalFormatting>
  <conditionalFormatting sqref="FI4 FI8:FI1048576">
    <cfRule type="expression" dxfId="0" priority="18002">
      <formula>IF(VLOOKUP($FI$3,requiredAttributePTDMap,MATCH($A4,attributeMapFeedProductType,0)+1,FALSE)&gt;0,1,0)</formula>
    </cfRule>
    <cfRule type="expression" dxfId="1" priority="18003">
      <formula>IF(VLOOKUP($FI$3,optionalAttributePTDMap,MATCH($A4,attributeMapFeedProductType,0)+1,FALSE)&gt;0,1,0)</formula>
    </cfRule>
    <cfRule type="expression" dxfId="2" priority="18004">
      <formula>IF(VLOOKUP($FI$3,preferredAttributePTDMap,MATCH($A4,attributeMapFeedProductType,0)+1,FALSE)&gt;0,1,0)</formula>
    </cfRule>
    <cfRule type="expression" dxfId="3" priority="18005">
      <formula>AND(IF(IFERROR(VLOOKUP($FI$3,requiredAttributePTDMap,MATCH($A4,attributeMapFeedProductType,0)+1,FALSE),0)&gt;0,0,1),IF(IFERROR(VLOOKUP($FI$3,optionalAttributePTDMap,MATCH($A4,attributeMapFeedProductType,0)+1,FALSE),0)&gt;0,0,1),IF(IFERROR(VLOOKUP($FI$3,preferredAttributePTDMap,MATCH($A4,attributeMapFeedProductType,0)+1,FALSE),0)&gt;0,0,1),IF(IFERROR(MATCH($A4,attributeMapFeedProductType,0),0)&gt;0,1,0))</formula>
    </cfRule>
  </conditionalFormatting>
  <conditionalFormatting sqref="FK4 FK8:FK1048576">
    <cfRule type="expression" dxfId="0" priority="18012">
      <formula>IF(VLOOKUP($FK$3,requiredAttributePTDMap,MATCH($A4,attributeMapFeedProductType,0)+1,FALSE)&gt;0,1,0)</formula>
    </cfRule>
    <cfRule type="expression" dxfId="1" priority="18013">
      <formula>IF(VLOOKUP($FK$3,optionalAttributePTDMap,MATCH($A4,attributeMapFeedProductType,0)+1,FALSE)&gt;0,1,0)</formula>
    </cfRule>
    <cfRule type="expression" dxfId="2" priority="18014">
      <formula>IF(VLOOKUP($FK$3,preferredAttributePTDMap,MATCH($A4,attributeMapFeedProductType,0)+1,FALSE)&gt;0,1,0)</formula>
    </cfRule>
    <cfRule type="expression" dxfId="3" priority="18015">
      <formula>AND(IF(IFERROR(VLOOKUP($FK$3,requiredAttributePTDMap,MATCH($A4,attributeMapFeedProductType,0)+1,FALSE),0)&gt;0,0,1),IF(IFERROR(VLOOKUP($FK$3,optionalAttributePTDMap,MATCH($A4,attributeMapFeedProductType,0)+1,FALSE),0)&gt;0,0,1),IF(IFERROR(VLOOKUP($FK$3,preferredAttributePTDMap,MATCH($A4,attributeMapFeedProductType,0)+1,FALSE),0)&gt;0,0,1),IF(IFERROR(MATCH($A4,attributeMapFeedProductType,0),0)&gt;0,1,0))</formula>
    </cfRule>
  </conditionalFormatting>
  <conditionalFormatting sqref="FL4 FL8:FL1048576">
    <cfRule type="expression" dxfId="0" priority="18017">
      <formula>IF(VLOOKUP($FL$3,requiredAttributePTDMap,MATCH($A4,attributeMapFeedProductType,0)+1,FALSE)&gt;0,1,0)</formula>
    </cfRule>
    <cfRule type="expression" dxfId="1" priority="18018">
      <formula>IF(VLOOKUP($FL$3,optionalAttributePTDMap,MATCH($A4,attributeMapFeedProductType,0)+1,FALSE)&gt;0,1,0)</formula>
    </cfRule>
    <cfRule type="expression" dxfId="2" priority="18019">
      <formula>IF(VLOOKUP($FL$3,preferredAttributePTDMap,MATCH($A4,attributeMapFeedProductType,0)+1,FALSE)&gt;0,1,0)</formula>
    </cfRule>
    <cfRule type="expression" dxfId="3" priority="18020">
      <formula>AND(IF(IFERROR(VLOOKUP($FL$3,requiredAttributePTDMap,MATCH($A4,attributeMapFeedProductType,0)+1,FALSE),0)&gt;0,0,1),IF(IFERROR(VLOOKUP($FL$3,optionalAttributePTDMap,MATCH($A4,attributeMapFeedProductType,0)+1,FALSE),0)&gt;0,0,1),IF(IFERROR(VLOOKUP($FL$3,preferredAttributePTDMap,MATCH($A4,attributeMapFeedProductType,0)+1,FALSE),0)&gt;0,0,1),IF(IFERROR(MATCH($A4,attributeMapFeedProductType,0),0)&gt;0,1,0))</formula>
    </cfRule>
  </conditionalFormatting>
  <conditionalFormatting sqref="FM4 FM8:FM1048576">
    <cfRule type="expression" dxfId="0" priority="18022">
      <formula>IF(VLOOKUP($FM$3,requiredAttributePTDMap,MATCH($A4,attributeMapFeedProductType,0)+1,FALSE)&gt;0,1,0)</formula>
    </cfRule>
    <cfRule type="expression" dxfId="1" priority="18023">
      <formula>IF(VLOOKUP($FM$3,optionalAttributePTDMap,MATCH($A4,attributeMapFeedProductType,0)+1,FALSE)&gt;0,1,0)</formula>
    </cfRule>
    <cfRule type="expression" dxfId="2" priority="18024">
      <formula>IF(VLOOKUP($FM$3,preferredAttributePTDMap,MATCH($A4,attributeMapFeedProductType,0)+1,FALSE)&gt;0,1,0)</formula>
    </cfRule>
    <cfRule type="expression" dxfId="3" priority="18025">
      <formula>AND(IF(IFERROR(VLOOKUP($FM$3,requiredAttributePTDMap,MATCH($A4,attributeMapFeedProductType,0)+1,FALSE),0)&gt;0,0,1),IF(IFERROR(VLOOKUP($FM$3,optionalAttributePTDMap,MATCH($A4,attributeMapFeedProductType,0)+1,FALSE),0)&gt;0,0,1),IF(IFERROR(VLOOKUP($FM$3,preferredAttributePTDMap,MATCH($A4,attributeMapFeedProductType,0)+1,FALSE),0)&gt;0,0,1),IF(IFERROR(MATCH($A4,attributeMapFeedProductType,0),0)&gt;0,1,0))</formula>
    </cfRule>
  </conditionalFormatting>
  <conditionalFormatting sqref="FN4 FN8:FN1048576">
    <cfRule type="expression" dxfId="0" priority="18027">
      <formula>IF(VLOOKUP($FN$3,requiredAttributePTDMap,MATCH($A4,attributeMapFeedProductType,0)+1,FALSE)&gt;0,1,0)</formula>
    </cfRule>
    <cfRule type="expression" dxfId="1" priority="18028">
      <formula>IF(VLOOKUP($FN$3,optionalAttributePTDMap,MATCH($A4,attributeMapFeedProductType,0)+1,FALSE)&gt;0,1,0)</formula>
    </cfRule>
    <cfRule type="expression" dxfId="2" priority="18029">
      <formula>IF(VLOOKUP($FN$3,preferredAttributePTDMap,MATCH($A4,attributeMapFeedProductType,0)+1,FALSE)&gt;0,1,0)</formula>
    </cfRule>
    <cfRule type="expression" dxfId="3" priority="18030">
      <formula>AND(IF(IFERROR(VLOOKUP($FN$3,requiredAttributePTDMap,MATCH($A4,attributeMapFeedProductType,0)+1,FALSE),0)&gt;0,0,1),IF(IFERROR(VLOOKUP($FN$3,optionalAttributePTDMap,MATCH($A4,attributeMapFeedProductType,0)+1,FALSE),0)&gt;0,0,1),IF(IFERROR(VLOOKUP($FN$3,preferredAttributePTDMap,MATCH($A4,attributeMapFeedProductType,0)+1,FALSE),0)&gt;0,0,1),IF(IFERROR(MATCH($A4,attributeMapFeedProductType,0),0)&gt;0,1,0))</formula>
    </cfRule>
  </conditionalFormatting>
  <conditionalFormatting sqref="FO4 FO8:FO1048576">
    <cfRule type="expression" dxfId="0" priority="18032">
      <formula>IF(VLOOKUP($FO$3,requiredAttributePTDMap,MATCH($A4,attributeMapFeedProductType,0)+1,FALSE)&gt;0,1,0)</formula>
    </cfRule>
    <cfRule type="expression" dxfId="1" priority="18033">
      <formula>IF(VLOOKUP($FO$3,optionalAttributePTDMap,MATCH($A4,attributeMapFeedProductType,0)+1,FALSE)&gt;0,1,0)</formula>
    </cfRule>
    <cfRule type="expression" dxfId="2" priority="18034">
      <formula>IF(VLOOKUP($FO$3,preferredAttributePTDMap,MATCH($A4,attributeMapFeedProductType,0)+1,FALSE)&gt;0,1,0)</formula>
    </cfRule>
    <cfRule type="expression" dxfId="3" priority="18035">
      <formula>AND(IF(IFERROR(VLOOKUP($FO$3,requiredAttributePTDMap,MATCH($A4,attributeMapFeedProductType,0)+1,FALSE),0)&gt;0,0,1),IF(IFERROR(VLOOKUP($FO$3,optionalAttributePTDMap,MATCH($A4,attributeMapFeedProductType,0)+1,FALSE),0)&gt;0,0,1),IF(IFERROR(VLOOKUP($FO$3,preferredAttributePTDMap,MATCH($A4,attributeMapFeedProductType,0)+1,FALSE),0)&gt;0,0,1),IF(IFERROR(MATCH($A4,attributeMapFeedProductType,0),0)&gt;0,1,0))</formula>
    </cfRule>
  </conditionalFormatting>
  <conditionalFormatting sqref="FP4 FP8:FP1048576">
    <cfRule type="expression" dxfId="0" priority="18037">
      <formula>IF(VLOOKUP($FP$3,requiredAttributePTDMap,MATCH($A4,attributeMapFeedProductType,0)+1,FALSE)&gt;0,1,0)</formula>
    </cfRule>
    <cfRule type="expression" dxfId="1" priority="18038">
      <formula>IF(VLOOKUP($FP$3,optionalAttributePTDMap,MATCH($A4,attributeMapFeedProductType,0)+1,FALSE)&gt;0,1,0)</formula>
    </cfRule>
    <cfRule type="expression" dxfId="2" priority="18039">
      <formula>IF(VLOOKUP($FP$3,preferredAttributePTDMap,MATCH($A4,attributeMapFeedProductType,0)+1,FALSE)&gt;0,1,0)</formula>
    </cfRule>
    <cfRule type="expression" dxfId="3" priority="18040">
      <formula>AND(IF(IFERROR(VLOOKUP($FP$3,requiredAttributePTDMap,MATCH($A4,attributeMapFeedProductType,0)+1,FALSE),0)&gt;0,0,1),IF(IFERROR(VLOOKUP($FP$3,optionalAttributePTDMap,MATCH($A4,attributeMapFeedProductType,0)+1,FALSE),0)&gt;0,0,1),IF(IFERROR(VLOOKUP($FP$3,preferredAttributePTDMap,MATCH($A4,attributeMapFeedProductType,0)+1,FALSE),0)&gt;0,0,1),IF(IFERROR(MATCH($A4,attributeMapFeedProductType,0),0)&gt;0,1,0))</formula>
    </cfRule>
  </conditionalFormatting>
  <conditionalFormatting sqref="FQ4 FQ8:FQ1048576">
    <cfRule type="expression" dxfId="0" priority="18042">
      <formula>IF(VLOOKUP($FQ$3,requiredAttributePTDMap,MATCH($A4,attributeMapFeedProductType,0)+1,FALSE)&gt;0,1,0)</formula>
    </cfRule>
    <cfRule type="expression" dxfId="1" priority="18043">
      <formula>IF(VLOOKUP($FQ$3,optionalAttributePTDMap,MATCH($A4,attributeMapFeedProductType,0)+1,FALSE)&gt;0,1,0)</formula>
    </cfRule>
    <cfRule type="expression" dxfId="2" priority="18044">
      <formula>IF(VLOOKUP($FQ$3,preferredAttributePTDMap,MATCH($A4,attributeMapFeedProductType,0)+1,FALSE)&gt;0,1,0)</formula>
    </cfRule>
    <cfRule type="expression" dxfId="3" priority="18045">
      <formula>AND(IF(IFERROR(VLOOKUP($FQ$3,requiredAttributePTDMap,MATCH($A4,attributeMapFeedProductType,0)+1,FALSE),0)&gt;0,0,1),IF(IFERROR(VLOOKUP($FQ$3,optionalAttributePTDMap,MATCH($A4,attributeMapFeedProductType,0)+1,FALSE),0)&gt;0,0,1),IF(IFERROR(VLOOKUP($FQ$3,preferredAttributePTDMap,MATCH($A4,attributeMapFeedProductType,0)+1,FALSE),0)&gt;0,0,1),IF(IFERROR(MATCH($A4,attributeMapFeedProductType,0),0)&gt;0,1,0))</formula>
    </cfRule>
  </conditionalFormatting>
  <conditionalFormatting sqref="FR4 FR8:FR1048576">
    <cfRule type="expression" dxfId="0" priority="18047">
      <formula>IF(VLOOKUP($FR$3,requiredAttributePTDMap,MATCH($A4,attributeMapFeedProductType,0)+1,FALSE)&gt;0,1,0)</formula>
    </cfRule>
    <cfRule type="expression" dxfId="1" priority="18048">
      <formula>IF(VLOOKUP($FR$3,optionalAttributePTDMap,MATCH($A4,attributeMapFeedProductType,0)+1,FALSE)&gt;0,1,0)</formula>
    </cfRule>
    <cfRule type="expression" dxfId="2" priority="18049">
      <formula>IF(VLOOKUP($FR$3,preferredAttributePTDMap,MATCH($A4,attributeMapFeedProductType,0)+1,FALSE)&gt;0,1,0)</formula>
    </cfRule>
    <cfRule type="expression" dxfId="3" priority="18050">
      <formula>AND(IF(IFERROR(VLOOKUP($FR$3,requiredAttributePTDMap,MATCH($A4,attributeMapFeedProductType,0)+1,FALSE),0)&gt;0,0,1),IF(IFERROR(VLOOKUP($FR$3,optionalAttributePTDMap,MATCH($A4,attributeMapFeedProductType,0)+1,FALSE),0)&gt;0,0,1),IF(IFERROR(VLOOKUP($FR$3,preferredAttributePTDMap,MATCH($A4,attributeMapFeedProductType,0)+1,FALSE),0)&gt;0,0,1),IF(IFERROR(MATCH($A4,attributeMapFeedProductType,0),0)&gt;0,1,0))</formula>
    </cfRule>
  </conditionalFormatting>
  <conditionalFormatting sqref="FS4 FS8:FS1048576">
    <cfRule type="expression" dxfId="0" priority="18052">
      <formula>IF(VLOOKUP($FS$3,requiredAttributePTDMap,MATCH($A4,attributeMapFeedProductType,0)+1,FALSE)&gt;0,1,0)</formula>
    </cfRule>
    <cfRule type="expression" dxfId="1" priority="18053">
      <formula>IF(VLOOKUP($FS$3,optionalAttributePTDMap,MATCH($A4,attributeMapFeedProductType,0)+1,FALSE)&gt;0,1,0)</formula>
    </cfRule>
    <cfRule type="expression" dxfId="2" priority="18054">
      <formula>IF(VLOOKUP($FS$3,preferredAttributePTDMap,MATCH($A4,attributeMapFeedProductType,0)+1,FALSE)&gt;0,1,0)</formula>
    </cfRule>
    <cfRule type="expression" dxfId="3" priority="18055">
      <formula>AND(IF(IFERROR(VLOOKUP($FS$3,requiredAttributePTDMap,MATCH($A4,attributeMapFeedProductType,0)+1,FALSE),0)&gt;0,0,1),IF(IFERROR(VLOOKUP($FS$3,optionalAttributePTDMap,MATCH($A4,attributeMapFeedProductType,0)+1,FALSE),0)&gt;0,0,1),IF(IFERROR(VLOOKUP($FS$3,preferredAttributePTDMap,MATCH($A4,attributeMapFeedProductType,0)+1,FALSE),0)&gt;0,0,1),IF(IFERROR(MATCH($A4,attributeMapFeedProductType,0),0)&gt;0,1,0))</formula>
    </cfRule>
  </conditionalFormatting>
  <conditionalFormatting sqref="FT4 FT8:FT1048576">
    <cfRule type="expression" dxfId="0" priority="18057">
      <formula>IF(VLOOKUP($FT$3,requiredAttributePTDMap,MATCH($A4,attributeMapFeedProductType,0)+1,FALSE)&gt;0,1,0)</formula>
    </cfRule>
    <cfRule type="expression" dxfId="1" priority="18058">
      <formula>IF(VLOOKUP($FT$3,optionalAttributePTDMap,MATCH($A4,attributeMapFeedProductType,0)+1,FALSE)&gt;0,1,0)</formula>
    </cfRule>
    <cfRule type="expression" dxfId="2" priority="18059">
      <formula>IF(VLOOKUP($FT$3,preferredAttributePTDMap,MATCH($A4,attributeMapFeedProductType,0)+1,FALSE)&gt;0,1,0)</formula>
    </cfRule>
    <cfRule type="expression" dxfId="3" priority="18060">
      <formula>AND(IF(IFERROR(VLOOKUP($FT$3,requiredAttributePTDMap,MATCH($A4,attributeMapFeedProductType,0)+1,FALSE),0)&gt;0,0,1),IF(IFERROR(VLOOKUP($FT$3,optionalAttributePTDMap,MATCH($A4,attributeMapFeedProductType,0)+1,FALSE),0)&gt;0,0,1),IF(IFERROR(VLOOKUP($FT$3,preferredAttributePTDMap,MATCH($A4,attributeMapFeedProductType,0)+1,FALSE),0)&gt;0,0,1),IF(IFERROR(MATCH($A4,attributeMapFeedProductType,0),0)&gt;0,1,0))</formula>
    </cfRule>
  </conditionalFormatting>
  <conditionalFormatting sqref="FU4 FU8:FU1048576">
    <cfRule type="expression" dxfId="0" priority="18062">
      <formula>IF(VLOOKUP($FU$3,requiredAttributePTDMap,MATCH($A4,attributeMapFeedProductType,0)+1,FALSE)&gt;0,1,0)</formula>
    </cfRule>
    <cfRule type="expression" dxfId="1" priority="18063">
      <formula>IF(VLOOKUP($FU$3,optionalAttributePTDMap,MATCH($A4,attributeMapFeedProductType,0)+1,FALSE)&gt;0,1,0)</formula>
    </cfRule>
    <cfRule type="expression" dxfId="2" priority="18064">
      <formula>IF(VLOOKUP($FU$3,preferredAttributePTDMap,MATCH($A4,attributeMapFeedProductType,0)+1,FALSE)&gt;0,1,0)</formula>
    </cfRule>
    <cfRule type="expression" dxfId="3" priority="18065">
      <formula>AND(IF(IFERROR(VLOOKUP($FU$3,requiredAttributePTDMap,MATCH($A4,attributeMapFeedProductType,0)+1,FALSE),0)&gt;0,0,1),IF(IFERROR(VLOOKUP($FU$3,optionalAttributePTDMap,MATCH($A4,attributeMapFeedProductType,0)+1,FALSE),0)&gt;0,0,1),IF(IFERROR(VLOOKUP($FU$3,preferredAttributePTDMap,MATCH($A4,attributeMapFeedProductType,0)+1,FALSE),0)&gt;0,0,1),IF(IFERROR(MATCH($A4,attributeMapFeedProductType,0),0)&gt;0,1,0))</formula>
    </cfRule>
  </conditionalFormatting>
  <conditionalFormatting sqref="FV4 FV8:FV1048576">
    <cfRule type="expression" dxfId="0" priority="18067">
      <formula>IF(VLOOKUP($FV$3,requiredAttributePTDMap,MATCH($A4,attributeMapFeedProductType,0)+1,FALSE)&gt;0,1,0)</formula>
    </cfRule>
    <cfRule type="expression" dxfId="1" priority="18068">
      <formula>IF(VLOOKUP($FV$3,optionalAttributePTDMap,MATCH($A4,attributeMapFeedProductType,0)+1,FALSE)&gt;0,1,0)</formula>
    </cfRule>
    <cfRule type="expression" dxfId="2" priority="18069">
      <formula>IF(VLOOKUP($FV$3,preferredAttributePTDMap,MATCH($A4,attributeMapFeedProductType,0)+1,FALSE)&gt;0,1,0)</formula>
    </cfRule>
    <cfRule type="expression" dxfId="3" priority="18070">
      <formula>AND(IF(IFERROR(VLOOKUP($FV$3,requiredAttributePTDMap,MATCH($A4,attributeMapFeedProductType,0)+1,FALSE),0)&gt;0,0,1),IF(IFERROR(VLOOKUP($FV$3,optionalAttributePTDMap,MATCH($A4,attributeMapFeedProductType,0)+1,FALSE),0)&gt;0,0,1),IF(IFERROR(VLOOKUP($FV$3,preferredAttributePTDMap,MATCH($A4,attributeMapFeedProductType,0)+1,FALSE),0)&gt;0,0,1),IF(IFERROR(MATCH($A4,attributeMapFeedProductType,0),0)&gt;0,1,0))</formula>
    </cfRule>
  </conditionalFormatting>
  <conditionalFormatting sqref="FW4 FW8:FW1048576">
    <cfRule type="expression" dxfId="0" priority="18072">
      <formula>IF(VLOOKUP($FW$3,requiredAttributePTDMap,MATCH($A4,attributeMapFeedProductType,0)+1,FALSE)&gt;0,1,0)</formula>
    </cfRule>
    <cfRule type="expression" dxfId="1" priority="18073">
      <formula>IF(VLOOKUP($FW$3,optionalAttributePTDMap,MATCH($A4,attributeMapFeedProductType,0)+1,FALSE)&gt;0,1,0)</formula>
    </cfRule>
    <cfRule type="expression" dxfId="2" priority="18074">
      <formula>IF(VLOOKUP($FW$3,preferredAttributePTDMap,MATCH($A4,attributeMapFeedProductType,0)+1,FALSE)&gt;0,1,0)</formula>
    </cfRule>
    <cfRule type="expression" dxfId="3" priority="18075">
      <formula>AND(IF(IFERROR(VLOOKUP($FW$3,requiredAttributePTDMap,MATCH($A4,attributeMapFeedProductType,0)+1,FALSE),0)&gt;0,0,1),IF(IFERROR(VLOOKUP($FW$3,optionalAttributePTDMap,MATCH($A4,attributeMapFeedProductType,0)+1,FALSE),0)&gt;0,0,1),IF(IFERROR(VLOOKUP($FW$3,preferredAttributePTDMap,MATCH($A4,attributeMapFeedProductType,0)+1,FALSE),0)&gt;0,0,1),IF(IFERROR(MATCH($A4,attributeMapFeedProductType,0),0)&gt;0,1,0))</formula>
    </cfRule>
  </conditionalFormatting>
  <conditionalFormatting sqref="FX4 FX8:FX1048576">
    <cfRule type="expression" dxfId="0" priority="18077">
      <formula>IF(VLOOKUP($FX$3,requiredAttributePTDMap,MATCH($A4,attributeMapFeedProductType,0)+1,FALSE)&gt;0,1,0)</formula>
    </cfRule>
    <cfRule type="expression" dxfId="1" priority="18078">
      <formula>IF(VLOOKUP($FX$3,optionalAttributePTDMap,MATCH($A4,attributeMapFeedProductType,0)+1,FALSE)&gt;0,1,0)</formula>
    </cfRule>
    <cfRule type="expression" dxfId="2" priority="18079">
      <formula>IF(VLOOKUP($FX$3,preferredAttributePTDMap,MATCH($A4,attributeMapFeedProductType,0)+1,FALSE)&gt;0,1,0)</formula>
    </cfRule>
    <cfRule type="expression" dxfId="3" priority="18080">
      <formula>AND(IF(IFERROR(VLOOKUP($FX$3,requiredAttributePTDMap,MATCH($A4,attributeMapFeedProductType,0)+1,FALSE),0)&gt;0,0,1),IF(IFERROR(VLOOKUP($FX$3,optionalAttributePTDMap,MATCH($A4,attributeMapFeedProductType,0)+1,FALSE),0)&gt;0,0,1),IF(IFERROR(VLOOKUP($FX$3,preferredAttributePTDMap,MATCH($A4,attributeMapFeedProductType,0)+1,FALSE),0)&gt;0,0,1),IF(IFERROR(MATCH($A4,attributeMapFeedProductType,0),0)&gt;0,1,0))</formula>
    </cfRule>
  </conditionalFormatting>
  <conditionalFormatting sqref="FY4 FY8:FY1048576">
    <cfRule type="expression" dxfId="0" priority="18082">
      <formula>IF(VLOOKUP($FY$3,requiredAttributePTDMap,MATCH($A4,attributeMapFeedProductType,0)+1,FALSE)&gt;0,1,0)</formula>
    </cfRule>
    <cfRule type="expression" dxfId="1" priority="18083">
      <formula>IF(VLOOKUP($FY$3,optionalAttributePTDMap,MATCH($A4,attributeMapFeedProductType,0)+1,FALSE)&gt;0,1,0)</formula>
    </cfRule>
    <cfRule type="expression" dxfId="2" priority="18084">
      <formula>IF(VLOOKUP($FY$3,preferredAttributePTDMap,MATCH($A4,attributeMapFeedProductType,0)+1,FALSE)&gt;0,1,0)</formula>
    </cfRule>
    <cfRule type="expression" dxfId="3" priority="18085">
      <formula>AND(IF(IFERROR(VLOOKUP($FY$3,requiredAttributePTDMap,MATCH($A4,attributeMapFeedProductType,0)+1,FALSE),0)&gt;0,0,1),IF(IFERROR(VLOOKUP($FY$3,optionalAttributePTDMap,MATCH($A4,attributeMapFeedProductType,0)+1,FALSE),0)&gt;0,0,1),IF(IFERROR(VLOOKUP($FY$3,preferredAttributePTDMap,MATCH($A4,attributeMapFeedProductType,0)+1,FALSE),0)&gt;0,0,1),IF(IFERROR(MATCH($A4,attributeMapFeedProductType,0),0)&gt;0,1,0))</formula>
    </cfRule>
  </conditionalFormatting>
  <conditionalFormatting sqref="FZ4 FZ8:FZ1048576">
    <cfRule type="expression" dxfId="0" priority="18087">
      <formula>IF(VLOOKUP($FZ$3,requiredAttributePTDMap,MATCH($A4,attributeMapFeedProductType,0)+1,FALSE)&gt;0,1,0)</formula>
    </cfRule>
    <cfRule type="expression" dxfId="1" priority="18088">
      <formula>IF(VLOOKUP($FZ$3,optionalAttributePTDMap,MATCH($A4,attributeMapFeedProductType,0)+1,FALSE)&gt;0,1,0)</formula>
    </cfRule>
    <cfRule type="expression" dxfId="2" priority="18089">
      <formula>IF(VLOOKUP($FZ$3,preferredAttributePTDMap,MATCH($A4,attributeMapFeedProductType,0)+1,FALSE)&gt;0,1,0)</formula>
    </cfRule>
    <cfRule type="expression" dxfId="3" priority="18090">
      <formula>AND(IF(IFERROR(VLOOKUP($FZ$3,requiredAttributePTDMap,MATCH($A4,attributeMapFeedProductType,0)+1,FALSE),0)&gt;0,0,1),IF(IFERROR(VLOOKUP($FZ$3,optionalAttributePTDMap,MATCH($A4,attributeMapFeedProductType,0)+1,FALSE),0)&gt;0,0,1),IF(IFERROR(VLOOKUP($FZ$3,preferredAttributePTDMap,MATCH($A4,attributeMapFeedProductType,0)+1,FALSE),0)&gt;0,0,1),IF(IFERROR(MATCH($A4,attributeMapFeedProductType,0),0)&gt;0,1,0))</formula>
    </cfRule>
  </conditionalFormatting>
  <conditionalFormatting sqref="GA4 GA8:GA1048576">
    <cfRule type="expression" dxfId="0" priority="18092">
      <formula>IF(VLOOKUP($GA$3,requiredAttributePTDMap,MATCH($A4,attributeMapFeedProductType,0)+1,FALSE)&gt;0,1,0)</formula>
    </cfRule>
    <cfRule type="expression" dxfId="1" priority="18093">
      <formula>IF(VLOOKUP($GA$3,optionalAttributePTDMap,MATCH($A4,attributeMapFeedProductType,0)+1,FALSE)&gt;0,1,0)</formula>
    </cfRule>
    <cfRule type="expression" dxfId="2" priority="18094">
      <formula>IF(VLOOKUP($GA$3,preferredAttributePTDMap,MATCH($A4,attributeMapFeedProductType,0)+1,FALSE)&gt;0,1,0)</formula>
    </cfRule>
    <cfRule type="expression" dxfId="3" priority="18095">
      <formula>AND(IF(IFERROR(VLOOKUP($GA$3,requiredAttributePTDMap,MATCH($A4,attributeMapFeedProductType,0)+1,FALSE),0)&gt;0,0,1),IF(IFERROR(VLOOKUP($GA$3,optionalAttributePTDMap,MATCH($A4,attributeMapFeedProductType,0)+1,FALSE),0)&gt;0,0,1),IF(IFERROR(VLOOKUP($GA$3,preferredAttributePTDMap,MATCH($A4,attributeMapFeedProductType,0)+1,FALSE),0)&gt;0,0,1),IF(IFERROR(MATCH($A4,attributeMapFeedProductType,0),0)&gt;0,1,0))</formula>
    </cfRule>
  </conditionalFormatting>
  <conditionalFormatting sqref="GB4 GB8:GB1048576">
    <cfRule type="expression" dxfId="0" priority="18097">
      <formula>IF(VLOOKUP($GB$3,requiredAttributePTDMap,MATCH($A4,attributeMapFeedProductType,0)+1,FALSE)&gt;0,1,0)</formula>
    </cfRule>
    <cfRule type="expression" dxfId="1" priority="18098">
      <formula>IF(VLOOKUP($GB$3,optionalAttributePTDMap,MATCH($A4,attributeMapFeedProductType,0)+1,FALSE)&gt;0,1,0)</formula>
    </cfRule>
    <cfRule type="expression" dxfId="2" priority="18099">
      <formula>IF(VLOOKUP($GB$3,preferredAttributePTDMap,MATCH($A4,attributeMapFeedProductType,0)+1,FALSE)&gt;0,1,0)</formula>
    </cfRule>
    <cfRule type="expression" dxfId="3" priority="18100">
      <formula>AND(IF(IFERROR(VLOOKUP($GB$3,requiredAttributePTDMap,MATCH($A4,attributeMapFeedProductType,0)+1,FALSE),0)&gt;0,0,1),IF(IFERROR(VLOOKUP($GB$3,optionalAttributePTDMap,MATCH($A4,attributeMapFeedProductType,0)+1,FALSE),0)&gt;0,0,1),IF(IFERROR(VLOOKUP($GB$3,preferredAttributePTDMap,MATCH($A4,attributeMapFeedProductType,0)+1,FALSE),0)&gt;0,0,1),IF(IFERROR(MATCH($A4,attributeMapFeedProductType,0),0)&gt;0,1,0))</formula>
    </cfRule>
  </conditionalFormatting>
  <conditionalFormatting sqref="GC4 GC8:GC1048576">
    <cfRule type="expression" dxfId="0" priority="18102">
      <formula>IF(VLOOKUP($GC$3,requiredAttributePTDMap,MATCH($A4,attributeMapFeedProductType,0)+1,FALSE)&gt;0,1,0)</formula>
    </cfRule>
    <cfRule type="expression" dxfId="1" priority="18103">
      <formula>IF(VLOOKUP($GC$3,optionalAttributePTDMap,MATCH($A4,attributeMapFeedProductType,0)+1,FALSE)&gt;0,1,0)</formula>
    </cfRule>
    <cfRule type="expression" dxfId="2" priority="18104">
      <formula>IF(VLOOKUP($GC$3,preferredAttributePTDMap,MATCH($A4,attributeMapFeedProductType,0)+1,FALSE)&gt;0,1,0)</formula>
    </cfRule>
    <cfRule type="expression" dxfId="3" priority="18105">
      <formula>AND(IF(IFERROR(VLOOKUP($GC$3,requiredAttributePTDMap,MATCH($A4,attributeMapFeedProductType,0)+1,FALSE),0)&gt;0,0,1),IF(IFERROR(VLOOKUP($GC$3,optionalAttributePTDMap,MATCH($A4,attributeMapFeedProductType,0)+1,FALSE),0)&gt;0,0,1),IF(IFERROR(VLOOKUP($GC$3,preferredAttributePTDMap,MATCH($A4,attributeMapFeedProductType,0)+1,FALSE),0)&gt;0,0,1),IF(IFERROR(MATCH($A4,attributeMapFeedProductType,0),0)&gt;0,1,0))</formula>
    </cfRule>
  </conditionalFormatting>
  <conditionalFormatting sqref="GD4 GD8:GD1048576">
    <cfRule type="expression" dxfId="0" priority="18107">
      <formula>IF(VLOOKUP($GD$3,requiredAttributePTDMap,MATCH($A4,attributeMapFeedProductType,0)+1,FALSE)&gt;0,1,0)</formula>
    </cfRule>
    <cfRule type="expression" dxfId="1" priority="18108">
      <formula>IF(VLOOKUP($GD$3,optionalAttributePTDMap,MATCH($A4,attributeMapFeedProductType,0)+1,FALSE)&gt;0,1,0)</formula>
    </cfRule>
    <cfRule type="expression" dxfId="2" priority="18109">
      <formula>IF(VLOOKUP($GD$3,preferredAttributePTDMap,MATCH($A4,attributeMapFeedProductType,0)+1,FALSE)&gt;0,1,0)</formula>
    </cfRule>
    <cfRule type="expression" dxfId="3" priority="18110">
      <formula>AND(IF(IFERROR(VLOOKUP($GD$3,requiredAttributePTDMap,MATCH($A4,attributeMapFeedProductType,0)+1,FALSE),0)&gt;0,0,1),IF(IFERROR(VLOOKUP($GD$3,optionalAttributePTDMap,MATCH($A4,attributeMapFeedProductType,0)+1,FALSE),0)&gt;0,0,1),IF(IFERROR(VLOOKUP($GD$3,preferredAttributePTDMap,MATCH($A4,attributeMapFeedProductType,0)+1,FALSE),0)&gt;0,0,1),IF(IFERROR(MATCH($A4,attributeMapFeedProductType,0),0)&gt;0,1,0))</formula>
    </cfRule>
  </conditionalFormatting>
  <conditionalFormatting sqref="GE4 GE8:GE1048576">
    <cfRule type="expression" dxfId="0" priority="18112">
      <formula>IF(VLOOKUP($GE$3,requiredAttributePTDMap,MATCH($A4,attributeMapFeedProductType,0)+1,FALSE)&gt;0,1,0)</formula>
    </cfRule>
    <cfRule type="expression" dxfId="1" priority="18113">
      <formula>IF(VLOOKUP($GE$3,optionalAttributePTDMap,MATCH($A4,attributeMapFeedProductType,0)+1,FALSE)&gt;0,1,0)</formula>
    </cfRule>
    <cfRule type="expression" dxfId="2" priority="18114">
      <formula>IF(VLOOKUP($GE$3,preferredAttributePTDMap,MATCH($A4,attributeMapFeedProductType,0)+1,FALSE)&gt;0,1,0)</formula>
    </cfRule>
    <cfRule type="expression" dxfId="3" priority="18115">
      <formula>AND(IF(IFERROR(VLOOKUP($GE$3,requiredAttributePTDMap,MATCH($A4,attributeMapFeedProductType,0)+1,FALSE),0)&gt;0,0,1),IF(IFERROR(VLOOKUP($GE$3,optionalAttributePTDMap,MATCH($A4,attributeMapFeedProductType,0)+1,FALSE),0)&gt;0,0,1),IF(IFERROR(VLOOKUP($GE$3,preferredAttributePTDMap,MATCH($A4,attributeMapFeedProductType,0)+1,FALSE),0)&gt;0,0,1),IF(IFERROR(MATCH($A4,attributeMapFeedProductType,0),0)&gt;0,1,0))</formula>
    </cfRule>
  </conditionalFormatting>
  <conditionalFormatting sqref="C5:C7 B8:C1048576">
    <cfRule type="expression" dxfId="4" priority="15636">
      <formula>IF(LEN(B5)&gt;0,1,0)</formula>
    </cfRule>
    <cfRule type="expression" dxfId="0" priority="15637">
      <formula>IF(VLOOKUP($C$3,requiredAttributePTDMap,MATCH($A5,attributeMapFeedProductType,0)+1,FALSE)&gt;0,1,0)</formula>
    </cfRule>
    <cfRule type="expression" dxfId="1" priority="15638">
      <formula>IF(VLOOKUP($C$3,optionalAttributePTDMap,MATCH($A5,attributeMapFeedProductType,0)+1,FALSE)&gt;0,1,0)</formula>
    </cfRule>
    <cfRule type="expression" dxfId="2" priority="15639">
      <formula>IF(VLOOKUP($C$3,preferredAttributePTDMap,MATCH($A5,attributeMapFeedProductType,0)+1,FALSE)&gt;0,1,0)</formula>
    </cfRule>
    <cfRule type="expression" dxfId="3" priority="15640">
      <formula>AND(IF(IFERROR(VLOOKUP($C$3,requiredAttributePTDMap,MATCH($A5,attributeMapFeedProductType,0)+1,FALSE),0)&gt;0,0,1),IF(IFERROR(VLOOKUP($C$3,optionalAttributePTDMap,MATCH($A5,attributeMapFeedProductType,0)+1,FALSE),0)&gt;0,0,1),IF(IFERROR(VLOOKUP($C$3,preferredAttributePTDMap,MATCH($A5,attributeMapFeedProductType,0)+1,FALSE),0)&gt;0,0,1),IF(IFERROR(MATCH($A5,attributeMapFeedProductType,0),0)&gt;0,1,0))</formula>
    </cfRule>
  </conditionalFormatting>
  <conditionalFormatting sqref="J5:J15 R5:R15 J16:J1048576">
    <cfRule type="expression" dxfId="4" priority="15596">
      <formula>IF(LEN(J5)&gt;0,1,0)</formula>
    </cfRule>
  </conditionalFormatting>
  <conditionalFormatting sqref="J5:J15 R5:R15 AG5:AG15 J16:J1048576">
    <cfRule type="expression" dxfId="1" priority="15598">
      <formula>IF(VLOOKUP($J$3,optionalAttributePTDMap,MATCH($A5,attributeMapFeedProductType,0)+1,FALSE)&gt;0,1,0)</formula>
    </cfRule>
    <cfRule type="expression" dxfId="2" priority="15599">
      <formula>IF(VLOOKUP($J$3,preferredAttributePTDMap,MATCH($A5,attributeMapFeedProductType,0)+1,FALSE)&gt;0,1,0)</formula>
    </cfRule>
    <cfRule type="expression" dxfId="3" priority="15600">
      <formula>AND(IF(IFERROR(VLOOKUP($J$3,requiredAttributePTDMap,MATCH($A5,attributeMapFeedProductType,0)+1,FALSE),0)&gt;0,0,1),IF(IFERROR(VLOOKUP($J$3,optionalAttributePTDMap,MATCH($A5,attributeMapFeedProductType,0)+1,FALSE),0)&gt;0,0,1),IF(IFERROR(VLOOKUP($J$3,preferredAttributePTDMap,MATCH($A5,attributeMapFeedProductType,0)+1,FALSE),0)&gt;0,0,1),IF(IFERROR(MATCH($A5,attributeMapFeedProductType,0),0)&gt;0,1,0))</formula>
    </cfRule>
    <cfRule type="expression" dxfId="0" priority="15597">
      <formula>IF(VLOOKUP($J$3,requiredAttributePTDMap,MATCH($A5,attributeMapFeedProductType,0)+1,FALSE)&gt;0,1,0)</formula>
    </cfRule>
  </conditionalFormatting>
  <conditionalFormatting sqref="AC5:AG7 AC8:AH15 AB16:AH1048576">
    <cfRule type="expression" dxfId="4" priority="1326">
      <formula>IF(LEN(AB5)&gt;0,1,0)</formula>
    </cfRule>
  </conditionalFormatting>
  <conditionalFormatting sqref="AS5:AS10 AU5:AU10 AS11:AU1048576">
    <cfRule type="expression" dxfId="4" priority="341">
      <formula>IF(LEN(AS5)&gt;0,1,0)</formula>
    </cfRule>
  </conditionalFormatting>
  <conditionalFormatting sqref="EL5:EM7">
    <cfRule type="expression" dxfId="4" priority="13286">
      <formula>IF(LEN(EL5)&gt;0,1,0)</formula>
    </cfRule>
  </conditionalFormatting>
  <conditionalFormatting sqref="W8:Y15 V16:Y1048576">
    <cfRule type="expression" dxfId="4" priority="17222">
      <formula>IF(LEN(V8)&gt;0,1,0)</formula>
    </cfRule>
  </conditionalFormatting>
  <conditionalFormatting sqref="AZ8:AZ10 BE8:BK10 AZ11:AZ15 BE11:BK15 BM11:BM15 AZ16:BP1048576">
    <cfRule type="expression" dxfId="4" priority="13970">
      <formula>IF(LEN(AZ8)&gt;0,1,0)</formula>
    </cfRule>
  </conditionalFormatting>
  <conditionalFormatting sqref="BS8:CN10 CU8:CY10 BR11:CN15 CU11:CY15 BQ16:CY1048576">
    <cfRule type="expression" dxfId="4" priority="17457">
      <formula>IF(LEN(BQ8)&gt;0,1,0)</formula>
    </cfRule>
  </conditionalFormatting>
  <conditionalFormatting sqref="F16:I1048576">
    <cfRule type="expression" dxfId="4" priority="15601">
      <formula>IF(LEN(F16)&gt;0,1,0)</formula>
    </cfRule>
  </conditionalFormatting>
  <dataValidations count="193">
    <dataValidation allowBlank="1" showInputMessage="1" prompt="A number with up to 18 digits allowed to the left of the decimal point and 2 digits to the right of the decimal point. Please do not use commas or currency (pound, dollar or euro) signs." sqref="FJ2"/>
    <dataValidation allowBlank="1" showInputMessage="1" prompt="Input an appropriate product type." sqref="A3"/>
    <dataValidation allowBlank="1" showInputMessage="1" prompt="Unique Identifier. If you don't enter a SKU we'll create one for you." sqref="B3"/>
    <dataValidation allowBlank="1" showInputMessage="1" prompt="An alphanumeric string; 1 character minimum in length and 50 characters maximum in length." sqref="C3 BT3:BX3"/>
    <dataValidation allowBlank="1" showInputMessage="1" prompt="Any valid GCID, UPC, or EAN." sqref="D3"/>
    <dataValidation allowBlank="1" showInputMessage="1" prompt="The type of standard, unique identifier entered in the Product ID field. This is a required field if Product ID is provided." sqref="E3"/>
    <dataValidation allowBlank="1" showInputMessage="1" prompt="An alphanumeric string; 1 character minimum in length and 200 characters maximum in length. Note: Type 1 High ASCII characters (®, ©, ™, etc.) or other special characters are not supported." sqref="F3"/>
    <dataValidation allowBlank="1" showInputMessage="1" prompt="Select a value from the Valid Values worksheet." sqref="G3:H3 K3:O3 R3:S3 BM3 BS3 CF3 CK3"/>
    <dataValidation allowBlank="1" showInputMessage="1" prompt="An alphanumeric text string; 1 character minimum and 50 characters maximum. If multiple colours are available, a unique record should be submitted for each product." sqref="I3"/>
    <dataValidation allowBlank="1" showInputMessage="1" prompt="Please see the Size worksheet for size convertions." sqref="J3"/>
    <dataValidation allowBlank="1" showInputMessage="1" prompt="Specify the intended supply method for the item" sqref="P3"/>
    <dataValidation allowBlank="1" showInputMessage="1" prompt="Provide the date a vendor must receive a PO in order to deliver goods to Amazon by a specified date (YYYY-MM-DD)" sqref="Q3"/>
    <dataValidation allowBlank="1" showInputMessage="1" prompt="Please select one of these valid values: true or false" sqref="T3"/>
    <dataValidation allowBlank="1" showInputMessage="1" prompt="This field will be made mandatory after 08/20. For further information, please visit the help page: &quot;Providing Country of Origin Information for your products&quot;." sqref="U3"/>
    <dataValidation allowBlank="1" showInputMessage="1" sqref="V3 CA3:CE3 CI3:CJ3 CT3 D4 Q4:R4 AO4:AR4 AZ4:BA4 BT4:BX4 CA4 CC4 CE4 CG4 CI4:CK4 CU4:CV4 DF4:DI4 DK4:DL4 DN4 DP4 DW4:DY4 EA4 EC4 EJ4:EP4 ET4:EU4 EW4:EX4 EZ4:FB4 FD4:FG4 FI4:FJ4 FL4:FU4 FW4:GD4 B11:B1048576 D8:D1048576 F16:F1048576 N4:N1048576 Q16:Q1048576 R5:R7 V16:V1048576 AG4:AG15 AK4:AK15 AN4:AN15 AT4:AT1048576 AX4:AX1048576 AZ16:AZ1048576 BA5:BA7 BL16:BL1048576 BN4:BN15 CA8:CA1048576 CC8:CC1048576 CE8:CE1048576 CG8:CG1048576 CM3:CM4 CM8:CM1048576 DN8:DN1048576 DP8:DP1048576 EA8:EA1048576 EC8:EC1048576 EH4:EH1048576 ET5:ET7 FJ5:FJ7 I16:K1048576 BB16:BD1048576 J4:K15 Q8:R15 Z4:AB15 Z16:AB1048576 AK16:AR1048576 AO5:AP7 AO8:AR15 AZ8:BA15 BN16:BR1048576 BT8:BX1048576 CI8:CK1048576 EZ8:FB1048576 CO4:CQ15 CO16:CR1048576 CU8:CV1048576 DK8:DL1048576 EW8:EX1048576 FI8:FJ1048576 DF8:DI1048576 DW8:DY1048576 EJ8:EP1048576 EL5:EM7 ET8:EU1048576 FD8:FG1048576 FL8:FU1048576 FW8:GD1048576"/>
    <dataValidation allowBlank="1" showInputMessage="1" prompt="Does your product contain any of the following materials/fabrics subject to regulation: Bamboo, Wool, and/or Fur? Please select all that apply. If none apply, select not applicable." sqref="W3:Y3"/>
    <dataValidation allowBlank="1" showInputMessage="1" prompt="The price at which the product is offered for sale, in the local currency." sqref="Z3"/>
    <dataValidation allowBlank="1" showInputMessage="1" prompt="A whole number." sqref="AA3 EO3"/>
    <dataValidation allowBlank="1" showInputMessage="1" prompt="Images must have 1000x1300 pixels minimum, we strongly recommend 1300x1500 however. The preferred file format is JPEG (.jpg), and the URL must be fully-formed and valid (i.e., include http://). When naming your image, you may use the following conventi..." sqref="AB3"/>
    <dataValidation allowBlank="1" showInputMessage="1" prompt="Select one of the follownig options: Female, Male, Unisex" sqref="AC3"/>
    <dataValidation allowBlank="1" showInputMessage="1" prompt="Select one of the following options: Adult, Kids, Toddler, Infant" sqref="AD3"/>
    <dataValidation allowBlank="1" showInputMessage="1" prompt="The selected size must be specific to the marketplace size system and might differ from the label size." sqref="AE3"/>
    <dataValidation allowBlank="1" showInputMessage="1" prompt="Select the class of apparel size representation." sqref="AF3"/>
    <dataValidation allowBlank="1" showInputMessage="1" prompt="Provide the size value associated with the size system and size class." sqref="AG3"/>
    <dataValidation allowBlank="1" showInputMessage="1" prompt="Provide the to size value (if range), must be greater than the size value." sqref="AH3"/>
    <dataValidation allowBlank="1" showInputMessage="1" prompt="Provide the body type for apparel item, select &quot;Regular&quot; in case of no special body type." sqref="AI3"/>
    <dataValidation allowBlank="1" showInputMessage="1" prompt="Provide the height type for apparel item, select &quot;Regular&quot; in case of no special height type." sqref="AJ3"/>
    <dataValidation allowBlank="1" showInputMessage="1" prompt="A valid URL, including leading &quot;http://&quot;&#10;&#10;The URL is case sensitive, so make sure to use matching capitalisation and no redirections (e.g. .jpeg instead of .jpg). While a web browser might be smart enough to locate your image despite of these little in..." sqref="AK3:AR3"/>
    <dataValidation allowBlank="1" showInputMessage="1" prompt="Please select one of the following values: &#10;&#10;parent&#10;child" sqref="AS3"/>
    <dataValidation allowBlank="1" showInputMessage="1" prompt="An alphanumeric string; 1 character minimum in length and 40 characters maximum in length." sqref="AT3"/>
    <dataValidation allowBlank="1" showInputMessage="1" prompt="Fill in&#10;Variation" sqref="AU3"/>
    <dataValidation allowBlank="1" showInputMessage="1" prompt="Select Size/Color." sqref="AV3"/>
    <dataValidation allowBlank="1" showInputMessage="1" prompt="Select one of the following options: Update, PartialUpdate, or Delete." sqref="AW3"/>
    <dataValidation allowBlank="1" showInputMessage="1" prompt="A text string; 2000 characters maximum in length. Note: Type 1 High ASCII characters (®, ©, ™, etc.) or other special characters are not supported." sqref="AX3"/>
    <dataValidation allowBlank="1" showInputMessage="1" prompt="A positive integer." sqref="AY3 EJ3 EN3"/>
    <dataValidation allowBlank="1" showInputMessage="1" prompt="Per EU Textile Regulations, please enter the valid legal textile composition of the lining, e.g. 80% Cotton, 20% Viscose (components summing up to 100%). If item does not have a specific inner material, please enter “No Lining”." sqref="AZ3"/>
    <dataValidation allowBlank="1" showInputMessage="1" prompt="An alphanumeric string up to a maximum of 100 characters in length." sqref="BA3"/>
    <dataValidation allowBlank="1" showInputMessage="1" prompt="An alphanumeric string up to a maximum of 50 characters in length." sqref="BB3"/>
    <dataValidation allowBlank="1" showInputMessage="1" prompt="An alphanumeric string up to a maximum of 40 characters in length." sqref="BC3"/>
    <dataValidation allowBlank="1" showInputMessage="1" prompt="A text string up to 40 characters." sqref="BD3"/>
    <dataValidation allowBlank="1" showInputMessage="1" prompt="Please select a value from the list of valid values." sqref="BE3"/>
    <dataValidation allowBlank="1" showInputMessage="1" prompt="Please select &quot;CustomProductBundl&quot; to indicate if this product listing is a customized bundle or 2 or more products, or &quot;ReplacementPart&quot; if this product is a replacement part, or part of a set. Leave this blank for all other types of products." sqref="BF3"/>
    <dataValidation allowBlank="1" showInputMessage="1" prompt="Select one the options in the valid values tab" sqref="BG3:BK3"/>
    <dataValidation allowBlank="1" showInputMessage="1" prompt="Search terms that describe your product: no repetition, no competitor brand names or ASINs." sqref="BL3"/>
    <dataValidation allowBlank="1" showInputMessage="1" prompt="An alphanumeric string; 100 characters maximum length per bullet point. Please do not include the bullet point. Note: Type 1 High ASCII characters (®, ©, ™, etc.) or other special characters are not supported." sqref="BN3:BR3"/>
    <dataValidation allowBlank="1" showInputMessage="1" prompt="Select 'true' if your product is autographed.  If your product is not autographed, you may leave this field blank." sqref="BY3"/>
    <dataValidation allowBlank="1" showInputMessage="1" prompt="Select from the list of  Valid Values provided in a later tab within this workbook." sqref="BZ3"/>
    <dataValidation allowBlank="1" showInputMessage="1" prompt="A number with up to 10 digits to the left of the decimal point and 2 digits to the right of the decimal point. Please do not use commas." sqref="CG3 DP3 DY3 EA3"/>
    <dataValidation allowBlank="1" showInputMessage="1" prompt="Select one of the following options: GR, or KG . Do not include the actual weight, which will be collected in the shipping-weight field." sqref="CH3"/>
    <dataValidation allowBlank="1" showInputMessage="1" prompt="Select one of the following options: MM, CM, M, IN, or FT." sqref="CL3"/>
    <dataValidation allowBlank="1" showInputMessage="1" prompt="AMAZON_EU, DEFAULT" sqref="CN3"/>
    <dataValidation allowBlank="1" showInputMessage="1" prompt="A number with up to 10 digits to the left of the decimal point and 2 digits to the right of the decimal point." sqref="CO3:CR3"/>
    <dataValidation allowBlank="1" showInputMessage="1" prompt="Select from the following valid values: &#10;KG&#10;GR" sqref="CS3"/>
    <dataValidation allowBlank="1" showInputMessage="1" prompt="An alphanumeric string up to a maximum of 500 characters in length." sqref="CU3:CV3"/>
    <dataValidation allowBlank="1" showInputMessage="1" prompt="Select from the list of  Valid Values." sqref="CW3:CY3"/>
    <dataValidation allowBlank="1" showInputMessage="1" prompt="Select: true or false." sqref="CZ3:DA3 ER3"/>
    <dataValidation allowBlank="1" showInputMessage="1" prompt="Select a value from the list of valid values." sqref="DB3"/>
    <dataValidation allowBlank="1" showInputMessage="1" prompt="Please refer to the Valid Values worksheet.  Only use this when PowerSource is 'battery'" sqref="DC3:DE3"/>
    <dataValidation allowBlank="1" showInputMessage="1" prompt="Any integer greater than or equal to one" sqref="DF3:DH3"/>
    <dataValidation allowBlank="1" showInputMessage="1" prompt="Number up to 10 digits and 2 decimal points long." sqref="DI3"/>
    <dataValidation allowBlank="1" showInputMessage="1" prompt="Unit of measure used to describe the battery weight" sqref="DJ3"/>
    <dataValidation allowBlank="1" showInputMessage="1" prompt="Total number of Lithium cells (of type Metal) in the product,  where the cell isn't contained in an encased battery." sqref="DK3"/>
    <dataValidation allowBlank="1" showInputMessage="1" prompt="Total number of Lithium cells (of type Ion) in the product,  where the cell isn't contained in an encased battery." sqref="DL3"/>
    <dataValidation allowBlank="1" showInputMessage="1" prompt="Choices are batteries_only (If battery is a standalone) batteries_contained_in_equipment (if battery is assembled in the item) or batteries_packed_with_equipment (If battery is included in the item packaging but not assembled in the item)" sqref="DM3"/>
    <dataValidation allowBlank="1" showInputMessage="1" prompt="Watt hrs of each battery (or cell) in unit" sqref="DN3"/>
    <dataValidation allowBlank="1" showInputMessage="1" prompt="Indicate unit of measure if Lithium Battery Energy Content is populated" sqref="DO3"/>
    <dataValidation allowBlank="1" showInputMessage="1" prompt="Select the unit of measure for Lithium Battery Weight  . If Lithium Battery Weight  is used, you must also enter theLithium Battery Weight  Unit Of Measure." sqref="DQ3"/>
    <dataValidation allowBlank="1" showInputMessage="1" prompt="Select the purposes for which your product is regulated as a dangerous good or hazardous material (hazmat) (e.g. dangerous good for transportation, hazmat for waste). Common products can be regulated as dangerous goods (e.g. nail polish, aerosols, clea..." sqref="DR3:DV3"/>
    <dataValidation allowBlank="1" showInputMessage="1" prompt="Hazmat United Nationals Regulatory ID" sqref="DW3"/>
    <dataValidation allowBlank="1" showInputMessage="1" prompt="Holds link to the externally hosted SDS (Safety Data Sheet) for an item" sqref="DX3"/>
    <dataValidation allowBlank="1" showInputMessage="1" prompt="The unit of measure used to describe the weight of the product without shipping material." sqref="DZ3"/>
    <dataValidation allowBlank="1" showInputMessage="1" prompt="Indicates the volume capacity of a product." sqref="EB3"/>
    <dataValidation allowBlank="1" showInputMessage="1" prompt="A number with up to 10 digits allowed to the left of the decimal point and 2 digits to the right of the decimal point. Please do not use commas." sqref="EC3"/>
    <dataValidation allowBlank="1" showInputMessage="1" prompt="Global Harmonized System (GHS) CLP classification system." sqref="ED3:EF3"/>
    <dataValidation allowBlank="1" showInputMessage="1" prompt="Used; Like New&#10;Used; Very Good&#10;Used; Good&#10;Used; Acceptable&#10;Collectible; Like New&#10;Collectible; Very Good&#10;Collectible; Good&#10;Collectible; Acceptable&#10;New" sqref="EG3"/>
    <dataValidation allowBlank="1" showInputMessage="1" prompt="A text string with a maximum of 1,000 characters. The Condition Note field doesn’t allow special characters." sqref="EH3"/>
    <dataValidation allowBlank="1" showInputMessage="1" prompt="Three letter currency code." sqref="EI3"/>
    <dataValidation allowBlank="1" showInputMessage="1" prompt="You can place your listings on sale by entering a sale price (expressed in local currency) along with start and end dates." sqref="EK3"/>
    <dataValidation allowBlank="1" showInputMessage="1" prompt="A date in this format: yyyy-mm-dd." sqref="EL3:EM3"/>
    <dataValidation allowBlank="1" showInputMessage="1" prompt="A whole number" sqref="EP3 FB3"/>
    <dataValidation allowBlank="1" showInputMessage="1" prompt="Select: true or false" sqref="EQ3 ES3"/>
    <dataValidation allowBlank="1" showInputMessage="1" prompt="This is the date when customers will start viewing this product on Amazon." sqref="ET3"/>
    <dataValidation allowBlank="1" showInputMessage="1" prompt="This field is used to setup back-order and is the date when the back-ordered products will be available for shipping to customers." sqref="EU3"/>
    <dataValidation allowBlank="1" showInputMessage="1" prompt="Does your product expire or lose effectiveness over time? Select “Yes” if the product meets one of the following criteria: (1) has a printed expiration date, (2) is a topical or consumable product for either human or animal use, or (3) has a recommende..." sqref="EV3"/>
    <dataValidation allowBlank="1" showInputMessage="1" prompt="This field is used to setup pre-order and is the date from when the pre-ordered product will be available to be shipped to customers." sqref="EW3"/>
    <dataValidation allowBlank="1" showInputMessage="1" prompt="A price greater than 0. Do not include thousands separators or currency symbols." sqref="EX3"/>
    <dataValidation allowBlank="1" showInputMessage="1" prompt="1) Expiration Date Required: The expiration date is printed on product packaging. 2) Expiration on Package: The product will be reviewed for an expiration date at inbound. 3) Production Date Required: The production or manufacturing date is printed on ..." sqref="EY3"/>
    <dataValidation allowBlank="1" showInputMessage="1" prompt="FC Shelf Life is the number of days the product may be stored without becoming unfit for sale. For more information, refer to Expiry Seller policy and help page(s)." sqref="EZ3"/>
    <dataValidation allowBlank="1" showInputMessage="1" prompt="This is the date from when customer cannot place an order on your product, irrespective of the stock in hand. But the product still be active, if other Selling Partners are selling this product." sqref="FA3"/>
    <dataValidation allowBlank="1" showInputMessage="1" prompt="The ship configuration group for an offer. The ship configuration group is created and managed by the seller through the ship setting UI." sqref="FC3"/>
    <dataValidation allowBlank="1" showInputMessage="1" prompt="Once the product is launched on Amazon, customers can start placing orders on your product from this date." sqref="FD3"/>
    <dataValidation allowBlank="1" showInputMessage="1" prompt="Enabling this attribute to continue selling the remaining units of the inventory that are below the Minimum Order Quantity threshold settled (if configured)" sqref="FE3"/>
    <dataValidation allowBlank="1" showInputMessage="1" prompt="An alphanumeric string; 500 characters maximum in length." sqref="FF3"/>
    <dataValidation allowBlank="1" showInputMessage="1" prompt="A price greater than 0 with up to two decimals. Do not include thousands separators or currency symbols." sqref="FG3"/>
    <dataValidation allowBlank="1" showInputMessage="1" prompt="Enter the product tax code supplied to you by amazon.co.IN.  If no entry is provided, the default is &quot;A_GEN_NOTAX&quot;." sqref="FH3"/>
    <dataValidation allowBlank="1" showInputMessage="1" prompt="Provide the minimum quantity for the item that a buyer must purchase" sqref="FI3"/>
    <dataValidation allowBlank="1" showInputMessage="1" prompt="The unit of measure the discount will be expressed in. Either Fixed price in U.S. dollars or Percent Off" sqref="FK3"/>
    <dataValidation allowBlank="1" showInputMessage="1" prompt="A positive integer. Do not include thousands separators." sqref="FL3 FN3 FP3 FR3 FT3"/>
    <dataValidation allowBlank="1" showInputMessage="1" prompt="The Fixed price or Percent Off discount at which the merchant offers the product for sale if the buyer is purchasing at least the associated quantity, expressed in U.S. dollars." sqref="FM3 FO3 FQ3 FS3 FU3"/>
    <dataValidation allowBlank="1" showInputMessage="1" prompt="The unit of measure the discount will be expressed in either Fixed price in U.S. dollars or Percent Off." sqref="FV3"/>
    <dataValidation allowBlank="1" showInputMessage="1" prompt="The minimum purchase quantity necessary to receive the associated Fixed price or Percent Off price." sqref="FW3 FY3 GA3"/>
    <dataValidation allowBlank="1" showInputMessage="1" prompt="The Fixed price or Percent Off discount at which the merchant offers the product for sale if the buyer is purchasing at least the associated quantity." sqref="FX3 FZ3 GB3"/>
    <dataValidation allowBlank="1" showInputMessage="1" prompt="An alphanumeric 13-digit code, which is the the standard item code according to NATO definition" sqref="GC3"/>
    <dataValidation allowBlank="1" showInputMessage="1" prompt="An 8-digit alphanumeric code for classification of products according to the UNSPSC system" sqref="GD3"/>
    <dataValidation allowBlank="1" showInputMessage="1" prompt="&quot;delete business_price  &quot;  &quot; (without the quotes)&quot;" sqref="GE3"/>
    <dataValidation type="list" allowBlank="1" showInputMessage="1" showErrorMessage="1" sqref="E4 E8:E1048576">
      <formula1>INDIRECT(SUBSTITUTE(SUBSTITUTE(A4,"-","_")," ","")&amp;"external_product_id_type")</formula1>
    </dataValidation>
    <dataValidation type="list" allowBlank="1" showInputMessage="1" showErrorMessage="1" sqref="W4 W8:W1048576">
      <formula1>INDIRECT(SUBSTITUTE(SUBSTITUTE(A4,"-","_")," ","")&amp;"supplier_declared_material_regulation")</formula1>
    </dataValidation>
    <dataValidation type="list" allowBlank="1" showInputMessage="1" showErrorMessage="1" sqref="X4 X8:X1048576">
      <formula1>INDIRECT(SUBSTITUTE(SUBSTITUTE(A4,"-","_")," ","")&amp;"supplier_declared_material_regulation")</formula1>
    </dataValidation>
    <dataValidation type="list" allowBlank="1" showInputMessage="1" showErrorMessage="1" sqref="Y4 Y8:Y1048576">
      <formula1>INDIRECT(SUBSTITUTE(SUBSTITUTE(A4,"-","_")," ","")&amp;"supplier_declared_material_regulation")</formula1>
    </dataValidation>
    <dataValidation type="list" allowBlank="1" showInputMessage="1" sqref="BE4 BE8:BE1048576">
      <formula1>INDIRECT(SUBSTITUTE(SUBSTITUTE(A4,"-","_")," ","")&amp;"temperature_rating")</formula1>
    </dataValidation>
    <dataValidation type="list" allowBlank="1" showInputMessage="1" showErrorMessage="1" sqref="BF4 BF8:BF1048576">
      <formula1>INDIRECT(SUBSTITUTE(SUBSTITUTE(A4,"-","_")," ","")&amp;"gtin_exemption_reason")</formula1>
    </dataValidation>
    <dataValidation type="list" allowBlank="1" showInputMessage="1" showErrorMessage="1" sqref="BG4 BG8:BG1048576">
      <formula1>INDIRECT(SUBSTITUTE(SUBSTITUTE(A4,"-","_")," ","")&amp;"language_value")</formula1>
    </dataValidation>
    <dataValidation type="list" allowBlank="1" showInputMessage="1" showErrorMessage="1" sqref="BH4 BH8:BH1048576">
      <formula1>INDIRECT(SUBSTITUTE(SUBSTITUTE(A4,"-","_")," ","")&amp;"language_value")</formula1>
    </dataValidation>
    <dataValidation type="list" allowBlank="1" showInputMessage="1" showErrorMessage="1" sqref="BI4 BI8:BI1048576">
      <formula1>INDIRECT(SUBSTITUTE(SUBSTITUTE(A4,"-","_")," ","")&amp;"language_value")</formula1>
    </dataValidation>
    <dataValidation type="list" allowBlank="1" showInputMessage="1" showErrorMessage="1" sqref="BJ4 BJ8:BJ1048576">
      <formula1>INDIRECT(SUBSTITUTE(SUBSTITUTE(A4,"-","_")," ","")&amp;"language_value")</formula1>
    </dataValidation>
    <dataValidation type="list" allowBlank="1" showInputMessage="1" showErrorMessage="1" sqref="BK4 BK8:BK1048576">
      <formula1>INDIRECT(SUBSTITUTE(SUBSTITUTE(A4,"-","_")," ","")&amp;"language_value")</formula1>
    </dataValidation>
    <dataValidation type="list" allowBlank="1" showInputMessage="1" sqref="BM4 BM11:BM1048576">
      <formula1>INDIRECT(SUBSTITUTE(SUBSTITUTE(A4,"-","_")," ","")&amp;"collection_name")</formula1>
    </dataValidation>
    <dataValidation type="list" allowBlank="1" showInputMessage="1" sqref="BS4 BS8:BS1048576">
      <formula1>INDIRECT(SUBSTITUTE(SUBSTITUTE(A4,"-","_")," ","")&amp;"special_size_type")</formula1>
    </dataValidation>
    <dataValidation type="list" allowBlank="1" showInputMessage="1" showErrorMessage="1" sqref="BY4 BY8:BY1048576">
      <formula1>INDIRECT(SUBSTITUTE(SUBSTITUTE(A4,"-","_")," ","")&amp;"is_autographed")</formula1>
    </dataValidation>
    <dataValidation type="list" allowBlank="1" showInputMessage="1" sqref="BZ4 BZ8:BZ1048576">
      <formula1>INDIRECT(SUBSTITUTE(SUBSTITUTE(A4,"-","_")," ","")&amp;"seasons")</formula1>
    </dataValidation>
    <dataValidation type="list" allowBlank="1" showInputMessage="1" sqref="CB4 CB8:CB1048576">
      <formula1>INDIRECT(SUBSTITUTE(SUBSTITUTE(A4,"-","_")," ","")&amp;"team_name")</formula1>
    </dataValidation>
    <dataValidation type="list" allowBlank="1" showInputMessage="1" sqref="CD4 CD8:CD1048576">
      <formula1>INDIRECT(SUBSTITUTE(SUBSTITUTE(A4,"-","_")," ","")&amp;"league_name")</formula1>
    </dataValidation>
    <dataValidation type="list" allowBlank="1" showInputMessage="1" showErrorMessage="1" sqref="CH4 CH8:CH1048576">
      <formula1>INDIRECT(SUBSTITUTE(SUBSTITUTE(A4,"-","_")," ","")&amp;"website_shipping_weight_unit_of_measure")</formula1>
    </dataValidation>
    <dataValidation type="list" allowBlank="1" showInputMessage="1" showErrorMessage="1" sqref="CL4 CL8:CL1048576">
      <formula1>INDIRECT(SUBSTITUTE(SUBSTITUTE(A4,"-","_")," ","")&amp;"item_dimensions_unit_of_measure")</formula1>
    </dataValidation>
    <dataValidation type="list" allowBlank="1" showInputMessage="1" showErrorMessage="1" sqref="CN4 CN8:CN1048576">
      <formula1>INDIRECT(SUBSTITUTE(SUBSTITUTE(A4,"-","_")," ","")&amp;"fulfillment_center_id")</formula1>
    </dataValidation>
    <dataValidation type="list" allowBlank="1" showInputMessage="1" sqref="CS4">
      <formula1>INDIRECT(SUBSTITUTE(#REF!,"-","_")&amp;"package_weight_unit_of_measure")</formula1>
    </dataValidation>
    <dataValidation type="list" allowBlank="1" showInputMessage="1" sqref="CT4">
      <formula1>INDIRECT(SUBSTITUTE(#REF!,"-","_")&amp;"package_dimensions_unit_of_measure")</formula1>
    </dataValidation>
    <dataValidation type="list" allowBlank="1" showInputMessage="1" showErrorMessage="1" sqref="CW4 CW8:CW1048576">
      <formula1>INDIRECT(SUBSTITUTE(SUBSTITUTE(A4,"-","_")," ","")&amp;"eu_toys_safety_directive_age_warning")</formula1>
    </dataValidation>
    <dataValidation type="list" allowBlank="1" showInputMessage="1" showErrorMessage="1" sqref="CX4 CX8:CX1048576">
      <formula1>INDIRECT(SUBSTITUTE(SUBSTITUTE(A4,"-","_")," ","")&amp;"eu_toys_safety_directive_warning")</formula1>
    </dataValidation>
    <dataValidation type="list" allowBlank="1" showInputMessage="1" showErrorMessage="1" sqref="CY4 CY8:CY1048576">
      <formula1>INDIRECT(SUBSTITUTE(SUBSTITUTE(A4,"-","_")," ","")&amp;"eu_toys_safety_directive_language")</formula1>
    </dataValidation>
    <dataValidation type="list" allowBlank="1" showInputMessage="1" showErrorMessage="1" sqref="DB4 DB8:DB1048576">
      <formula1>INDIRECT(SUBSTITUTE(SUBSTITUTE(A4,"-","_")," ","")&amp;"battery_cell_composition")</formula1>
    </dataValidation>
    <dataValidation type="list" allowBlank="1" showInputMessage="1" showErrorMessage="1" sqref="DC4 DC8:DC1048576">
      <formula1>INDIRECT(SUBSTITUTE(SUBSTITUTE(A4,"-","_")," ","")&amp;"battery_type")</formula1>
    </dataValidation>
    <dataValidation type="list" allowBlank="1" showInputMessage="1" showErrorMessage="1" sqref="DD4 DD8:DD1048576">
      <formula1>INDIRECT(SUBSTITUTE(SUBSTITUTE(A4,"-","_")," ","")&amp;"battery_type")</formula1>
    </dataValidation>
    <dataValidation type="list" allowBlank="1" showInputMessage="1" showErrorMessage="1" sqref="DE4 DE8:DE1048576">
      <formula1>INDIRECT(SUBSTITUTE(SUBSTITUTE(A4,"-","_")," ","")&amp;"battery_type")</formula1>
    </dataValidation>
    <dataValidation type="list" allowBlank="1" showInputMessage="1" showErrorMessage="1" sqref="DJ4 DJ8:DJ1048576">
      <formula1>INDIRECT(SUBSTITUTE(SUBSTITUTE(A4,"-","_")," ","")&amp;"battery_weight_unit_of_measure")</formula1>
    </dataValidation>
    <dataValidation type="list" allowBlank="1" showInputMessage="1" showErrorMessage="1" sqref="DM4 DM8:DM1048576">
      <formula1>INDIRECT(SUBSTITUTE(SUBSTITUTE(A4,"-","_")," ","")&amp;"lithium_battery_packaging")</formula1>
    </dataValidation>
    <dataValidation type="list" allowBlank="1" showInputMessage="1" showErrorMessage="1" sqref="DO4 DO8:DO1048576">
      <formula1>INDIRECT(SUBSTITUTE(SUBSTITUTE(A4,"-","_")," ","")&amp;"lithium_battery_energy_content_unit_of_measure")</formula1>
    </dataValidation>
    <dataValidation type="list" allowBlank="1" showInputMessage="1" showErrorMessage="1" sqref="DQ4 DQ8:DQ1048576">
      <formula1>INDIRECT(SUBSTITUTE(SUBSTITUTE(A4,"-","_")," ","")&amp;"lithium_battery_weight_unit_of_measure")</formula1>
    </dataValidation>
    <dataValidation type="list" allowBlank="1" showInputMessage="1" showErrorMessage="1" sqref="DR4 DR8:DR1048576">
      <formula1>INDIRECT(SUBSTITUTE(SUBSTITUTE(A4,"-","_")," ","")&amp;"supplier_declared_dg_hz_regulation")</formula1>
    </dataValidation>
    <dataValidation type="list" allowBlank="1" showInputMessage="1" showErrorMessage="1" sqref="DS4 DS8:DS1048576">
      <formula1>INDIRECT(SUBSTITUTE(SUBSTITUTE(A4,"-","_")," ","")&amp;"supplier_declared_dg_hz_regulation")</formula1>
    </dataValidation>
    <dataValidation type="list" allowBlank="1" showInputMessage="1" showErrorMessage="1" sqref="DT4 DT8:DT1048576">
      <formula1>INDIRECT(SUBSTITUTE(SUBSTITUTE(A4,"-","_")," ","")&amp;"supplier_declared_dg_hz_regulation")</formula1>
    </dataValidation>
    <dataValidation type="list" allowBlank="1" showInputMessage="1" showErrorMessage="1" sqref="DU4 DU8:DU1048576">
      <formula1>INDIRECT(SUBSTITUTE(SUBSTITUTE(A4,"-","_")," ","")&amp;"supplier_declared_dg_hz_regulation")</formula1>
    </dataValidation>
    <dataValidation type="list" allowBlank="1" showInputMessage="1" showErrorMessage="1" sqref="DV4 DV8:DV1048576">
      <formula1>INDIRECT(SUBSTITUTE(SUBSTITUTE(A4,"-","_")," ","")&amp;"supplier_declared_dg_hz_regulation")</formula1>
    </dataValidation>
    <dataValidation type="list" allowBlank="1" showInputMessage="1" showErrorMessage="1" sqref="DZ4 DZ8:DZ1048576">
      <formula1>INDIRECT(SUBSTITUTE(SUBSTITUTE(A4,"-","_")," ","")&amp;"item_weight_unit_of_measure")</formula1>
    </dataValidation>
    <dataValidation type="list" allowBlank="1" showInputMessage="1" showErrorMessage="1" sqref="EB4 EB8:EB1048576">
      <formula1>INDIRECT(SUBSTITUTE(SUBSTITUTE(A4,"-","_")," ","")&amp;"item_volume_unit_of_measure")</formula1>
    </dataValidation>
    <dataValidation type="list" allowBlank="1" showInputMessage="1" showErrorMessage="1" sqref="ED4 ED8:ED1048576">
      <formula1>INDIRECT(SUBSTITUTE(SUBSTITUTE(A4,"-","_")," ","")&amp;"ghs_classification_class")</formula1>
    </dataValidation>
    <dataValidation type="list" allowBlank="1" showInputMessage="1" showErrorMessage="1" sqref="EE4 EE8:EE1048576">
      <formula1>INDIRECT(SUBSTITUTE(SUBSTITUTE(A4,"-","_")," ","")&amp;"ghs_classification_class")</formula1>
    </dataValidation>
    <dataValidation type="list" allowBlank="1" showInputMessage="1" showErrorMessage="1" sqref="EF4 EF8:EF1048576">
      <formula1>INDIRECT(SUBSTITUTE(SUBSTITUTE(A4,"-","_")," ","")&amp;"ghs_classification_class")</formula1>
    </dataValidation>
    <dataValidation type="list" allowBlank="1" showInputMessage="1" showErrorMessage="1" sqref="EQ4 EQ8:EQ1048576">
      <formula1>INDIRECT(SUBSTITUTE(SUBSTITUTE(A4,"-","_")," ","")&amp;"offering_can_be_gift_messaged")</formula1>
    </dataValidation>
    <dataValidation type="list" allowBlank="1" showInputMessage="1" showErrorMessage="1" sqref="ER4 ER8:ER1048576">
      <formula1>INDIRECT(SUBSTITUTE(SUBSTITUTE(A4,"-","_")," ","")&amp;"offering_can_be_giftwrapped")</formula1>
    </dataValidation>
    <dataValidation type="list" allowBlank="1" showInputMessage="1" showErrorMessage="1" sqref="ES4 ES8:ES1048576">
      <formula1>INDIRECT(SUBSTITUTE(SUBSTITUTE(A4,"-","_")," ","")&amp;"is_discontinued_by_manufacturer")</formula1>
    </dataValidation>
    <dataValidation type="list" allowBlank="1" showInputMessage="1" showErrorMessage="1" sqref="EV4 EV8:EV1048576">
      <formula1>INDIRECT(SUBSTITUTE(SUBSTITUTE(A4,"-","_")," ","")&amp;"is_expiration_dated_product")</formula1>
    </dataValidation>
    <dataValidation type="list" allowBlank="1" showInputMessage="1" sqref="EY4 EY8:EY1048576">
      <formula1>INDIRECT(SUBSTITUTE(SUBSTITUTE(A4,"-","_")," ","")&amp;"product_expiration_type")</formula1>
    </dataValidation>
    <dataValidation type="list" allowBlank="1" showInputMessage="1" sqref="FC4 FC8:FC1048576">
      <formula1>merchant_shipping_group_name</formula1>
    </dataValidation>
    <dataValidation type="list" allowBlank="1" showInputMessage="1" sqref="FH4 FH8:FH1048576">
      <formula1>INDIRECT(SUBSTITUTE(SUBSTITUTE(A4,"-","_")," ","")&amp;"product_tax_code")</formula1>
    </dataValidation>
    <dataValidation type="list" allowBlank="1" showInputMessage="1" showErrorMessage="1" sqref="FK4 FK8:FK1048576">
      <formula1>INDIRECT(SUBSTITUTE(SUBSTITUTE(A4,"-","_")," ","")&amp;"quantity_price_type")</formula1>
    </dataValidation>
    <dataValidation type="list" allowBlank="1" showInputMessage="1" showErrorMessage="1" sqref="FV4 FV8:FV1048576">
      <formula1>INDIRECT(SUBSTITUTE(SUBSTITUTE(A4,"-","_")," ","")&amp;"progressive_discount_type")</formula1>
    </dataValidation>
    <dataValidation type="list" allowBlank="1" showInputMessage="1" showErrorMessage="1" sqref="GE4 GE8:GE1048576">
      <formula1>INDIRECT(SUBSTITUTE(SUBSTITUTE(A4,"-","_")," ","")&amp;"pricing_action")</formula1>
    </dataValidation>
    <dataValidation type="list" allowBlank="1" showInputMessage="1" showErrorMessage="1" sqref="A4:A1048576">
      <formula1>feed_product_type</formula1>
    </dataValidation>
    <dataValidation type="list" allowBlank="1" showInputMessage="1" sqref="C4:C1048576">
      <formula1>brand_name</formula1>
    </dataValidation>
    <dataValidation type="list" allowBlank="1" showInputMessage="1" sqref="G4:G1048576">
      <formula1>INDIRECT(SUBSTITUTE(SUBSTITUTE(A4,"-","_")," ","")&amp;"outer_material_type")</formula1>
    </dataValidation>
    <dataValidation type="list" allowBlank="1" showInputMessage="1" sqref="H4:H1048576">
      <formula1>INDIRECT(SUBSTITUTE(SUBSTITUTE(A4,"-","_")," ","")&amp;"color_map")</formula1>
    </dataValidation>
    <dataValidation type="list" allowBlank="1" showInputMessage="1" sqref="L4:L1048576">
      <formula1>INDIRECT(SUBSTITUTE(SUBSTITUTE(A4,"-","_")," ","")&amp;"lifestyle")</formula1>
    </dataValidation>
    <dataValidation type="list" allowBlank="1" showInputMessage="1" sqref="M4:M1048576">
      <formula1>INDIRECT(SUBSTITUTE(SUBSTITUTE(A4,"-","_")," ","")&amp;"style_name")</formula1>
    </dataValidation>
    <dataValidation type="list" allowBlank="1" showInputMessage="1" sqref="O4:O1048576">
      <formula1>INDIRECT(SUBSTITUTE(SUBSTITUTE(A4,"-","_")," ","")&amp;"department_name")</formula1>
    </dataValidation>
    <dataValidation type="list" allowBlank="1" showInputMessage="1" showErrorMessage="1" sqref="P4:P1048576">
      <formula1>INDIRECT(SUBSTITUTE(SUBSTITUTE(A4,"-","_")," ","")&amp;"lifecycle_supply_type")</formula1>
    </dataValidation>
    <dataValidation type="list" allowBlank="1" showInputMessage="1" sqref="R16:R1048576">
      <formula1>INDIRECT(SUBSTITUTE(SUBSTITUTE(A16,"-","_")," ","")&amp;"size_map")</formula1>
    </dataValidation>
    <dataValidation type="list" allowBlank="1" showInputMessage="1" sqref="S4:S1048576">
      <formula1>INDIRECT(SUBSTITUTE(SUBSTITUTE(A4,"-","_")," ","")&amp;"item_length_description")</formula1>
    </dataValidation>
    <dataValidation type="list" allowBlank="1" showInputMessage="1" showErrorMessage="1" sqref="T4:T1048576">
      <formula1>INDIRECT(SUBSTITUTE(SUBSTITUTE(A4,"-","_")," ","")&amp;"is_adult_product")</formula1>
    </dataValidation>
    <dataValidation type="list" allowBlank="1" showInputMessage="1" showErrorMessage="1" sqref="U4:U1048576">
      <formula1>INDIRECT(SUBSTITUTE(SUBSTITUTE(A4,"-","_")," ","")&amp;"country_of_origin")</formula1>
    </dataValidation>
    <dataValidation type="list" allowBlank="1" showInputMessage="1" showErrorMessage="1" sqref="AC4:AC1048576">
      <formula1>INDIRECT(SUBSTITUTE(SUBSTITUTE(A4,"-","_")," ","")&amp;"target_gender")</formula1>
    </dataValidation>
    <dataValidation type="list" allowBlank="1" showInputMessage="1" sqref="AD4:AD1048576">
      <formula1>INDIRECT(SUBSTITUTE(SUBSTITUTE(A4,"-","_")," ","")&amp;"age_range_description")</formula1>
    </dataValidation>
    <dataValidation type="list" allowBlank="1" showInputMessage="1" showErrorMessage="1" sqref="AE4:AE1048576">
      <formula1>INDIRECT(SUBSTITUTE(SUBSTITUTE(A4,"-","_")," ","")&amp;"apparel_size_system")</formula1>
    </dataValidation>
    <dataValidation type="list" allowBlank="1" showInputMessage="1" showErrorMessage="1" sqref="AF4:AF1048576">
      <formula1>INDIRECT(SUBSTITUTE(SUBSTITUTE(A4,"-","_")," ","")&amp;"apparel_size_class")</formula1>
    </dataValidation>
    <dataValidation type="list" allowBlank="1" showInputMessage="1" showErrorMessage="1" sqref="AG16:AG1048576">
      <formula1>INDIRECT(SUBSTITUTE(SUBSTITUTE(A16,"-","_")," ","")&amp;"apparel_size")</formula1>
    </dataValidation>
    <dataValidation type="list" allowBlank="1" showInputMessage="1" showErrorMessage="1" sqref="AH8:AH1048576">
      <formula1>INDIRECT(SUBSTITUTE(SUBSTITUTE(A8,"-","_")," ","")&amp;"apparel_size_to")</formula1>
    </dataValidation>
    <dataValidation type="list" allowBlank="1" showInputMessage="1" showErrorMessage="1" sqref="AI4:AI1048576">
      <formula1>INDIRECT(SUBSTITUTE(SUBSTITUTE(A4,"-","_")," ","")&amp;"apparel_body_type")</formula1>
    </dataValidation>
    <dataValidation type="list" allowBlank="1" showInputMessage="1" showErrorMessage="1" sqref="AJ4:AJ1048576">
      <formula1>INDIRECT(SUBSTITUTE(SUBSTITUTE(A4,"-","_")," ","")&amp;"apparel_height_type")</formula1>
    </dataValidation>
    <dataValidation type="list" allowBlank="1" showInputMessage="1" showErrorMessage="1" sqref="AS4:AS1048576">
      <formula1>INDIRECT(SUBSTITUTE(SUBSTITUTE(A4,"-","_")," ","")&amp;"parent_child")</formula1>
    </dataValidation>
    <dataValidation type="list" allowBlank="1" showInputMessage="1" showErrorMessage="1" sqref="AU4:AU1048576">
      <formula1>INDIRECT(SUBSTITUTE(SUBSTITUTE(A4,"-","_")," ","")&amp;"relationship_type")</formula1>
    </dataValidation>
    <dataValidation type="list" allowBlank="1" showInputMessage="1" showErrorMessage="1" sqref="AV4:AV1048576">
      <formula1>INDIRECT(SUBSTITUTE(SUBSTITUTE(A4,"-","_")," ","")&amp;"variation_theme")</formula1>
    </dataValidation>
    <dataValidation type="list" allowBlank="1" showInputMessage="1" showErrorMessage="1" sqref="AW4:AW1048576">
      <formula1>INDIRECT(SUBSTITUTE(SUBSTITUTE(A4,"-","_")," ","")&amp;"update_delete")</formula1>
    </dataValidation>
    <dataValidation type="list" allowBlank="1" showInputMessage="1" sqref="AY4:AY1048576">
      <formula1>INDIRECT(SUBSTITUTE(SUBSTITUTE(A4,"-","_")," ","")&amp;"recommended_browse_nodes")</formula1>
    </dataValidation>
    <dataValidation type="list" allowBlank="1" showInputMessage="1" sqref="BA16:BA1048576">
      <formula1>INDIRECT(SUBSTITUTE(SUBSTITUTE(A16,"-","_")," ","")&amp;"care_instructions")</formula1>
    </dataValidation>
    <dataValidation type="list" allowBlank="1" showInputMessage="1" sqref="CF16:CF1048576">
      <formula1>INDIRECT(SUBSTITUTE(SUBSTITUTE(A16,"-","_")," ","")&amp;"sleeve_type")</formula1>
    </dataValidation>
    <dataValidation type="list" allowBlank="1" showInputMessage="1" sqref="CS5:CS15">
      <formula1>INDIRECT(SUBSTITUTE(P4,"-","_")&amp;"package_weight_unit_of_measure")</formula1>
    </dataValidation>
    <dataValidation type="list" allowBlank="1" showInputMessage="1" showErrorMessage="1" sqref="CS16:CS1048576">
      <formula1>INDIRECT(SUBSTITUTE(SUBSTITUTE(A16,"-","_")," ","")&amp;"package_weight_unit_of_measure")</formula1>
    </dataValidation>
    <dataValidation type="list" allowBlank="1" showInputMessage="1" sqref="CT5:CT15">
      <formula1>INDIRECT(SUBSTITUTE(P4,"-","_")&amp;"package_dimensions_unit_of_measure")</formula1>
    </dataValidation>
    <dataValidation type="list" allowBlank="1" showInputMessage="1" showErrorMessage="1" sqref="CT16:CT1048576">
      <formula1>INDIRECT(SUBSTITUTE(SUBSTITUTE(A16,"-","_")," ","")&amp;"package_dimensions_unit_of_measure")</formula1>
    </dataValidation>
    <dataValidation type="list" allowBlank="1" showInputMessage="1" showErrorMessage="1" sqref="CZ4:CZ1048576">
      <formula1>INDIRECT(SUBSTITUTE(SUBSTITUTE(A4,"-","_")," ","")&amp;"batteries_required")</formula1>
    </dataValidation>
    <dataValidation type="list" allowBlank="1" showInputMessage="1" showErrorMessage="1" sqref="DA4:DA1048576">
      <formula1>INDIRECT(SUBSTITUTE(SUBSTITUTE(A4,"-","_")," ","")&amp;"are_batteries_included")</formula1>
    </dataValidation>
    <dataValidation type="list" allowBlank="1" showInputMessage="1" showErrorMessage="1" sqref="EG4:EG1048576">
      <formula1>INDIRECT(SUBSTITUTE(SUBSTITUTE(A4,"-","_")," ","")&amp;"condition_type")</formula1>
    </dataValidation>
    <dataValidation type="list" allowBlank="1" showInputMessage="1" showErrorMessage="1" sqref="EI4:EI1048576">
      <formula1>INDIRECT(SUBSTITUTE(SUBSTITUTE(A4,"-","_")," ","")&amp;"currency")</formula1>
    </dataValidation>
  </dataValidations>
  <pageMargins left="0.75" right="0.75" top="1" bottom="1" header="0.5" footer="0.5"/>
  <pageSetup paperSize="9" orientation="portrait"/>
  <headerFooter/>
  <ignoredErrors>
    <ignoredError sqref="AY4:AY6" numberStoredAsText="1"/>
  </ignoredErrors>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dimension ref="A1:D13"/>
  <sheetViews>
    <sheetView workbookViewId="0">
      <selection activeCell="A1" sqref="A1"/>
    </sheetView>
  </sheetViews>
  <sheetFormatPr defaultColWidth="9" defaultRowHeight="16.8" outlineLevelCol="3"/>
  <cols>
    <col min="1" max="4" width="9" customWidth="1"/>
  </cols>
  <sheetData>
    <row r="1" spans="1:4">
      <c r="A1" t="s">
        <v>1372</v>
      </c>
      <c r="B1" t="s">
        <v>1373</v>
      </c>
      <c r="C1" t="s">
        <v>1374</v>
      </c>
      <c r="D1" t="s">
        <v>1375</v>
      </c>
    </row>
    <row r="2" spans="1:4">
      <c r="A2" t="s">
        <v>903</v>
      </c>
      <c r="B2" t="s">
        <v>1376</v>
      </c>
      <c r="C2" t="s">
        <v>1377</v>
      </c>
      <c r="D2" t="s">
        <v>1378</v>
      </c>
    </row>
    <row r="3" spans="1:4">
      <c r="B3" t="s">
        <v>1379</v>
      </c>
    </row>
    <row r="4" spans="1:4">
      <c r="B4" t="s">
        <v>1380</v>
      </c>
    </row>
    <row r="5" spans="1:4">
      <c r="B5" t="s">
        <v>1381</v>
      </c>
    </row>
    <row r="6" spans="1:4">
      <c r="B6" t="s">
        <v>1382</v>
      </c>
    </row>
    <row r="7" spans="1:4">
      <c r="B7" t="s">
        <v>1383</v>
      </c>
    </row>
    <row r="8" spans="1:4">
      <c r="B8" t="s">
        <v>1384</v>
      </c>
    </row>
    <row r="9" spans="1:4">
      <c r="B9" t="s">
        <v>1385</v>
      </c>
    </row>
    <row r="10" spans="1:4">
      <c r="B10" t="s">
        <v>1386</v>
      </c>
    </row>
    <row r="11" spans="1:4">
      <c r="B11" t="s">
        <v>1387</v>
      </c>
    </row>
    <row r="12" spans="1:4">
      <c r="B12" t="s">
        <v>1388</v>
      </c>
    </row>
    <row r="13" spans="1:4">
      <c r="B13" t="s">
        <v>1389</v>
      </c>
    </row>
  </sheetData>
  <pageMargins left="0.75" right="0.75" top="1" bottom="1" header="0.5" footer="0.5"/>
  <pageSetup paperSize="9" orientation="portrait"/>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7"/>
  <dimension ref="A1:BS543"/>
  <sheetViews>
    <sheetView workbookViewId="0">
      <selection activeCell="A1" sqref="A1"/>
    </sheetView>
  </sheetViews>
  <sheetFormatPr defaultColWidth="9" defaultRowHeight="16.8"/>
  <sheetData>
    <row r="1" spans="1:71">
      <c r="A1" t="s">
        <v>1390</v>
      </c>
      <c r="B1" t="s">
        <v>1390</v>
      </c>
      <c r="C1" t="s">
        <v>1390</v>
      </c>
      <c r="D1" t="s">
        <v>1390</v>
      </c>
      <c r="E1" t="s">
        <v>1390</v>
      </c>
      <c r="F1" t="s">
        <v>1390</v>
      </c>
      <c r="G1" t="s">
        <v>1390</v>
      </c>
      <c r="H1" t="s">
        <v>1390</v>
      </c>
      <c r="I1" t="s">
        <v>1390</v>
      </c>
      <c r="J1" t="s">
        <v>1390</v>
      </c>
      <c r="K1" t="s">
        <v>1390</v>
      </c>
      <c r="L1" t="s">
        <v>1390</v>
      </c>
      <c r="M1" t="s">
        <v>1390</v>
      </c>
      <c r="N1" t="s">
        <v>1390</v>
      </c>
      <c r="O1" t="s">
        <v>1390</v>
      </c>
      <c r="P1" t="s">
        <v>1390</v>
      </c>
      <c r="Q1" t="s">
        <v>1390</v>
      </c>
      <c r="R1" t="s">
        <v>1390</v>
      </c>
      <c r="S1" t="s">
        <v>1390</v>
      </c>
      <c r="T1" t="s">
        <v>1390</v>
      </c>
      <c r="U1" t="s">
        <v>1390</v>
      </c>
      <c r="V1" t="s">
        <v>1390</v>
      </c>
      <c r="W1" t="s">
        <v>1390</v>
      </c>
      <c r="X1" t="s">
        <v>1390</v>
      </c>
      <c r="Y1" t="s">
        <v>1390</v>
      </c>
      <c r="Z1" t="s">
        <v>1390</v>
      </c>
      <c r="AA1" t="s">
        <v>1390</v>
      </c>
      <c r="AB1" t="s">
        <v>1390</v>
      </c>
      <c r="AC1" t="s">
        <v>1390</v>
      </c>
      <c r="AD1" t="s">
        <v>1390</v>
      </c>
      <c r="AE1" t="s">
        <v>1390</v>
      </c>
      <c r="AF1" t="s">
        <v>1390</v>
      </c>
      <c r="AG1" t="s">
        <v>1390</v>
      </c>
      <c r="AH1" t="s">
        <v>1390</v>
      </c>
      <c r="AI1" t="s">
        <v>1390</v>
      </c>
      <c r="AJ1" t="s">
        <v>1390</v>
      </c>
      <c r="AK1" t="s">
        <v>1390</v>
      </c>
      <c r="AL1" t="s">
        <v>1390</v>
      </c>
      <c r="AM1" t="s">
        <v>1390</v>
      </c>
      <c r="AN1" t="s">
        <v>1390</v>
      </c>
      <c r="AO1" t="s">
        <v>1390</v>
      </c>
      <c r="AP1" t="s">
        <v>1390</v>
      </c>
      <c r="AQ1" t="s">
        <v>1390</v>
      </c>
      <c r="AR1" t="s">
        <v>1390</v>
      </c>
      <c r="AS1" t="s">
        <v>1390</v>
      </c>
      <c r="AT1" t="s">
        <v>1390</v>
      </c>
      <c r="AU1" t="s">
        <v>1390</v>
      </c>
      <c r="AV1" t="s">
        <v>1390</v>
      </c>
      <c r="AW1" t="s">
        <v>1390</v>
      </c>
      <c r="AX1" t="s">
        <v>1390</v>
      </c>
      <c r="AY1" t="s">
        <v>1390</v>
      </c>
      <c r="AZ1" t="s">
        <v>1390</v>
      </c>
      <c r="BA1" t="s">
        <v>1390</v>
      </c>
      <c r="BB1" t="s">
        <v>1390</v>
      </c>
      <c r="BC1" t="s">
        <v>1390</v>
      </c>
      <c r="BD1" t="s">
        <v>1390</v>
      </c>
      <c r="BE1" t="s">
        <v>1390</v>
      </c>
      <c r="BF1" t="s">
        <v>1390</v>
      </c>
      <c r="BG1" t="s">
        <v>1390</v>
      </c>
      <c r="BH1" t="s">
        <v>1390</v>
      </c>
      <c r="BI1" t="s">
        <v>1390</v>
      </c>
      <c r="BJ1" t="s">
        <v>1390</v>
      </c>
      <c r="BK1" t="s">
        <v>1390</v>
      </c>
      <c r="BL1" t="s">
        <v>1390</v>
      </c>
      <c r="BM1" t="s">
        <v>1390</v>
      </c>
      <c r="BN1" t="s">
        <v>1390</v>
      </c>
      <c r="BO1" t="s">
        <v>1390</v>
      </c>
      <c r="BP1" t="s">
        <v>1390</v>
      </c>
      <c r="BQ1" t="s">
        <v>1390</v>
      </c>
      <c r="BR1" t="s">
        <v>1390</v>
      </c>
      <c r="BS1" t="s">
        <v>1390</v>
      </c>
    </row>
    <row r="2" spans="1:71">
      <c r="B2" t="s">
        <v>1321</v>
      </c>
      <c r="C2" t="s">
        <v>1321</v>
      </c>
      <c r="D2" t="s">
        <v>1321</v>
      </c>
      <c r="E2" t="s">
        <v>1321</v>
      </c>
      <c r="F2" t="s">
        <v>1321</v>
      </c>
      <c r="G2" t="s">
        <v>1321</v>
      </c>
      <c r="H2" t="s">
        <v>1321</v>
      </c>
      <c r="I2" t="s">
        <v>1321</v>
      </c>
      <c r="J2" t="s">
        <v>1321</v>
      </c>
      <c r="K2" t="s">
        <v>1321</v>
      </c>
      <c r="L2" t="s">
        <v>1321</v>
      </c>
      <c r="M2" t="s">
        <v>1321</v>
      </c>
      <c r="N2" t="s">
        <v>1321</v>
      </c>
      <c r="O2" t="s">
        <v>1321</v>
      </c>
      <c r="P2" t="s">
        <v>1321</v>
      </c>
      <c r="Q2" t="s">
        <v>1321</v>
      </c>
      <c r="R2" t="s">
        <v>1321</v>
      </c>
      <c r="S2" t="s">
        <v>1321</v>
      </c>
      <c r="T2" t="s">
        <v>1321</v>
      </c>
      <c r="U2" t="s">
        <v>1321</v>
      </c>
      <c r="V2" t="s">
        <v>1321</v>
      </c>
      <c r="W2" t="s">
        <v>1321</v>
      </c>
      <c r="X2" t="s">
        <v>1321</v>
      </c>
      <c r="Y2" t="s">
        <v>1321</v>
      </c>
      <c r="Z2" t="s">
        <v>1321</v>
      </c>
      <c r="AA2" t="s">
        <v>1321</v>
      </c>
      <c r="AB2" t="s">
        <v>1321</v>
      </c>
      <c r="AC2" t="s">
        <v>1321</v>
      </c>
      <c r="AD2" t="s">
        <v>1321</v>
      </c>
      <c r="AE2" t="s">
        <v>1321</v>
      </c>
      <c r="AF2" t="s">
        <v>1321</v>
      </c>
      <c r="AG2" t="s">
        <v>1321</v>
      </c>
      <c r="AH2" t="s">
        <v>1321</v>
      </c>
      <c r="AI2" t="s">
        <v>1321</v>
      </c>
      <c r="AJ2" t="s">
        <v>1321</v>
      </c>
      <c r="AK2" t="s">
        <v>1321</v>
      </c>
      <c r="AL2" t="s">
        <v>1321</v>
      </c>
      <c r="AM2" t="s">
        <v>1321</v>
      </c>
      <c r="AN2" t="s">
        <v>1321</v>
      </c>
      <c r="AO2" t="s">
        <v>1321</v>
      </c>
      <c r="AP2" t="s">
        <v>1321</v>
      </c>
      <c r="AQ2" t="s">
        <v>1321</v>
      </c>
      <c r="AR2" t="s">
        <v>1321</v>
      </c>
      <c r="AS2" t="s">
        <v>1321</v>
      </c>
      <c r="AT2" t="s">
        <v>1321</v>
      </c>
      <c r="AU2" t="s">
        <v>1321</v>
      </c>
      <c r="AV2" t="s">
        <v>1321</v>
      </c>
      <c r="AW2" t="s">
        <v>1321</v>
      </c>
      <c r="AX2" t="s">
        <v>1321</v>
      </c>
      <c r="AY2" t="s">
        <v>1321</v>
      </c>
      <c r="AZ2" t="s">
        <v>1321</v>
      </c>
      <c r="BA2" t="s">
        <v>1321</v>
      </c>
      <c r="BB2" t="s">
        <v>1321</v>
      </c>
      <c r="BC2" t="s">
        <v>1321</v>
      </c>
      <c r="BD2" t="s">
        <v>1321</v>
      </c>
      <c r="BE2" t="s">
        <v>1321</v>
      </c>
      <c r="BF2" t="s">
        <v>1321</v>
      </c>
      <c r="BG2" t="s">
        <v>1321</v>
      </c>
      <c r="BH2" t="s">
        <v>1321</v>
      </c>
      <c r="BI2" t="s">
        <v>1321</v>
      </c>
      <c r="BJ2" t="s">
        <v>1321</v>
      </c>
      <c r="BK2" t="s">
        <v>1321</v>
      </c>
      <c r="BL2" t="s">
        <v>1321</v>
      </c>
      <c r="BM2" t="s">
        <v>1321</v>
      </c>
      <c r="BN2" t="s">
        <v>1321</v>
      </c>
      <c r="BO2" t="s">
        <v>1321</v>
      </c>
      <c r="BP2" t="s">
        <v>1321</v>
      </c>
      <c r="BS2" t="s">
        <v>1321</v>
      </c>
    </row>
    <row r="3" spans="1:71">
      <c r="A3" t="s">
        <v>1150</v>
      </c>
      <c r="B3" t="s">
        <v>1195</v>
      </c>
      <c r="C3" t="s">
        <v>1178</v>
      </c>
      <c r="D3" t="s">
        <v>1225</v>
      </c>
      <c r="E3" t="s">
        <v>1285</v>
      </c>
      <c r="F3" t="s">
        <v>1183</v>
      </c>
      <c r="G3" t="s">
        <v>1170</v>
      </c>
      <c r="H3" t="s">
        <v>1256</v>
      </c>
      <c r="I3" t="s">
        <v>1154</v>
      </c>
      <c r="J3" t="s">
        <v>1196</v>
      </c>
      <c r="K3" t="s">
        <v>1177</v>
      </c>
      <c r="L3" t="s">
        <v>1169</v>
      </c>
      <c r="M3" t="s">
        <v>1272</v>
      </c>
      <c r="N3" t="s">
        <v>1259</v>
      </c>
      <c r="O3" t="s">
        <v>1244</v>
      </c>
      <c r="P3" t="s">
        <v>1246</v>
      </c>
      <c r="Q3" t="s">
        <v>1237</v>
      </c>
      <c r="R3" t="s">
        <v>1197</v>
      </c>
      <c r="S3" t="s">
        <v>1184</v>
      </c>
      <c r="T3" t="s">
        <v>1157</v>
      </c>
      <c r="U3" t="s">
        <v>1245</v>
      </c>
      <c r="V3" t="s">
        <v>1288</v>
      </c>
      <c r="W3" t="s">
        <v>1167</v>
      </c>
      <c r="X3" t="s">
        <v>1205</v>
      </c>
      <c r="Y3" t="s">
        <v>1226</v>
      </c>
      <c r="Z3" t="s">
        <v>1052</v>
      </c>
      <c r="AA3" t="s">
        <v>1243</v>
      </c>
      <c r="AB3" t="s">
        <v>1229</v>
      </c>
      <c r="AC3" t="s">
        <v>1213</v>
      </c>
      <c r="AD3" t="s">
        <v>1238</v>
      </c>
      <c r="AE3" t="s">
        <v>1311</v>
      </c>
      <c r="AF3" t="s">
        <v>1089</v>
      </c>
      <c r="AG3" t="s">
        <v>1232</v>
      </c>
      <c r="AH3" t="s">
        <v>1161</v>
      </c>
      <c r="AI3" t="s">
        <v>1168</v>
      </c>
      <c r="AJ3" t="s">
        <v>1269</v>
      </c>
      <c r="AK3" t="s">
        <v>1181</v>
      </c>
      <c r="AL3" t="s">
        <v>1281</v>
      </c>
      <c r="AM3" t="s">
        <v>1087</v>
      </c>
      <c r="AN3" t="s">
        <v>1247</v>
      </c>
      <c r="AO3" t="s">
        <v>1156</v>
      </c>
      <c r="AP3" t="s">
        <v>1179</v>
      </c>
      <c r="AQ3" t="s">
        <v>1242</v>
      </c>
      <c r="AR3" t="s">
        <v>1180</v>
      </c>
      <c r="AS3" t="s">
        <v>1164</v>
      </c>
      <c r="AT3" t="s">
        <v>1054</v>
      </c>
      <c r="AU3" t="s">
        <v>277</v>
      </c>
      <c r="AV3" t="s">
        <v>1219</v>
      </c>
      <c r="AW3" t="s">
        <v>1082</v>
      </c>
      <c r="AX3" t="s">
        <v>1292</v>
      </c>
      <c r="AY3" t="s">
        <v>1206</v>
      </c>
      <c r="AZ3" t="s">
        <v>1282</v>
      </c>
      <c r="BA3" t="s">
        <v>1094</v>
      </c>
      <c r="BB3" t="s">
        <v>1171</v>
      </c>
      <c r="BC3" t="s">
        <v>1227</v>
      </c>
      <c r="BD3" t="s">
        <v>1207</v>
      </c>
      <c r="BE3" t="s">
        <v>1096</v>
      </c>
      <c r="BF3" t="s">
        <v>1320</v>
      </c>
      <c r="BG3" t="s">
        <v>1241</v>
      </c>
      <c r="BH3" t="s">
        <v>1193</v>
      </c>
      <c r="BI3" t="s">
        <v>1231</v>
      </c>
      <c r="BJ3" t="s">
        <v>1165</v>
      </c>
      <c r="BK3" t="s">
        <v>1300</v>
      </c>
      <c r="BL3" t="s">
        <v>1297</v>
      </c>
      <c r="BM3" t="s">
        <v>1201</v>
      </c>
      <c r="BN3" t="s">
        <v>1280</v>
      </c>
      <c r="BO3" t="s">
        <v>1182</v>
      </c>
      <c r="BP3" t="s">
        <v>1162</v>
      </c>
      <c r="BQ3" t="s">
        <v>1152</v>
      </c>
      <c r="BR3" t="s">
        <v>1292</v>
      </c>
      <c r="BS3" t="s">
        <v>1199</v>
      </c>
    </row>
    <row r="4" spans="1:71">
      <c r="A4" t="s">
        <v>1321</v>
      </c>
      <c r="B4" t="s">
        <v>1391</v>
      </c>
      <c r="C4" t="s">
        <v>1337</v>
      </c>
      <c r="D4" t="s">
        <v>903</v>
      </c>
      <c r="E4" t="s">
        <v>903</v>
      </c>
      <c r="F4" t="s">
        <v>1392</v>
      </c>
      <c r="G4" t="s">
        <v>1393</v>
      </c>
      <c r="H4" t="s">
        <v>1394</v>
      </c>
      <c r="I4" t="s">
        <v>1395</v>
      </c>
      <c r="J4" t="s">
        <v>1396</v>
      </c>
      <c r="K4" t="s">
        <v>1397</v>
      </c>
      <c r="L4" t="s">
        <v>903</v>
      </c>
      <c r="M4" t="s">
        <v>1398</v>
      </c>
      <c r="N4" t="s">
        <v>1378</v>
      </c>
      <c r="O4" t="s">
        <v>903</v>
      </c>
      <c r="P4" t="s">
        <v>1399</v>
      </c>
      <c r="Q4" t="s">
        <v>1400</v>
      </c>
      <c r="R4" t="s">
        <v>830</v>
      </c>
      <c r="S4" t="s">
        <v>1401</v>
      </c>
      <c r="T4" t="s">
        <v>1402</v>
      </c>
      <c r="U4" t="s">
        <v>903</v>
      </c>
      <c r="V4" t="s">
        <v>1403</v>
      </c>
      <c r="W4" t="s">
        <v>1404</v>
      </c>
      <c r="X4" t="s">
        <v>1405</v>
      </c>
      <c r="Y4" t="s">
        <v>1406</v>
      </c>
      <c r="Z4" t="s">
        <v>1407</v>
      </c>
      <c r="AA4" t="s">
        <v>1408</v>
      </c>
      <c r="AB4" t="s">
        <v>1400</v>
      </c>
      <c r="AC4" t="s">
        <v>1409</v>
      </c>
      <c r="AD4" t="s">
        <v>1359</v>
      </c>
      <c r="AE4" t="s">
        <v>1410</v>
      </c>
      <c r="AF4" t="s">
        <v>1400</v>
      </c>
      <c r="AG4" t="s">
        <v>1411</v>
      </c>
      <c r="AH4" t="s">
        <v>1412</v>
      </c>
      <c r="AI4" t="s">
        <v>1413</v>
      </c>
      <c r="AJ4" t="s">
        <v>1414</v>
      </c>
      <c r="AK4" s="1" t="s">
        <v>1415</v>
      </c>
      <c r="AL4" t="s">
        <v>903</v>
      </c>
      <c r="AM4" t="s">
        <v>1416</v>
      </c>
      <c r="AN4" t="s">
        <v>1417</v>
      </c>
      <c r="AO4" t="s">
        <v>1418</v>
      </c>
      <c r="AP4" t="s">
        <v>1338</v>
      </c>
      <c r="AQ4" t="s">
        <v>1419</v>
      </c>
      <c r="AR4" t="s">
        <v>1420</v>
      </c>
      <c r="AS4" t="s">
        <v>1421</v>
      </c>
      <c r="AT4" t="s">
        <v>1422</v>
      </c>
      <c r="AU4" t="s">
        <v>1423</v>
      </c>
      <c r="AV4" t="s">
        <v>1424</v>
      </c>
      <c r="AW4" t="s">
        <v>1400</v>
      </c>
      <c r="AX4" t="s">
        <v>1425</v>
      </c>
      <c r="AY4" t="s">
        <v>1426</v>
      </c>
      <c r="AZ4" t="s">
        <v>903</v>
      </c>
      <c r="BA4" t="s">
        <v>1400</v>
      </c>
      <c r="BB4" t="s">
        <v>1427</v>
      </c>
      <c r="BC4" t="s">
        <v>1428</v>
      </c>
      <c r="BD4" t="s">
        <v>1429</v>
      </c>
      <c r="BE4" t="s">
        <v>1430</v>
      </c>
      <c r="BF4" t="s">
        <v>1431</v>
      </c>
      <c r="BG4" t="s">
        <v>1432</v>
      </c>
      <c r="BH4" t="s">
        <v>1433</v>
      </c>
      <c r="BI4" t="s">
        <v>1359</v>
      </c>
      <c r="BJ4" t="s">
        <v>1434</v>
      </c>
      <c r="BK4" t="s">
        <v>1410</v>
      </c>
      <c r="BL4" t="s">
        <v>1435</v>
      </c>
      <c r="BM4" t="s">
        <v>1436</v>
      </c>
      <c r="BN4" t="s">
        <v>903</v>
      </c>
      <c r="BO4" s="1" t="s">
        <v>1415</v>
      </c>
      <c r="BP4" t="s">
        <v>1328</v>
      </c>
      <c r="BQ4" t="s">
        <v>1437</v>
      </c>
      <c r="BR4" t="s">
        <v>1438</v>
      </c>
      <c r="BS4" s="1" t="s">
        <v>1439</v>
      </c>
    </row>
    <row r="5" spans="1:71">
      <c r="B5" t="s">
        <v>980</v>
      </c>
      <c r="C5" t="s">
        <v>1440</v>
      </c>
      <c r="D5" t="s">
        <v>612</v>
      </c>
      <c r="E5" t="s">
        <v>612</v>
      </c>
      <c r="F5" t="s">
        <v>1340</v>
      </c>
      <c r="G5" t="s">
        <v>1441</v>
      </c>
      <c r="H5" t="s">
        <v>1442</v>
      </c>
      <c r="I5" t="s">
        <v>1443</v>
      </c>
      <c r="J5" t="s">
        <v>1444</v>
      </c>
      <c r="K5" t="s">
        <v>1336</v>
      </c>
      <c r="L5" t="s">
        <v>612</v>
      </c>
      <c r="M5" t="s">
        <v>1445</v>
      </c>
      <c r="N5" t="s">
        <v>1446</v>
      </c>
      <c r="O5" t="s">
        <v>612</v>
      </c>
      <c r="P5" t="s">
        <v>1447</v>
      </c>
      <c r="Q5" t="s">
        <v>1448</v>
      </c>
      <c r="R5" t="s">
        <v>1449</v>
      </c>
      <c r="S5" t="s">
        <v>1450</v>
      </c>
      <c r="T5" t="s">
        <v>1451</v>
      </c>
      <c r="U5" t="s">
        <v>612</v>
      </c>
      <c r="V5" t="s">
        <v>1452</v>
      </c>
      <c r="W5" s="1" t="s">
        <v>1453</v>
      </c>
      <c r="X5" t="s">
        <v>1454</v>
      </c>
      <c r="Y5" t="s">
        <v>1455</v>
      </c>
      <c r="AA5" t="s">
        <v>1456</v>
      </c>
      <c r="AB5" t="s">
        <v>1448</v>
      </c>
      <c r="AC5" t="s">
        <v>1457</v>
      </c>
      <c r="AD5" t="s">
        <v>1458</v>
      </c>
      <c r="AE5" t="s">
        <v>1459</v>
      </c>
      <c r="AF5" t="s">
        <v>1448</v>
      </c>
      <c r="AG5" t="s">
        <v>1460</v>
      </c>
      <c r="AH5" t="s">
        <v>1461</v>
      </c>
      <c r="AI5" t="s">
        <v>1332</v>
      </c>
      <c r="AJ5" t="s">
        <v>1462</v>
      </c>
      <c r="AK5" s="1" t="s">
        <v>1453</v>
      </c>
      <c r="AL5" t="s">
        <v>612</v>
      </c>
      <c r="AM5" t="s">
        <v>1463</v>
      </c>
      <c r="AN5" t="s">
        <v>1464</v>
      </c>
      <c r="AO5" t="s">
        <v>1465</v>
      </c>
      <c r="AQ5" t="s">
        <v>1466</v>
      </c>
      <c r="AR5" t="s">
        <v>1467</v>
      </c>
      <c r="AS5" t="s">
        <v>1468</v>
      </c>
      <c r="AT5" t="s">
        <v>1469</v>
      </c>
      <c r="AU5" t="s">
        <v>1470</v>
      </c>
      <c r="AV5" t="s">
        <v>1471</v>
      </c>
      <c r="AW5" t="s">
        <v>1448</v>
      </c>
      <c r="AY5" t="s">
        <v>1472</v>
      </c>
      <c r="AZ5" t="s">
        <v>612</v>
      </c>
      <c r="BA5" t="s">
        <v>1448</v>
      </c>
      <c r="BB5" t="s">
        <v>1473</v>
      </c>
      <c r="BC5" t="s">
        <v>1474</v>
      </c>
      <c r="BD5" t="s">
        <v>1475</v>
      </c>
      <c r="BE5" t="s">
        <v>1476</v>
      </c>
      <c r="BF5" t="s">
        <v>1477</v>
      </c>
      <c r="BG5" t="s">
        <v>1478</v>
      </c>
      <c r="BH5" t="s">
        <v>1433</v>
      </c>
      <c r="BI5" t="s">
        <v>1458</v>
      </c>
      <c r="BJ5" t="s">
        <v>1479</v>
      </c>
      <c r="BK5" t="s">
        <v>1459</v>
      </c>
      <c r="BL5" t="s">
        <v>1480</v>
      </c>
      <c r="BM5" t="s">
        <v>1481</v>
      </c>
      <c r="BN5" t="s">
        <v>612</v>
      </c>
      <c r="BO5" s="1" t="s">
        <v>1453</v>
      </c>
      <c r="BP5" t="s">
        <v>1482</v>
      </c>
      <c r="BQ5" t="s">
        <v>1323</v>
      </c>
      <c r="BR5" t="s">
        <v>1483</v>
      </c>
      <c r="BS5" s="1" t="s">
        <v>1349</v>
      </c>
    </row>
    <row r="6" spans="1:71">
      <c r="B6" t="s">
        <v>1484</v>
      </c>
      <c r="C6" t="s">
        <v>1485</v>
      </c>
      <c r="G6" t="s">
        <v>1486</v>
      </c>
      <c r="H6" t="s">
        <v>1487</v>
      </c>
      <c r="I6" t="s">
        <v>1488</v>
      </c>
      <c r="J6" t="s">
        <v>1489</v>
      </c>
      <c r="K6" t="s">
        <v>1490</v>
      </c>
      <c r="M6" t="s">
        <v>1491</v>
      </c>
      <c r="N6" t="s">
        <v>1492</v>
      </c>
      <c r="P6" t="s">
        <v>1493</v>
      </c>
      <c r="Q6" t="s">
        <v>1494</v>
      </c>
      <c r="R6" t="s">
        <v>1495</v>
      </c>
      <c r="S6" t="s">
        <v>1340</v>
      </c>
      <c r="T6" t="s">
        <v>1496</v>
      </c>
      <c r="V6" t="s">
        <v>1497</v>
      </c>
      <c r="W6" s="1" t="s">
        <v>1498</v>
      </c>
      <c r="X6" t="s">
        <v>1499</v>
      </c>
      <c r="AA6" t="s">
        <v>8</v>
      </c>
      <c r="AB6" t="s">
        <v>1494</v>
      </c>
      <c r="AC6" t="s">
        <v>1500</v>
      </c>
      <c r="AD6" t="s">
        <v>1501</v>
      </c>
      <c r="AF6" t="s">
        <v>1494</v>
      </c>
      <c r="AH6" t="s">
        <v>1502</v>
      </c>
      <c r="AI6" t="s">
        <v>1503</v>
      </c>
      <c r="AJ6" t="s">
        <v>1504</v>
      </c>
      <c r="AK6" s="1" t="s">
        <v>1498</v>
      </c>
      <c r="AM6" t="s">
        <v>1505</v>
      </c>
      <c r="AN6" t="s">
        <v>1506</v>
      </c>
      <c r="AO6" t="s">
        <v>1507</v>
      </c>
      <c r="AQ6" t="s">
        <v>1508</v>
      </c>
      <c r="AR6" t="s">
        <v>1339</v>
      </c>
      <c r="AS6" t="s">
        <v>1509</v>
      </c>
      <c r="AT6" t="s">
        <v>1510</v>
      </c>
      <c r="AU6" t="s">
        <v>1511</v>
      </c>
      <c r="AV6" t="s">
        <v>1512</v>
      </c>
      <c r="AW6" t="s">
        <v>1494</v>
      </c>
      <c r="BA6" t="s">
        <v>1494</v>
      </c>
      <c r="BB6" t="s">
        <v>1513</v>
      </c>
      <c r="BC6" t="s">
        <v>1514</v>
      </c>
      <c r="BD6" t="s">
        <v>1515</v>
      </c>
      <c r="BE6" t="s">
        <v>1516</v>
      </c>
      <c r="BF6" t="s">
        <v>1517</v>
      </c>
      <c r="BG6" t="s">
        <v>1518</v>
      </c>
      <c r="BH6" t="s">
        <v>1346</v>
      </c>
      <c r="BI6" t="s">
        <v>1501</v>
      </c>
      <c r="BJ6" t="s">
        <v>1519</v>
      </c>
      <c r="BL6" t="s">
        <v>1520</v>
      </c>
      <c r="BM6" t="s">
        <v>1521</v>
      </c>
      <c r="BO6" s="1" t="s">
        <v>1498</v>
      </c>
      <c r="BP6" t="s">
        <v>1522</v>
      </c>
    </row>
    <row r="7" spans="1:71">
      <c r="C7" t="s">
        <v>1523</v>
      </c>
      <c r="G7" t="s">
        <v>1524</v>
      </c>
      <c r="I7" t="s">
        <v>1525</v>
      </c>
      <c r="J7" t="s">
        <v>1526</v>
      </c>
      <c r="M7" t="s">
        <v>1360</v>
      </c>
      <c r="N7" t="s">
        <v>1513</v>
      </c>
      <c r="P7" t="s">
        <v>1527</v>
      </c>
      <c r="Q7" t="s">
        <v>1528</v>
      </c>
      <c r="S7" t="s">
        <v>1529</v>
      </c>
      <c r="T7" t="s">
        <v>1530</v>
      </c>
      <c r="V7" t="s">
        <v>1531</v>
      </c>
      <c r="W7" s="1" t="s">
        <v>1532</v>
      </c>
      <c r="X7" t="s">
        <v>1533</v>
      </c>
      <c r="AA7" t="s">
        <v>13</v>
      </c>
      <c r="AB7" t="s">
        <v>1528</v>
      </c>
      <c r="AC7" t="s">
        <v>1534</v>
      </c>
      <c r="AD7" t="s">
        <v>1535</v>
      </c>
      <c r="AF7" t="s">
        <v>1528</v>
      </c>
      <c r="AH7" t="s">
        <v>1327</v>
      </c>
      <c r="AI7" t="s">
        <v>1536</v>
      </c>
      <c r="AJ7" t="s">
        <v>1537</v>
      </c>
      <c r="AK7" s="1" t="s">
        <v>1532</v>
      </c>
      <c r="AM7" t="s">
        <v>1538</v>
      </c>
      <c r="AN7" t="s">
        <v>1539</v>
      </c>
      <c r="AO7" t="s">
        <v>1540</v>
      </c>
      <c r="AQ7" t="s">
        <v>1541</v>
      </c>
      <c r="AS7" t="s">
        <v>1542</v>
      </c>
      <c r="AT7" t="s">
        <v>1543</v>
      </c>
      <c r="AU7" t="s">
        <v>1544</v>
      </c>
      <c r="AV7" t="s">
        <v>1545</v>
      </c>
      <c r="AW7" t="s">
        <v>1528</v>
      </c>
      <c r="BA7" t="s">
        <v>1528</v>
      </c>
      <c r="BB7" t="s">
        <v>1546</v>
      </c>
      <c r="BC7" t="s">
        <v>1547</v>
      </c>
      <c r="BD7" t="s">
        <v>1548</v>
      </c>
      <c r="BE7" t="s">
        <v>1549</v>
      </c>
      <c r="BG7" t="s">
        <v>1550</v>
      </c>
      <c r="BH7" t="s">
        <v>1346</v>
      </c>
      <c r="BI7" t="s">
        <v>1535</v>
      </c>
      <c r="BJ7" t="s">
        <v>1331</v>
      </c>
      <c r="BL7" t="s">
        <v>1551</v>
      </c>
      <c r="BO7" s="1" t="s">
        <v>1532</v>
      </c>
      <c r="BP7" t="s">
        <v>1552</v>
      </c>
    </row>
    <row r="8" spans="1:71">
      <c r="G8" t="s">
        <v>1553</v>
      </c>
      <c r="I8" t="s">
        <v>1554</v>
      </c>
      <c r="J8" t="s">
        <v>997</v>
      </c>
      <c r="M8" t="s">
        <v>1555</v>
      </c>
      <c r="N8" t="s">
        <v>1377</v>
      </c>
      <c r="P8" t="s">
        <v>1556</v>
      </c>
      <c r="Q8" t="s">
        <v>1358</v>
      </c>
      <c r="S8" t="s">
        <v>1557</v>
      </c>
      <c r="T8" t="s">
        <v>1558</v>
      </c>
      <c r="V8" t="s">
        <v>1559</v>
      </c>
      <c r="W8" s="1" t="s">
        <v>1560</v>
      </c>
      <c r="AA8" t="s">
        <v>1561</v>
      </c>
      <c r="AB8" t="s">
        <v>1358</v>
      </c>
      <c r="AC8" t="s">
        <v>1562</v>
      </c>
      <c r="AD8" t="s">
        <v>1563</v>
      </c>
      <c r="AF8" t="s">
        <v>1358</v>
      </c>
      <c r="AJ8" t="s">
        <v>1564</v>
      </c>
      <c r="AK8" s="1" t="s">
        <v>1560</v>
      </c>
      <c r="AM8" t="s">
        <v>1565</v>
      </c>
      <c r="AN8" t="s">
        <v>1566</v>
      </c>
      <c r="AO8" t="s">
        <v>1567</v>
      </c>
      <c r="AQ8" t="s">
        <v>1568</v>
      </c>
      <c r="AS8" t="s">
        <v>1569</v>
      </c>
      <c r="AT8" t="s">
        <v>1570</v>
      </c>
      <c r="AU8" t="s">
        <v>1571</v>
      </c>
      <c r="AW8" t="s">
        <v>1358</v>
      </c>
      <c r="BA8" t="s">
        <v>1358</v>
      </c>
      <c r="BD8" t="s">
        <v>1572</v>
      </c>
      <c r="BE8" t="s">
        <v>1573</v>
      </c>
      <c r="BG8" t="s">
        <v>1574</v>
      </c>
      <c r="BI8" t="s">
        <v>1563</v>
      </c>
      <c r="BL8" t="s">
        <v>1575</v>
      </c>
      <c r="BO8" s="1" t="s">
        <v>1560</v>
      </c>
      <c r="BP8" t="s">
        <v>1576</v>
      </c>
    </row>
    <row r="9" spans="1:71">
      <c r="G9" t="s">
        <v>1577</v>
      </c>
      <c r="J9" t="s">
        <v>1578</v>
      </c>
      <c r="M9" t="s">
        <v>1579</v>
      </c>
      <c r="N9" t="s">
        <v>1580</v>
      </c>
      <c r="P9" t="s">
        <v>1581</v>
      </c>
      <c r="T9" t="s">
        <v>1325</v>
      </c>
      <c r="W9" s="1" t="s">
        <v>1582</v>
      </c>
      <c r="AA9" t="s">
        <v>1583</v>
      </c>
      <c r="AC9" t="s">
        <v>1584</v>
      </c>
      <c r="AD9" t="s">
        <v>1585</v>
      </c>
      <c r="AJ9" t="s">
        <v>1586</v>
      </c>
      <c r="AK9" s="1" t="s">
        <v>1582</v>
      </c>
      <c r="AM9" t="s">
        <v>1587</v>
      </c>
      <c r="AN9" t="s">
        <v>1588</v>
      </c>
      <c r="AO9" t="s">
        <v>1589</v>
      </c>
      <c r="AQ9" t="s">
        <v>1590</v>
      </c>
      <c r="AS9" t="s">
        <v>1330</v>
      </c>
      <c r="AT9" t="s">
        <v>1591</v>
      </c>
      <c r="AU9" t="s">
        <v>1592</v>
      </c>
      <c r="BD9" t="s">
        <v>1593</v>
      </c>
      <c r="BE9" t="s">
        <v>1594</v>
      </c>
      <c r="BG9" t="s">
        <v>1595</v>
      </c>
      <c r="BI9" t="s">
        <v>1585</v>
      </c>
      <c r="BL9" t="s">
        <v>1596</v>
      </c>
      <c r="BO9" s="1" t="s">
        <v>1582</v>
      </c>
      <c r="BP9" t="s">
        <v>1597</v>
      </c>
    </row>
    <row r="10" spans="1:71">
      <c r="G10" t="s">
        <v>1598</v>
      </c>
      <c r="J10" t="s">
        <v>1599</v>
      </c>
      <c r="M10" t="s">
        <v>1600</v>
      </c>
      <c r="N10" t="s">
        <v>1601</v>
      </c>
      <c r="P10" t="s">
        <v>1602</v>
      </c>
      <c r="T10" t="s">
        <v>1603</v>
      </c>
      <c r="W10" s="1" t="s">
        <v>1604</v>
      </c>
      <c r="AA10" t="s">
        <v>12</v>
      </c>
      <c r="AC10" t="s">
        <v>1605</v>
      </c>
      <c r="AJ10" t="s">
        <v>1606</v>
      </c>
      <c r="AK10" s="1" t="s">
        <v>1604</v>
      </c>
      <c r="AM10" t="s">
        <v>1607</v>
      </c>
      <c r="AN10" t="s">
        <v>1608</v>
      </c>
      <c r="AO10" t="s">
        <v>1609</v>
      </c>
      <c r="AQ10" t="s">
        <v>1610</v>
      </c>
      <c r="AT10" t="s">
        <v>1611</v>
      </c>
      <c r="AU10" t="s">
        <v>1612</v>
      </c>
      <c r="BD10" t="s">
        <v>1613</v>
      </c>
      <c r="BE10" t="s">
        <v>1614</v>
      </c>
      <c r="BG10" t="s">
        <v>1615</v>
      </c>
      <c r="BL10" t="s">
        <v>1616</v>
      </c>
      <c r="BO10" s="1" t="s">
        <v>1604</v>
      </c>
      <c r="BP10" t="s">
        <v>1617</v>
      </c>
    </row>
    <row r="11" spans="1:71">
      <c r="G11" t="s">
        <v>1618</v>
      </c>
      <c r="J11" t="s">
        <v>1619</v>
      </c>
      <c r="M11" t="s">
        <v>1620</v>
      </c>
      <c r="P11" t="s">
        <v>1621</v>
      </c>
      <c r="T11" t="s">
        <v>1622</v>
      </c>
      <c r="W11" s="1" t="s">
        <v>1623</v>
      </c>
      <c r="AA11" t="s">
        <v>1624</v>
      </c>
      <c r="AC11" t="s">
        <v>1625</v>
      </c>
      <c r="AJ11" t="s">
        <v>1626</v>
      </c>
      <c r="AK11" s="1" t="s">
        <v>1623</v>
      </c>
      <c r="AM11" t="s">
        <v>1627</v>
      </c>
      <c r="AN11" t="s">
        <v>1628</v>
      </c>
      <c r="AO11" t="s">
        <v>1629</v>
      </c>
      <c r="AQ11" t="s">
        <v>1630</v>
      </c>
      <c r="AT11" t="s">
        <v>1631</v>
      </c>
      <c r="AU11" t="s">
        <v>610</v>
      </c>
      <c r="BD11" t="s">
        <v>1632</v>
      </c>
      <c r="BE11" t="s">
        <v>1633</v>
      </c>
      <c r="BG11" t="s">
        <v>1634</v>
      </c>
      <c r="BL11" t="s">
        <v>1635</v>
      </c>
      <c r="BO11" s="1" t="s">
        <v>1623</v>
      </c>
      <c r="BP11" t="s">
        <v>1636</v>
      </c>
    </row>
    <row r="12" spans="1:71">
      <c r="G12" t="s">
        <v>1637</v>
      </c>
      <c r="J12" t="s">
        <v>1638</v>
      </c>
      <c r="P12" t="s">
        <v>1639</v>
      </c>
      <c r="T12" t="s">
        <v>1640</v>
      </c>
      <c r="W12" s="1" t="s">
        <v>1641</v>
      </c>
      <c r="AA12" t="s">
        <v>1642</v>
      </c>
      <c r="AC12" t="s">
        <v>1643</v>
      </c>
      <c r="AJ12" t="s">
        <v>1644</v>
      </c>
      <c r="AK12" s="1" t="s">
        <v>1641</v>
      </c>
      <c r="AM12" t="s">
        <v>1645</v>
      </c>
      <c r="AN12" t="s">
        <v>1646</v>
      </c>
      <c r="AO12" t="s">
        <v>1647</v>
      </c>
      <c r="AQ12" t="s">
        <v>1648</v>
      </c>
      <c r="AT12" t="s">
        <v>1649</v>
      </c>
      <c r="AU12" t="s">
        <v>1650</v>
      </c>
      <c r="BD12" t="s">
        <v>1651</v>
      </c>
      <c r="BE12" t="s">
        <v>1652</v>
      </c>
      <c r="BG12" t="s">
        <v>1653</v>
      </c>
      <c r="BL12" t="s">
        <v>1654</v>
      </c>
      <c r="BO12" s="1" t="s">
        <v>1641</v>
      </c>
      <c r="BP12" t="s">
        <v>1655</v>
      </c>
    </row>
    <row r="13" spans="1:71">
      <c r="G13" t="s">
        <v>1656</v>
      </c>
      <c r="J13" t="s">
        <v>1657</v>
      </c>
      <c r="P13" t="s">
        <v>1658</v>
      </c>
      <c r="T13" t="s">
        <v>1659</v>
      </c>
      <c r="W13" s="1" t="s">
        <v>1660</v>
      </c>
      <c r="AA13" t="s">
        <v>1661</v>
      </c>
      <c r="AC13" t="s">
        <v>1662</v>
      </c>
      <c r="AJ13" t="s">
        <v>1663</v>
      </c>
      <c r="AK13" s="1" t="s">
        <v>1660</v>
      </c>
      <c r="AN13" t="s">
        <v>1664</v>
      </c>
      <c r="AO13" t="s">
        <v>1665</v>
      </c>
      <c r="AT13" t="s">
        <v>1666</v>
      </c>
      <c r="AU13" t="s">
        <v>1667</v>
      </c>
      <c r="BD13" t="s">
        <v>1668</v>
      </c>
      <c r="BE13" t="s">
        <v>1669</v>
      </c>
      <c r="BG13" t="s">
        <v>1670</v>
      </c>
      <c r="BL13" t="s">
        <v>1671</v>
      </c>
      <c r="BO13" s="1" t="s">
        <v>1660</v>
      </c>
      <c r="BP13" t="s">
        <v>1672</v>
      </c>
    </row>
    <row r="14" spans="1:71">
      <c r="G14" t="s">
        <v>1673</v>
      </c>
      <c r="J14" t="s">
        <v>1674</v>
      </c>
      <c r="P14" t="s">
        <v>1675</v>
      </c>
      <c r="T14" t="s">
        <v>1676</v>
      </c>
      <c r="W14" s="1" t="s">
        <v>1677</v>
      </c>
      <c r="AA14" t="s">
        <v>1678</v>
      </c>
      <c r="AC14" t="s">
        <v>1679</v>
      </c>
      <c r="AK14" s="1" t="s">
        <v>1677</v>
      </c>
      <c r="AN14" t="s">
        <v>1680</v>
      </c>
      <c r="AO14" t="s">
        <v>1473</v>
      </c>
      <c r="AT14" t="s">
        <v>1681</v>
      </c>
      <c r="BD14" t="s">
        <v>1682</v>
      </c>
      <c r="BE14" t="s">
        <v>1683</v>
      </c>
      <c r="BG14" t="s">
        <v>1684</v>
      </c>
      <c r="BL14" t="s">
        <v>1685</v>
      </c>
      <c r="BO14" s="1" t="s">
        <v>1677</v>
      </c>
      <c r="BP14" t="s">
        <v>1686</v>
      </c>
    </row>
    <row r="15" spans="1:71">
      <c r="G15" t="s">
        <v>1687</v>
      </c>
      <c r="J15" t="s">
        <v>1688</v>
      </c>
      <c r="P15" t="s">
        <v>1689</v>
      </c>
      <c r="T15" t="s">
        <v>1690</v>
      </c>
      <c r="W15" s="1" t="s">
        <v>1691</v>
      </c>
      <c r="AA15" t="s">
        <v>1692</v>
      </c>
      <c r="AC15" t="s">
        <v>1693</v>
      </c>
      <c r="AK15" s="1" t="s">
        <v>1691</v>
      </c>
      <c r="AN15" t="s">
        <v>1694</v>
      </c>
      <c r="AO15" t="s">
        <v>1695</v>
      </c>
      <c r="AT15" t="s">
        <v>1696</v>
      </c>
      <c r="BD15" t="s">
        <v>1697</v>
      </c>
      <c r="BE15" t="s">
        <v>1698</v>
      </c>
      <c r="BG15" t="s">
        <v>1610</v>
      </c>
      <c r="BL15" t="s">
        <v>1699</v>
      </c>
      <c r="BO15" s="1" t="s">
        <v>1691</v>
      </c>
      <c r="BP15" t="s">
        <v>1700</v>
      </c>
    </row>
    <row r="16" spans="1:71">
      <c r="G16" t="s">
        <v>1701</v>
      </c>
      <c r="J16" t="s">
        <v>1347</v>
      </c>
      <c r="P16" t="s">
        <v>1702</v>
      </c>
      <c r="T16" t="s">
        <v>1703</v>
      </c>
      <c r="W16" s="1" t="s">
        <v>1704</v>
      </c>
      <c r="AA16" t="s">
        <v>1705</v>
      </c>
      <c r="AC16" t="s">
        <v>1706</v>
      </c>
      <c r="AK16" s="1" t="s">
        <v>1704</v>
      </c>
      <c r="AN16" t="s">
        <v>1446</v>
      </c>
      <c r="AO16" t="s">
        <v>1707</v>
      </c>
      <c r="AT16" t="s">
        <v>1708</v>
      </c>
      <c r="BD16" t="s">
        <v>1709</v>
      </c>
      <c r="BE16" t="s">
        <v>1710</v>
      </c>
      <c r="BG16" t="s">
        <v>1711</v>
      </c>
      <c r="BL16" t="s">
        <v>1712</v>
      </c>
      <c r="BO16" s="1" t="s">
        <v>1704</v>
      </c>
      <c r="BP16" t="s">
        <v>1713</v>
      </c>
    </row>
    <row r="17" spans="7:68">
      <c r="G17" t="s">
        <v>1714</v>
      </c>
      <c r="J17" t="s">
        <v>1715</v>
      </c>
      <c r="P17" t="s">
        <v>1716</v>
      </c>
      <c r="T17" t="s">
        <v>1717</v>
      </c>
      <c r="W17" s="1" t="s">
        <v>1718</v>
      </c>
      <c r="AA17" t="s">
        <v>1719</v>
      </c>
      <c r="AC17" t="s">
        <v>1720</v>
      </c>
      <c r="AK17" s="1" t="s">
        <v>1718</v>
      </c>
      <c r="AN17" t="s">
        <v>1721</v>
      </c>
      <c r="AO17" t="s">
        <v>1722</v>
      </c>
      <c r="AT17" t="s">
        <v>1723</v>
      </c>
      <c r="BD17" t="s">
        <v>1724</v>
      </c>
      <c r="BE17" t="s">
        <v>1725</v>
      </c>
      <c r="BG17" t="s">
        <v>1726</v>
      </c>
      <c r="BL17" t="s">
        <v>1727</v>
      </c>
      <c r="BO17" s="1" t="s">
        <v>1718</v>
      </c>
      <c r="BP17" t="s">
        <v>1728</v>
      </c>
    </row>
    <row r="18" spans="7:68">
      <c r="G18" t="s">
        <v>1729</v>
      </c>
      <c r="J18" t="s">
        <v>1730</v>
      </c>
      <c r="P18" t="s">
        <v>1731</v>
      </c>
      <c r="T18" t="s">
        <v>1732</v>
      </c>
      <c r="W18" s="1" t="s">
        <v>1733</v>
      </c>
      <c r="AA18" t="s">
        <v>1734</v>
      </c>
      <c r="AK18" s="1" t="s">
        <v>1733</v>
      </c>
      <c r="AN18" t="s">
        <v>1735</v>
      </c>
      <c r="AO18" t="s">
        <v>1736</v>
      </c>
      <c r="AT18" t="s">
        <v>1737</v>
      </c>
      <c r="BD18" t="s">
        <v>1738</v>
      </c>
      <c r="BE18" t="s">
        <v>1739</v>
      </c>
      <c r="BL18" t="s">
        <v>1740</v>
      </c>
      <c r="BO18" s="1" t="s">
        <v>1733</v>
      </c>
      <c r="BP18" t="s">
        <v>1741</v>
      </c>
    </row>
    <row r="19" spans="7:68">
      <c r="G19" t="s">
        <v>1742</v>
      </c>
      <c r="J19" t="s">
        <v>1743</v>
      </c>
      <c r="P19" t="s">
        <v>1376</v>
      </c>
      <c r="T19" t="s">
        <v>1744</v>
      </c>
      <c r="W19" s="1" t="s">
        <v>1745</v>
      </c>
      <c r="AA19" t="s">
        <v>1746</v>
      </c>
      <c r="AK19" s="1" t="s">
        <v>1745</v>
      </c>
      <c r="AN19" t="s">
        <v>1747</v>
      </c>
      <c r="AO19" t="s">
        <v>1748</v>
      </c>
      <c r="AT19" t="s">
        <v>1749</v>
      </c>
      <c r="BD19" t="s">
        <v>1750</v>
      </c>
      <c r="BE19" t="s">
        <v>1751</v>
      </c>
      <c r="BL19" t="s">
        <v>1752</v>
      </c>
      <c r="BO19" s="1" t="s">
        <v>1745</v>
      </c>
      <c r="BP19" t="s">
        <v>1753</v>
      </c>
    </row>
    <row r="20" spans="7:68">
      <c r="G20" t="s">
        <v>1754</v>
      </c>
      <c r="J20" t="s">
        <v>1755</v>
      </c>
      <c r="P20" t="s">
        <v>1756</v>
      </c>
      <c r="T20" t="s">
        <v>1757</v>
      </c>
      <c r="W20" s="1" t="s">
        <v>1758</v>
      </c>
      <c r="AA20" t="s">
        <v>1759</v>
      </c>
      <c r="AK20" s="1" t="s">
        <v>1758</v>
      </c>
      <c r="AN20" t="s">
        <v>1760</v>
      </c>
      <c r="AO20" t="s">
        <v>1761</v>
      </c>
      <c r="AT20" t="s">
        <v>1762</v>
      </c>
      <c r="BD20" t="s">
        <v>1763</v>
      </c>
      <c r="BE20" t="s">
        <v>1764</v>
      </c>
      <c r="BL20" t="s">
        <v>1765</v>
      </c>
      <c r="BO20" s="1" t="s">
        <v>1758</v>
      </c>
      <c r="BP20" t="s">
        <v>1766</v>
      </c>
    </row>
    <row r="21" spans="7:68">
      <c r="G21" t="s">
        <v>1767</v>
      </c>
      <c r="P21" t="s">
        <v>1768</v>
      </c>
      <c r="W21" s="1" t="s">
        <v>1769</v>
      </c>
      <c r="AA21" t="s">
        <v>1770</v>
      </c>
      <c r="AK21" s="1" t="s">
        <v>1769</v>
      </c>
      <c r="AN21" t="s">
        <v>1771</v>
      </c>
      <c r="AO21" t="s">
        <v>1772</v>
      </c>
      <c r="AT21" t="s">
        <v>1773</v>
      </c>
      <c r="BD21" t="s">
        <v>1774</v>
      </c>
      <c r="BE21" t="s">
        <v>1775</v>
      </c>
      <c r="BL21" t="s">
        <v>1776</v>
      </c>
      <c r="BO21" s="1" t="s">
        <v>1769</v>
      </c>
      <c r="BP21" t="s">
        <v>1777</v>
      </c>
    </row>
    <row r="22" spans="7:68">
      <c r="G22" t="s">
        <v>1778</v>
      </c>
      <c r="P22" t="s">
        <v>1779</v>
      </c>
      <c r="AA22" t="s">
        <v>10</v>
      </c>
      <c r="AK22" s="1" t="s">
        <v>1780</v>
      </c>
      <c r="AN22" t="s">
        <v>1781</v>
      </c>
      <c r="AO22" t="s">
        <v>1782</v>
      </c>
      <c r="AT22" t="s">
        <v>1783</v>
      </c>
      <c r="BD22" t="s">
        <v>1784</v>
      </c>
      <c r="BE22" t="s">
        <v>1785</v>
      </c>
      <c r="BL22" t="s">
        <v>1786</v>
      </c>
      <c r="BO22" s="1" t="s">
        <v>1780</v>
      </c>
      <c r="BP22" t="s">
        <v>1787</v>
      </c>
    </row>
    <row r="23" spans="7:68">
      <c r="G23" t="s">
        <v>1788</v>
      </c>
      <c r="P23" t="s">
        <v>1789</v>
      </c>
      <c r="AA23" t="s">
        <v>1790</v>
      </c>
      <c r="AK23" s="1" t="s">
        <v>1791</v>
      </c>
      <c r="AO23" t="s">
        <v>1792</v>
      </c>
      <c r="AT23" t="s">
        <v>1793</v>
      </c>
      <c r="BD23" t="s">
        <v>1794</v>
      </c>
      <c r="BL23" t="s">
        <v>1795</v>
      </c>
      <c r="BO23" s="1" t="s">
        <v>1791</v>
      </c>
      <c r="BP23" t="s">
        <v>1796</v>
      </c>
    </row>
    <row r="24" spans="7:68">
      <c r="G24" t="s">
        <v>1797</v>
      </c>
      <c r="P24" t="s">
        <v>1798</v>
      </c>
      <c r="AA24" t="s">
        <v>1799</v>
      </c>
      <c r="AK24" s="1" t="s">
        <v>1800</v>
      </c>
      <c r="AO24" t="s">
        <v>1801</v>
      </c>
      <c r="AT24" t="s">
        <v>1802</v>
      </c>
      <c r="BD24" t="s">
        <v>1803</v>
      </c>
      <c r="BL24" t="s">
        <v>1804</v>
      </c>
      <c r="BO24" s="1" t="s">
        <v>1800</v>
      </c>
      <c r="BP24" t="s">
        <v>1805</v>
      </c>
    </row>
    <row r="25" spans="7:68">
      <c r="G25" t="s">
        <v>1806</v>
      </c>
      <c r="P25" t="s">
        <v>1807</v>
      </c>
      <c r="AK25" s="1" t="s">
        <v>1808</v>
      </c>
      <c r="AO25" t="s">
        <v>1809</v>
      </c>
      <c r="AT25" t="s">
        <v>1810</v>
      </c>
      <c r="BD25" t="s">
        <v>1811</v>
      </c>
      <c r="BL25" t="s">
        <v>1812</v>
      </c>
      <c r="BO25" s="1" t="s">
        <v>1808</v>
      </c>
    </row>
    <row r="26" spans="7:68">
      <c r="G26" t="s">
        <v>1813</v>
      </c>
      <c r="P26" t="s">
        <v>1814</v>
      </c>
      <c r="AK26" s="1" t="s">
        <v>1815</v>
      </c>
      <c r="AO26" t="s">
        <v>1816</v>
      </c>
      <c r="AT26" t="s">
        <v>1817</v>
      </c>
      <c r="BD26" t="s">
        <v>1818</v>
      </c>
      <c r="BL26" t="s">
        <v>1819</v>
      </c>
      <c r="BO26" s="1" t="s">
        <v>1815</v>
      </c>
    </row>
    <row r="27" spans="7:68">
      <c r="G27" t="s">
        <v>1820</v>
      </c>
      <c r="P27" t="s">
        <v>1821</v>
      </c>
      <c r="AK27" s="1" t="s">
        <v>1822</v>
      </c>
      <c r="AO27" t="s">
        <v>1324</v>
      </c>
      <c r="AT27" t="s">
        <v>1823</v>
      </c>
      <c r="BD27" t="s">
        <v>1824</v>
      </c>
      <c r="BL27" t="s">
        <v>1825</v>
      </c>
      <c r="BO27" s="1" t="s">
        <v>1822</v>
      </c>
    </row>
    <row r="28" spans="7:68">
      <c r="G28" t="s">
        <v>1826</v>
      </c>
      <c r="P28" t="s">
        <v>1382</v>
      </c>
      <c r="AK28" s="1" t="s">
        <v>1827</v>
      </c>
      <c r="AO28" t="s">
        <v>1828</v>
      </c>
      <c r="AT28" t="s">
        <v>1829</v>
      </c>
      <c r="BD28" t="s">
        <v>1830</v>
      </c>
      <c r="BL28" t="s">
        <v>1831</v>
      </c>
      <c r="BO28" s="1" t="s">
        <v>1827</v>
      </c>
    </row>
    <row r="29" spans="7:68">
      <c r="G29" t="s">
        <v>1832</v>
      </c>
      <c r="P29" t="s">
        <v>1833</v>
      </c>
      <c r="AK29" s="1" t="s">
        <v>1834</v>
      </c>
      <c r="AO29" t="s">
        <v>1427</v>
      </c>
      <c r="AT29" t="s">
        <v>1835</v>
      </c>
      <c r="BD29" t="s">
        <v>1836</v>
      </c>
      <c r="BL29" t="s">
        <v>1837</v>
      </c>
      <c r="BO29" s="1" t="s">
        <v>1834</v>
      </c>
    </row>
    <row r="30" spans="7:68">
      <c r="G30" t="s">
        <v>1838</v>
      </c>
      <c r="P30" t="s">
        <v>1383</v>
      </c>
      <c r="AK30" s="1" t="s">
        <v>1839</v>
      </c>
      <c r="AT30" t="s">
        <v>1840</v>
      </c>
      <c r="BD30" t="s">
        <v>1841</v>
      </c>
      <c r="BL30" t="s">
        <v>1842</v>
      </c>
      <c r="BO30" s="1" t="s">
        <v>1839</v>
      </c>
    </row>
    <row r="31" spans="7:68">
      <c r="G31" t="s">
        <v>1843</v>
      </c>
      <c r="P31" t="s">
        <v>1844</v>
      </c>
      <c r="AK31" s="1" t="s">
        <v>1845</v>
      </c>
      <c r="AT31" t="s">
        <v>1846</v>
      </c>
      <c r="BD31" t="s">
        <v>1847</v>
      </c>
      <c r="BL31" t="s">
        <v>1848</v>
      </c>
      <c r="BO31" s="1" t="s">
        <v>1845</v>
      </c>
    </row>
    <row r="32" spans="7:68">
      <c r="G32" t="s">
        <v>1849</v>
      </c>
      <c r="P32" t="s">
        <v>1850</v>
      </c>
      <c r="AK32" s="1" t="s">
        <v>86</v>
      </c>
      <c r="AT32" t="s">
        <v>1851</v>
      </c>
      <c r="BD32" t="s">
        <v>1852</v>
      </c>
      <c r="BL32" t="s">
        <v>1853</v>
      </c>
      <c r="BO32" s="1" t="s">
        <v>86</v>
      </c>
    </row>
    <row r="33" spans="7:67">
      <c r="G33" t="s">
        <v>1854</v>
      </c>
      <c r="P33" t="s">
        <v>1855</v>
      </c>
      <c r="AK33" s="1" t="s">
        <v>1856</v>
      </c>
      <c r="AT33" t="s">
        <v>1857</v>
      </c>
      <c r="BD33" t="s">
        <v>1858</v>
      </c>
      <c r="BL33" t="s">
        <v>1859</v>
      </c>
      <c r="BO33" s="1" t="s">
        <v>1856</v>
      </c>
    </row>
    <row r="34" spans="7:67">
      <c r="G34" t="s">
        <v>1860</v>
      </c>
      <c r="P34" t="s">
        <v>1861</v>
      </c>
      <c r="AK34" s="1" t="s">
        <v>1862</v>
      </c>
      <c r="AT34" t="s">
        <v>1863</v>
      </c>
      <c r="BD34" t="s">
        <v>1864</v>
      </c>
      <c r="BL34" t="s">
        <v>1865</v>
      </c>
      <c r="BO34" s="1" t="s">
        <v>1862</v>
      </c>
    </row>
    <row r="35" spans="7:67">
      <c r="G35" t="s">
        <v>1866</v>
      </c>
      <c r="P35" t="s">
        <v>1867</v>
      </c>
      <c r="AK35" s="1" t="s">
        <v>1868</v>
      </c>
      <c r="AT35" t="s">
        <v>1869</v>
      </c>
      <c r="BD35" t="s">
        <v>1870</v>
      </c>
      <c r="BL35" t="s">
        <v>1871</v>
      </c>
      <c r="BO35" s="1" t="s">
        <v>1868</v>
      </c>
    </row>
    <row r="36" spans="7:67">
      <c r="G36" t="s">
        <v>1872</v>
      </c>
      <c r="P36" t="s">
        <v>1873</v>
      </c>
      <c r="AK36" s="1" t="s">
        <v>1874</v>
      </c>
      <c r="AT36" t="s">
        <v>1875</v>
      </c>
      <c r="BD36" t="s">
        <v>1876</v>
      </c>
      <c r="BL36" t="s">
        <v>1877</v>
      </c>
      <c r="BO36" s="1" t="s">
        <v>1874</v>
      </c>
    </row>
    <row r="37" spans="7:67">
      <c r="G37" t="s">
        <v>1878</v>
      </c>
      <c r="AK37" s="1" t="s">
        <v>1879</v>
      </c>
      <c r="AT37" t="s">
        <v>1407</v>
      </c>
      <c r="BD37" t="s">
        <v>1880</v>
      </c>
      <c r="BL37" t="s">
        <v>1881</v>
      </c>
      <c r="BO37" s="1" t="s">
        <v>1879</v>
      </c>
    </row>
    <row r="38" spans="7:67">
      <c r="G38" t="s">
        <v>1882</v>
      </c>
      <c r="AK38" s="1" t="s">
        <v>1883</v>
      </c>
      <c r="AT38" t="s">
        <v>1884</v>
      </c>
      <c r="BD38" t="s">
        <v>1885</v>
      </c>
      <c r="BL38" t="s">
        <v>1886</v>
      </c>
      <c r="BO38" s="1" t="s">
        <v>1883</v>
      </c>
    </row>
    <row r="39" spans="7:67">
      <c r="G39" t="s">
        <v>1887</v>
      </c>
      <c r="AK39" s="1" t="s">
        <v>1888</v>
      </c>
      <c r="AT39" t="s">
        <v>1889</v>
      </c>
      <c r="BD39" t="s">
        <v>1890</v>
      </c>
      <c r="BL39" t="s">
        <v>1891</v>
      </c>
      <c r="BO39" s="1" t="s">
        <v>1888</v>
      </c>
    </row>
    <row r="40" spans="7:67">
      <c r="G40" t="s">
        <v>1892</v>
      </c>
      <c r="AK40" s="1" t="s">
        <v>1893</v>
      </c>
      <c r="AT40" t="s">
        <v>1894</v>
      </c>
      <c r="BD40" t="s">
        <v>1895</v>
      </c>
      <c r="BL40" t="s">
        <v>1896</v>
      </c>
      <c r="BO40" s="1" t="s">
        <v>1893</v>
      </c>
    </row>
    <row r="41" spans="7:67">
      <c r="G41" t="s">
        <v>1897</v>
      </c>
      <c r="AK41" s="1" t="s">
        <v>1898</v>
      </c>
      <c r="AT41" t="s">
        <v>1899</v>
      </c>
      <c r="BD41" t="s">
        <v>1900</v>
      </c>
      <c r="BL41" t="s">
        <v>1901</v>
      </c>
      <c r="BO41" s="1" t="s">
        <v>1898</v>
      </c>
    </row>
    <row r="42" spans="7:67">
      <c r="G42" t="s">
        <v>1902</v>
      </c>
      <c r="AK42" s="1" t="s">
        <v>1903</v>
      </c>
      <c r="AT42" t="s">
        <v>1904</v>
      </c>
      <c r="BD42" t="s">
        <v>1905</v>
      </c>
      <c r="BL42" t="s">
        <v>1906</v>
      </c>
      <c r="BO42" s="1" t="s">
        <v>1903</v>
      </c>
    </row>
    <row r="43" spans="7:67">
      <c r="G43" t="s">
        <v>1907</v>
      </c>
      <c r="AK43" s="1" t="s">
        <v>1908</v>
      </c>
      <c r="AT43" t="s">
        <v>1909</v>
      </c>
      <c r="BD43" t="s">
        <v>1910</v>
      </c>
      <c r="BL43" t="s">
        <v>1911</v>
      </c>
      <c r="BO43" s="1" t="s">
        <v>1908</v>
      </c>
    </row>
    <row r="44" spans="7:67">
      <c r="G44" t="s">
        <v>1912</v>
      </c>
      <c r="AK44" s="1" t="s">
        <v>1913</v>
      </c>
      <c r="AT44" t="s">
        <v>1914</v>
      </c>
      <c r="BD44" t="s">
        <v>1915</v>
      </c>
      <c r="BL44" t="s">
        <v>1916</v>
      </c>
      <c r="BO44" s="1" t="s">
        <v>1913</v>
      </c>
    </row>
    <row r="45" spans="7:67">
      <c r="G45" t="s">
        <v>1917</v>
      </c>
      <c r="AK45" s="1" t="s">
        <v>1918</v>
      </c>
      <c r="AT45" t="s">
        <v>1919</v>
      </c>
      <c r="BD45" t="s">
        <v>1920</v>
      </c>
      <c r="BL45" t="s">
        <v>1921</v>
      </c>
      <c r="BO45" s="1" t="s">
        <v>1918</v>
      </c>
    </row>
    <row r="46" spans="7:67">
      <c r="G46" t="s">
        <v>1922</v>
      </c>
      <c r="AK46" s="1" t="s">
        <v>1923</v>
      </c>
      <c r="AT46" t="s">
        <v>1924</v>
      </c>
      <c r="BD46" t="s">
        <v>1925</v>
      </c>
      <c r="BL46" t="s">
        <v>1926</v>
      </c>
      <c r="BO46" s="1" t="s">
        <v>1923</v>
      </c>
    </row>
    <row r="47" spans="7:67">
      <c r="G47" t="s">
        <v>1927</v>
      </c>
      <c r="AK47" s="1" t="s">
        <v>1928</v>
      </c>
      <c r="AT47" t="s">
        <v>1929</v>
      </c>
      <c r="BD47" t="s">
        <v>1930</v>
      </c>
      <c r="BL47" t="s">
        <v>1931</v>
      </c>
      <c r="BO47" s="1" t="s">
        <v>1928</v>
      </c>
    </row>
    <row r="48" spans="7:67">
      <c r="G48" t="s">
        <v>1932</v>
      </c>
      <c r="AK48" s="1" t="s">
        <v>1933</v>
      </c>
      <c r="AT48" t="s">
        <v>1934</v>
      </c>
      <c r="BD48" t="s">
        <v>1935</v>
      </c>
      <c r="BL48" t="s">
        <v>1936</v>
      </c>
      <c r="BO48" s="1" t="s">
        <v>1933</v>
      </c>
    </row>
    <row r="49" spans="7:67">
      <c r="G49" t="s">
        <v>1937</v>
      </c>
      <c r="AK49" s="1" t="s">
        <v>1938</v>
      </c>
      <c r="AT49" t="s">
        <v>1939</v>
      </c>
      <c r="BD49" t="s">
        <v>1940</v>
      </c>
      <c r="BL49" t="s">
        <v>1941</v>
      </c>
      <c r="BO49" s="1" t="s">
        <v>1938</v>
      </c>
    </row>
    <row r="50" spans="7:67">
      <c r="G50" t="s">
        <v>1942</v>
      </c>
      <c r="AK50" s="1" t="s">
        <v>1943</v>
      </c>
      <c r="AT50" t="s">
        <v>1944</v>
      </c>
      <c r="BD50" t="s">
        <v>1945</v>
      </c>
      <c r="BL50" t="s">
        <v>1946</v>
      </c>
      <c r="BO50" s="1" t="s">
        <v>1943</v>
      </c>
    </row>
    <row r="51" spans="7:67">
      <c r="G51" t="s">
        <v>1947</v>
      </c>
      <c r="AK51" s="1" t="s">
        <v>1948</v>
      </c>
      <c r="AT51" t="s">
        <v>1949</v>
      </c>
      <c r="BD51" t="s">
        <v>1950</v>
      </c>
      <c r="BL51" t="s">
        <v>1951</v>
      </c>
      <c r="BO51" s="1" t="s">
        <v>1948</v>
      </c>
    </row>
    <row r="52" spans="7:67">
      <c r="G52" t="s">
        <v>1952</v>
      </c>
      <c r="AK52" s="1" t="s">
        <v>1953</v>
      </c>
      <c r="BD52" t="s">
        <v>1954</v>
      </c>
      <c r="BL52" t="s">
        <v>1955</v>
      </c>
      <c r="BO52" s="1" t="s">
        <v>1953</v>
      </c>
    </row>
    <row r="53" spans="7:67">
      <c r="G53" t="s">
        <v>1333</v>
      </c>
      <c r="AK53" s="1" t="s">
        <v>1956</v>
      </c>
      <c r="BD53" t="s">
        <v>1957</v>
      </c>
      <c r="BL53" t="s">
        <v>1958</v>
      </c>
      <c r="BO53" s="1" t="s">
        <v>1956</v>
      </c>
    </row>
    <row r="54" spans="7:67">
      <c r="G54" t="s">
        <v>1959</v>
      </c>
      <c r="AK54" s="1" t="s">
        <v>1960</v>
      </c>
      <c r="BD54" t="s">
        <v>1961</v>
      </c>
      <c r="BL54" t="s">
        <v>1962</v>
      </c>
      <c r="BO54" s="1" t="s">
        <v>1960</v>
      </c>
    </row>
    <row r="55" spans="7:67">
      <c r="G55" t="s">
        <v>1963</v>
      </c>
      <c r="AK55" s="1" t="s">
        <v>1964</v>
      </c>
      <c r="BD55" t="s">
        <v>1965</v>
      </c>
      <c r="BL55" t="s">
        <v>1966</v>
      </c>
      <c r="BO55" s="1" t="s">
        <v>1964</v>
      </c>
    </row>
    <row r="56" spans="7:67">
      <c r="G56" t="s">
        <v>1967</v>
      </c>
      <c r="AK56" s="1" t="s">
        <v>1968</v>
      </c>
      <c r="BD56" t="s">
        <v>1969</v>
      </c>
      <c r="BL56" t="s">
        <v>1970</v>
      </c>
      <c r="BO56" s="1" t="s">
        <v>1968</v>
      </c>
    </row>
    <row r="57" spans="7:67">
      <c r="G57" t="s">
        <v>1971</v>
      </c>
      <c r="AK57" s="1" t="s">
        <v>1972</v>
      </c>
      <c r="BD57" t="s">
        <v>1973</v>
      </c>
      <c r="BL57" t="s">
        <v>1974</v>
      </c>
      <c r="BO57" s="1" t="s">
        <v>1972</v>
      </c>
    </row>
    <row r="58" spans="7:67">
      <c r="G58" t="s">
        <v>1975</v>
      </c>
      <c r="AK58" s="1" t="s">
        <v>1976</v>
      </c>
      <c r="BD58" t="s">
        <v>1977</v>
      </c>
      <c r="BL58" t="s">
        <v>1978</v>
      </c>
      <c r="BO58" s="1" t="s">
        <v>1976</v>
      </c>
    </row>
    <row r="59" spans="7:67">
      <c r="G59" t="s">
        <v>1979</v>
      </c>
      <c r="AK59" s="1" t="s">
        <v>1980</v>
      </c>
      <c r="BD59" t="s">
        <v>1981</v>
      </c>
      <c r="BL59" t="s">
        <v>1982</v>
      </c>
      <c r="BO59" s="1" t="s">
        <v>1980</v>
      </c>
    </row>
    <row r="60" spans="7:67">
      <c r="G60" t="s">
        <v>1983</v>
      </c>
      <c r="AK60" s="1" t="s">
        <v>1984</v>
      </c>
      <c r="BD60" t="s">
        <v>1985</v>
      </c>
      <c r="BL60" t="s">
        <v>1986</v>
      </c>
      <c r="BO60" s="1" t="s">
        <v>1984</v>
      </c>
    </row>
    <row r="61" spans="7:67">
      <c r="G61" t="s">
        <v>1987</v>
      </c>
      <c r="AK61" s="1" t="s">
        <v>1988</v>
      </c>
      <c r="BD61" t="s">
        <v>1989</v>
      </c>
      <c r="BL61" t="s">
        <v>1990</v>
      </c>
      <c r="BO61" s="1" t="s">
        <v>1988</v>
      </c>
    </row>
    <row r="62" spans="7:67">
      <c r="G62" t="s">
        <v>1991</v>
      </c>
      <c r="AK62" s="1" t="s">
        <v>1992</v>
      </c>
      <c r="BD62" t="s">
        <v>1993</v>
      </c>
      <c r="BL62" t="s">
        <v>1994</v>
      </c>
      <c r="BO62" s="1" t="s">
        <v>1992</v>
      </c>
    </row>
    <row r="63" spans="7:67">
      <c r="G63" t="s">
        <v>1995</v>
      </c>
      <c r="AK63" t="s">
        <v>1404</v>
      </c>
      <c r="BD63" t="s">
        <v>1996</v>
      </c>
      <c r="BL63" t="s">
        <v>1997</v>
      </c>
      <c r="BO63" t="s">
        <v>1404</v>
      </c>
    </row>
    <row r="64" spans="7:67">
      <c r="G64" t="s">
        <v>1998</v>
      </c>
      <c r="AK64" t="s">
        <v>1999</v>
      </c>
      <c r="BD64" t="s">
        <v>2000</v>
      </c>
      <c r="BL64" t="s">
        <v>2001</v>
      </c>
      <c r="BO64" t="s">
        <v>1999</v>
      </c>
    </row>
    <row r="65" spans="7:67">
      <c r="G65" t="s">
        <v>2002</v>
      </c>
      <c r="AK65" t="s">
        <v>2003</v>
      </c>
      <c r="BD65" t="s">
        <v>2004</v>
      </c>
      <c r="BL65" t="s">
        <v>2005</v>
      </c>
      <c r="BO65" t="s">
        <v>2003</v>
      </c>
    </row>
    <row r="66" spans="7:67">
      <c r="G66" t="s">
        <v>2006</v>
      </c>
      <c r="AK66" t="s">
        <v>2007</v>
      </c>
      <c r="BD66" t="s">
        <v>2008</v>
      </c>
      <c r="BL66" t="s">
        <v>2009</v>
      </c>
      <c r="BO66" t="s">
        <v>2007</v>
      </c>
    </row>
    <row r="67" spans="7:67">
      <c r="G67" t="s">
        <v>2010</v>
      </c>
      <c r="AK67" t="s">
        <v>2011</v>
      </c>
      <c r="BD67" t="s">
        <v>2012</v>
      </c>
      <c r="BL67" t="s">
        <v>2013</v>
      </c>
      <c r="BO67" t="s">
        <v>2011</v>
      </c>
    </row>
    <row r="68" spans="7:67">
      <c r="G68" t="s">
        <v>2014</v>
      </c>
      <c r="AK68" t="s">
        <v>2015</v>
      </c>
      <c r="BD68" t="s">
        <v>2016</v>
      </c>
      <c r="BL68" t="s">
        <v>2017</v>
      </c>
      <c r="BO68" t="s">
        <v>2015</v>
      </c>
    </row>
    <row r="69" spans="7:67">
      <c r="G69" t="s">
        <v>2018</v>
      </c>
      <c r="AK69" t="s">
        <v>2019</v>
      </c>
      <c r="BD69" t="s">
        <v>2020</v>
      </c>
      <c r="BL69" t="s">
        <v>2021</v>
      </c>
      <c r="BO69" t="s">
        <v>2019</v>
      </c>
    </row>
    <row r="70" spans="7:67">
      <c r="G70" t="s">
        <v>2022</v>
      </c>
      <c r="AK70" t="s">
        <v>2023</v>
      </c>
      <c r="BD70" t="s">
        <v>2024</v>
      </c>
      <c r="BO70" t="s">
        <v>2023</v>
      </c>
    </row>
    <row r="71" spans="7:67">
      <c r="G71" t="s">
        <v>2025</v>
      </c>
      <c r="AK71" t="s">
        <v>1563</v>
      </c>
      <c r="BD71" t="s">
        <v>2026</v>
      </c>
      <c r="BO71" t="s">
        <v>1563</v>
      </c>
    </row>
    <row r="72" spans="7:67">
      <c r="G72" t="s">
        <v>2027</v>
      </c>
      <c r="AK72" t="s">
        <v>2028</v>
      </c>
      <c r="BD72" t="s">
        <v>2029</v>
      </c>
      <c r="BO72" t="s">
        <v>2028</v>
      </c>
    </row>
    <row r="73" spans="7:67">
      <c r="G73" t="s">
        <v>2030</v>
      </c>
      <c r="AK73" t="s">
        <v>2031</v>
      </c>
      <c r="BD73" t="s">
        <v>2032</v>
      </c>
      <c r="BO73" t="s">
        <v>2031</v>
      </c>
    </row>
    <row r="74" spans="7:67">
      <c r="G74" t="s">
        <v>2033</v>
      </c>
      <c r="AK74" t="s">
        <v>2034</v>
      </c>
      <c r="BD74" t="s">
        <v>2035</v>
      </c>
      <c r="BO74" t="s">
        <v>2034</v>
      </c>
    </row>
    <row r="75" spans="7:67">
      <c r="G75" t="s">
        <v>2036</v>
      </c>
      <c r="AK75" t="s">
        <v>2037</v>
      </c>
      <c r="BD75" t="s">
        <v>2038</v>
      </c>
      <c r="BO75" t="s">
        <v>2037</v>
      </c>
    </row>
    <row r="76" spans="7:67">
      <c r="G76" t="s">
        <v>2039</v>
      </c>
      <c r="AK76" t="s">
        <v>2040</v>
      </c>
      <c r="BD76" t="s">
        <v>2041</v>
      </c>
      <c r="BO76" t="s">
        <v>2040</v>
      </c>
    </row>
    <row r="77" spans="7:67">
      <c r="G77" t="s">
        <v>2042</v>
      </c>
      <c r="AK77" t="s">
        <v>2043</v>
      </c>
      <c r="BD77" t="s">
        <v>2044</v>
      </c>
      <c r="BO77" t="s">
        <v>2043</v>
      </c>
    </row>
    <row r="78" spans="7:67">
      <c r="G78" t="s">
        <v>2045</v>
      </c>
      <c r="AK78" t="s">
        <v>2046</v>
      </c>
      <c r="BD78" t="s">
        <v>2047</v>
      </c>
      <c r="BO78" t="s">
        <v>2046</v>
      </c>
    </row>
    <row r="79" spans="7:67">
      <c r="G79" t="s">
        <v>2048</v>
      </c>
      <c r="AK79" t="s">
        <v>2049</v>
      </c>
      <c r="BD79" t="s">
        <v>2050</v>
      </c>
      <c r="BO79" t="s">
        <v>2049</v>
      </c>
    </row>
    <row r="80" spans="7:67">
      <c r="G80" t="s">
        <v>2051</v>
      </c>
      <c r="AK80" t="s">
        <v>2052</v>
      </c>
      <c r="BD80" t="s">
        <v>2053</v>
      </c>
      <c r="BO80" t="s">
        <v>2052</v>
      </c>
    </row>
    <row r="81" spans="7:67">
      <c r="G81" t="s">
        <v>2054</v>
      </c>
      <c r="AK81" t="s">
        <v>2055</v>
      </c>
      <c r="BD81" t="s">
        <v>2056</v>
      </c>
      <c r="BO81" t="s">
        <v>2055</v>
      </c>
    </row>
    <row r="82" spans="7:67">
      <c r="G82" t="s">
        <v>2057</v>
      </c>
      <c r="AK82" t="s">
        <v>2058</v>
      </c>
      <c r="BD82" t="s">
        <v>2059</v>
      </c>
      <c r="BO82" t="s">
        <v>2058</v>
      </c>
    </row>
    <row r="83" spans="7:67">
      <c r="G83" t="s">
        <v>2060</v>
      </c>
      <c r="AK83" t="s">
        <v>2061</v>
      </c>
      <c r="BD83" t="s">
        <v>2062</v>
      </c>
      <c r="BO83" t="s">
        <v>2061</v>
      </c>
    </row>
    <row r="84" spans="7:67">
      <c r="G84" t="s">
        <v>2063</v>
      </c>
      <c r="AK84" t="s">
        <v>2064</v>
      </c>
      <c r="BD84" t="s">
        <v>2065</v>
      </c>
      <c r="BO84" t="s">
        <v>2064</v>
      </c>
    </row>
    <row r="85" spans="7:67">
      <c r="G85" t="s">
        <v>2066</v>
      </c>
      <c r="AK85" t="s">
        <v>2067</v>
      </c>
      <c r="BD85" t="s">
        <v>2068</v>
      </c>
      <c r="BO85" t="s">
        <v>2067</v>
      </c>
    </row>
    <row r="86" spans="7:67">
      <c r="G86" t="s">
        <v>2069</v>
      </c>
      <c r="AK86" t="s">
        <v>2070</v>
      </c>
      <c r="BD86" t="s">
        <v>2071</v>
      </c>
      <c r="BO86" t="s">
        <v>2070</v>
      </c>
    </row>
    <row r="87" spans="7:67">
      <c r="G87" t="s">
        <v>2072</v>
      </c>
      <c r="AK87" t="s">
        <v>2073</v>
      </c>
      <c r="BD87" t="s">
        <v>2074</v>
      </c>
      <c r="BO87" t="s">
        <v>2073</v>
      </c>
    </row>
    <row r="88" spans="7:67">
      <c r="G88" t="s">
        <v>2075</v>
      </c>
      <c r="AK88" t="s">
        <v>2076</v>
      </c>
      <c r="BD88" t="s">
        <v>2077</v>
      </c>
      <c r="BO88" t="s">
        <v>2076</v>
      </c>
    </row>
    <row r="89" spans="7:67">
      <c r="G89" t="s">
        <v>2078</v>
      </c>
      <c r="AK89" t="s">
        <v>2079</v>
      </c>
      <c r="BD89" t="s">
        <v>2080</v>
      </c>
      <c r="BO89" t="s">
        <v>2079</v>
      </c>
    </row>
    <row r="90" spans="7:67">
      <c r="G90" t="s">
        <v>2081</v>
      </c>
      <c r="AK90" t="s">
        <v>2082</v>
      </c>
      <c r="BD90" t="s">
        <v>2083</v>
      </c>
      <c r="BO90" t="s">
        <v>2082</v>
      </c>
    </row>
    <row r="91" spans="7:67">
      <c r="G91" t="s">
        <v>2084</v>
      </c>
      <c r="AK91" t="s">
        <v>2085</v>
      </c>
      <c r="BD91" t="s">
        <v>2086</v>
      </c>
      <c r="BO91" t="s">
        <v>2085</v>
      </c>
    </row>
    <row r="92" spans="7:67">
      <c r="G92" t="s">
        <v>2087</v>
      </c>
      <c r="AK92" t="s">
        <v>2088</v>
      </c>
      <c r="BD92" t="s">
        <v>2089</v>
      </c>
      <c r="BO92" t="s">
        <v>2088</v>
      </c>
    </row>
    <row r="93" spans="7:67">
      <c r="G93" t="s">
        <v>2090</v>
      </c>
      <c r="AK93" t="s">
        <v>2091</v>
      </c>
      <c r="BD93" t="s">
        <v>2092</v>
      </c>
      <c r="BO93" t="s">
        <v>2091</v>
      </c>
    </row>
    <row r="94" spans="7:67">
      <c r="G94" t="s">
        <v>2093</v>
      </c>
      <c r="AK94" t="s">
        <v>2094</v>
      </c>
      <c r="BD94" t="s">
        <v>2095</v>
      </c>
      <c r="BO94" t="s">
        <v>2094</v>
      </c>
    </row>
    <row r="95" spans="7:67">
      <c r="G95" t="s">
        <v>2096</v>
      </c>
      <c r="AK95" t="s">
        <v>2097</v>
      </c>
      <c r="BD95" t="s">
        <v>2098</v>
      </c>
      <c r="BO95" t="s">
        <v>2097</v>
      </c>
    </row>
    <row r="96" spans="7:67">
      <c r="G96" t="s">
        <v>2099</v>
      </c>
      <c r="AK96" t="s">
        <v>2100</v>
      </c>
      <c r="BD96" t="s">
        <v>2101</v>
      </c>
      <c r="BO96" t="s">
        <v>2100</v>
      </c>
    </row>
    <row r="97" spans="7:67">
      <c r="G97" t="s">
        <v>2102</v>
      </c>
      <c r="AK97" t="s">
        <v>2103</v>
      </c>
      <c r="BD97" t="s">
        <v>2104</v>
      </c>
      <c r="BO97" t="s">
        <v>2103</v>
      </c>
    </row>
    <row r="98" spans="7:67">
      <c r="G98" t="s">
        <v>2105</v>
      </c>
      <c r="AK98" t="s">
        <v>2106</v>
      </c>
      <c r="BD98" t="s">
        <v>2107</v>
      </c>
      <c r="BO98" t="s">
        <v>2106</v>
      </c>
    </row>
    <row r="99" spans="7:67">
      <c r="G99" t="s">
        <v>2108</v>
      </c>
      <c r="AK99" t="s">
        <v>2109</v>
      </c>
      <c r="BD99" t="s">
        <v>2110</v>
      </c>
      <c r="BO99" t="s">
        <v>2109</v>
      </c>
    </row>
    <row r="100" spans="7:67">
      <c r="G100" t="s">
        <v>2111</v>
      </c>
      <c r="AK100" t="s">
        <v>2112</v>
      </c>
      <c r="BD100" t="s">
        <v>2113</v>
      </c>
      <c r="BO100" t="s">
        <v>2112</v>
      </c>
    </row>
    <row r="101" spans="7:67">
      <c r="G101" t="s">
        <v>2114</v>
      </c>
      <c r="AK101" t="s">
        <v>2115</v>
      </c>
      <c r="BD101" t="s">
        <v>2116</v>
      </c>
      <c r="BO101" t="s">
        <v>2115</v>
      </c>
    </row>
    <row r="102" spans="7:67">
      <c r="G102" t="s">
        <v>2117</v>
      </c>
      <c r="AK102" t="s">
        <v>2118</v>
      </c>
      <c r="BD102" t="s">
        <v>2119</v>
      </c>
      <c r="BO102" t="s">
        <v>2118</v>
      </c>
    </row>
    <row r="103" spans="7:67">
      <c r="G103" t="s">
        <v>2120</v>
      </c>
      <c r="AK103" t="s">
        <v>2121</v>
      </c>
      <c r="BD103" t="s">
        <v>2122</v>
      </c>
      <c r="BO103" t="s">
        <v>2121</v>
      </c>
    </row>
    <row r="104" spans="7:67">
      <c r="G104" t="s">
        <v>2123</v>
      </c>
      <c r="AK104" t="s">
        <v>2124</v>
      </c>
      <c r="BD104" t="s">
        <v>2125</v>
      </c>
      <c r="BO104" t="s">
        <v>2124</v>
      </c>
    </row>
    <row r="105" spans="7:67">
      <c r="G105" t="s">
        <v>2126</v>
      </c>
      <c r="AK105" t="s">
        <v>2127</v>
      </c>
      <c r="BD105" t="s">
        <v>2128</v>
      </c>
      <c r="BO105" t="s">
        <v>2127</v>
      </c>
    </row>
    <row r="106" spans="7:67">
      <c r="G106" t="s">
        <v>2129</v>
      </c>
      <c r="AK106" t="s">
        <v>2130</v>
      </c>
      <c r="BD106" t="s">
        <v>2131</v>
      </c>
      <c r="BO106" t="s">
        <v>2130</v>
      </c>
    </row>
    <row r="107" spans="7:67">
      <c r="G107" t="s">
        <v>2132</v>
      </c>
      <c r="AK107" t="s">
        <v>2133</v>
      </c>
      <c r="BD107" t="s">
        <v>2134</v>
      </c>
      <c r="BO107" t="s">
        <v>2133</v>
      </c>
    </row>
    <row r="108" spans="7:67">
      <c r="G108" t="s">
        <v>2135</v>
      </c>
      <c r="AK108" t="s">
        <v>2136</v>
      </c>
      <c r="BD108" t="s">
        <v>2137</v>
      </c>
      <c r="BO108" t="s">
        <v>2136</v>
      </c>
    </row>
    <row r="109" spans="7:67">
      <c r="G109" t="s">
        <v>2138</v>
      </c>
      <c r="AK109" t="s">
        <v>2139</v>
      </c>
      <c r="BD109" t="s">
        <v>2140</v>
      </c>
      <c r="BO109" t="s">
        <v>2139</v>
      </c>
    </row>
    <row r="110" spans="7:67">
      <c r="G110" t="s">
        <v>2141</v>
      </c>
      <c r="AK110" t="s">
        <v>2142</v>
      </c>
      <c r="BD110" t="s">
        <v>2143</v>
      </c>
      <c r="BO110" t="s">
        <v>2142</v>
      </c>
    </row>
    <row r="111" spans="7:67">
      <c r="G111" t="s">
        <v>2144</v>
      </c>
      <c r="AK111" t="s">
        <v>2145</v>
      </c>
      <c r="BD111" t="s">
        <v>2146</v>
      </c>
      <c r="BO111" t="s">
        <v>2145</v>
      </c>
    </row>
    <row r="112" spans="7:67">
      <c r="G112" t="s">
        <v>2147</v>
      </c>
      <c r="AK112" t="s">
        <v>2148</v>
      </c>
      <c r="BD112" t="s">
        <v>2149</v>
      </c>
      <c r="BO112" t="s">
        <v>2148</v>
      </c>
    </row>
    <row r="113" spans="7:67">
      <c r="G113" t="s">
        <v>2150</v>
      </c>
      <c r="AK113" t="s">
        <v>2151</v>
      </c>
      <c r="BD113" t="s">
        <v>2152</v>
      </c>
      <c r="BO113" t="s">
        <v>2151</v>
      </c>
    </row>
    <row r="114" spans="7:67">
      <c r="G114" t="s">
        <v>2153</v>
      </c>
      <c r="AK114" t="s">
        <v>2154</v>
      </c>
      <c r="BD114" t="s">
        <v>2155</v>
      </c>
      <c r="BO114" t="s">
        <v>2154</v>
      </c>
    </row>
    <row r="115" spans="7:67">
      <c r="G115" t="s">
        <v>2156</v>
      </c>
      <c r="AK115" t="s">
        <v>2157</v>
      </c>
      <c r="BD115" t="s">
        <v>2158</v>
      </c>
      <c r="BO115" t="s">
        <v>2157</v>
      </c>
    </row>
    <row r="116" spans="7:67">
      <c r="G116" t="s">
        <v>2159</v>
      </c>
      <c r="AK116" t="s">
        <v>2160</v>
      </c>
      <c r="BD116" t="s">
        <v>2161</v>
      </c>
      <c r="BO116" t="s">
        <v>2160</v>
      </c>
    </row>
    <row r="117" spans="7:67">
      <c r="G117" t="s">
        <v>2162</v>
      </c>
      <c r="BD117" t="s">
        <v>2163</v>
      </c>
    </row>
    <row r="118" spans="7:67">
      <c r="G118" t="s">
        <v>2164</v>
      </c>
      <c r="BD118" t="s">
        <v>2165</v>
      </c>
    </row>
    <row r="119" spans="7:67">
      <c r="G119" t="s">
        <v>2166</v>
      </c>
      <c r="BD119" t="s">
        <v>2167</v>
      </c>
    </row>
    <row r="120" spans="7:67">
      <c r="G120" t="s">
        <v>2168</v>
      </c>
      <c r="BD120" t="s">
        <v>2169</v>
      </c>
    </row>
    <row r="121" spans="7:67">
      <c r="G121" t="s">
        <v>2170</v>
      </c>
      <c r="BD121" t="s">
        <v>2171</v>
      </c>
    </row>
    <row r="122" spans="7:67">
      <c r="G122" t="s">
        <v>2172</v>
      </c>
      <c r="BD122" t="s">
        <v>2173</v>
      </c>
    </row>
    <row r="123" spans="7:67">
      <c r="G123" t="s">
        <v>2174</v>
      </c>
      <c r="BD123" t="s">
        <v>2175</v>
      </c>
    </row>
    <row r="124" spans="7:67">
      <c r="G124" t="s">
        <v>2176</v>
      </c>
      <c r="BD124" t="s">
        <v>2177</v>
      </c>
    </row>
    <row r="125" spans="7:67">
      <c r="G125" t="s">
        <v>2178</v>
      </c>
      <c r="BD125" t="s">
        <v>2179</v>
      </c>
    </row>
    <row r="126" spans="7:67">
      <c r="G126" t="s">
        <v>2180</v>
      </c>
      <c r="BD126" t="s">
        <v>2181</v>
      </c>
    </row>
    <row r="127" spans="7:67">
      <c r="G127" t="s">
        <v>2182</v>
      </c>
      <c r="BD127" t="s">
        <v>2183</v>
      </c>
    </row>
    <row r="128" spans="7:67">
      <c r="G128" t="s">
        <v>2184</v>
      </c>
      <c r="BD128" t="s">
        <v>2185</v>
      </c>
    </row>
    <row r="129" spans="7:56">
      <c r="G129" t="s">
        <v>2186</v>
      </c>
      <c r="BD129" t="s">
        <v>2187</v>
      </c>
    </row>
    <row r="130" spans="7:56">
      <c r="G130" t="s">
        <v>2188</v>
      </c>
      <c r="BD130" t="s">
        <v>2189</v>
      </c>
    </row>
    <row r="131" spans="7:56">
      <c r="G131" t="s">
        <v>2190</v>
      </c>
      <c r="BD131" t="s">
        <v>2191</v>
      </c>
    </row>
    <row r="132" spans="7:56">
      <c r="G132" t="s">
        <v>2192</v>
      </c>
      <c r="BD132" t="s">
        <v>2193</v>
      </c>
    </row>
    <row r="133" spans="7:56">
      <c r="G133" t="s">
        <v>2194</v>
      </c>
      <c r="BD133" t="s">
        <v>2195</v>
      </c>
    </row>
    <row r="134" spans="7:56">
      <c r="G134" t="s">
        <v>2196</v>
      </c>
      <c r="BD134" t="s">
        <v>2197</v>
      </c>
    </row>
    <row r="135" spans="7:56">
      <c r="G135" t="s">
        <v>2198</v>
      </c>
      <c r="BD135" t="s">
        <v>2199</v>
      </c>
    </row>
    <row r="136" spans="7:56">
      <c r="G136" t="s">
        <v>2200</v>
      </c>
      <c r="BD136" t="s">
        <v>2201</v>
      </c>
    </row>
    <row r="137" spans="7:56">
      <c r="G137" t="s">
        <v>2202</v>
      </c>
      <c r="BD137" t="s">
        <v>2203</v>
      </c>
    </row>
    <row r="138" spans="7:56">
      <c r="G138" t="s">
        <v>2204</v>
      </c>
      <c r="BD138" t="s">
        <v>2205</v>
      </c>
    </row>
    <row r="139" spans="7:56">
      <c r="G139" t="s">
        <v>2206</v>
      </c>
      <c r="BD139" t="s">
        <v>2207</v>
      </c>
    </row>
    <row r="140" spans="7:56">
      <c r="G140" t="s">
        <v>2208</v>
      </c>
      <c r="BD140" t="s">
        <v>2209</v>
      </c>
    </row>
    <row r="141" spans="7:56">
      <c r="G141" t="s">
        <v>2210</v>
      </c>
      <c r="BD141" t="s">
        <v>2211</v>
      </c>
    </row>
    <row r="142" spans="7:56">
      <c r="G142" t="s">
        <v>2212</v>
      </c>
      <c r="BD142" t="s">
        <v>2213</v>
      </c>
    </row>
    <row r="143" spans="7:56">
      <c r="G143" t="s">
        <v>2214</v>
      </c>
      <c r="BD143" t="s">
        <v>2215</v>
      </c>
    </row>
    <row r="144" spans="7:56">
      <c r="G144" t="s">
        <v>2216</v>
      </c>
      <c r="BD144" t="s">
        <v>2217</v>
      </c>
    </row>
    <row r="145" spans="7:56">
      <c r="G145" t="s">
        <v>2218</v>
      </c>
      <c r="BD145" t="s">
        <v>2219</v>
      </c>
    </row>
    <row r="146" spans="7:56">
      <c r="G146" t="s">
        <v>2220</v>
      </c>
      <c r="BD146" t="s">
        <v>2221</v>
      </c>
    </row>
    <row r="147" spans="7:56">
      <c r="G147" t="s">
        <v>2222</v>
      </c>
      <c r="BD147" t="s">
        <v>2223</v>
      </c>
    </row>
    <row r="148" spans="7:56">
      <c r="G148" t="s">
        <v>2224</v>
      </c>
      <c r="BD148" t="s">
        <v>2225</v>
      </c>
    </row>
    <row r="149" spans="7:56">
      <c r="G149" t="s">
        <v>2226</v>
      </c>
      <c r="BD149" t="s">
        <v>2227</v>
      </c>
    </row>
    <row r="150" spans="7:56">
      <c r="G150" t="s">
        <v>2228</v>
      </c>
      <c r="BD150" t="s">
        <v>2229</v>
      </c>
    </row>
    <row r="151" spans="7:56">
      <c r="G151" t="s">
        <v>2230</v>
      </c>
      <c r="BD151" t="s">
        <v>2231</v>
      </c>
    </row>
    <row r="152" spans="7:56">
      <c r="G152" t="s">
        <v>2232</v>
      </c>
      <c r="BD152" t="s">
        <v>2233</v>
      </c>
    </row>
    <row r="153" spans="7:56">
      <c r="G153" t="s">
        <v>2234</v>
      </c>
      <c r="BD153" t="s">
        <v>2235</v>
      </c>
    </row>
    <row r="154" spans="7:56">
      <c r="G154" t="s">
        <v>2236</v>
      </c>
      <c r="BD154" t="s">
        <v>2237</v>
      </c>
    </row>
    <row r="155" spans="7:56">
      <c r="G155" t="s">
        <v>2238</v>
      </c>
      <c r="BD155" t="s">
        <v>2239</v>
      </c>
    </row>
    <row r="156" spans="7:56">
      <c r="G156" t="s">
        <v>2240</v>
      </c>
      <c r="BD156" t="s">
        <v>2241</v>
      </c>
    </row>
    <row r="157" spans="7:56">
      <c r="G157" t="s">
        <v>2242</v>
      </c>
      <c r="BD157" t="s">
        <v>2243</v>
      </c>
    </row>
    <row r="158" spans="7:56">
      <c r="G158" t="s">
        <v>2244</v>
      </c>
      <c r="BD158" t="s">
        <v>2245</v>
      </c>
    </row>
    <row r="159" spans="7:56">
      <c r="G159" t="s">
        <v>2246</v>
      </c>
      <c r="BD159" t="s">
        <v>2247</v>
      </c>
    </row>
    <row r="160" spans="7:56">
      <c r="G160" t="s">
        <v>2248</v>
      </c>
      <c r="BD160" t="s">
        <v>2249</v>
      </c>
    </row>
    <row r="161" spans="7:56">
      <c r="G161" t="s">
        <v>2250</v>
      </c>
      <c r="BD161" t="s">
        <v>2251</v>
      </c>
    </row>
    <row r="162" spans="7:56">
      <c r="G162" t="s">
        <v>2252</v>
      </c>
      <c r="BD162" t="s">
        <v>2253</v>
      </c>
    </row>
    <row r="163" spans="7:56">
      <c r="G163" t="s">
        <v>2254</v>
      </c>
      <c r="BD163" t="s">
        <v>2255</v>
      </c>
    </row>
    <row r="164" spans="7:56">
      <c r="G164" t="s">
        <v>2256</v>
      </c>
      <c r="BD164" t="s">
        <v>2257</v>
      </c>
    </row>
    <row r="165" spans="7:56">
      <c r="G165" t="s">
        <v>2258</v>
      </c>
      <c r="BD165" t="s">
        <v>2259</v>
      </c>
    </row>
    <row r="166" spans="7:56">
      <c r="G166" t="s">
        <v>2260</v>
      </c>
      <c r="BD166" t="s">
        <v>2261</v>
      </c>
    </row>
    <row r="167" spans="7:56">
      <c r="G167" t="s">
        <v>2262</v>
      </c>
      <c r="BD167" t="s">
        <v>2263</v>
      </c>
    </row>
    <row r="168" spans="7:56">
      <c r="G168" t="s">
        <v>2264</v>
      </c>
      <c r="BD168" t="s">
        <v>2265</v>
      </c>
    </row>
    <row r="169" spans="7:56">
      <c r="G169" t="s">
        <v>2266</v>
      </c>
      <c r="BD169" t="s">
        <v>2267</v>
      </c>
    </row>
    <row r="170" spans="7:56">
      <c r="G170" t="s">
        <v>2268</v>
      </c>
      <c r="BD170" t="s">
        <v>2269</v>
      </c>
    </row>
    <row r="171" spans="7:56">
      <c r="G171" t="s">
        <v>2270</v>
      </c>
      <c r="BD171" t="s">
        <v>2271</v>
      </c>
    </row>
    <row r="172" spans="7:56">
      <c r="G172" t="s">
        <v>2272</v>
      </c>
      <c r="BD172" t="s">
        <v>2273</v>
      </c>
    </row>
    <row r="173" spans="7:56">
      <c r="G173" t="s">
        <v>2274</v>
      </c>
      <c r="BD173" t="s">
        <v>2275</v>
      </c>
    </row>
    <row r="174" spans="7:56">
      <c r="G174" t="s">
        <v>2276</v>
      </c>
      <c r="BD174" t="s">
        <v>2277</v>
      </c>
    </row>
    <row r="175" spans="7:56">
      <c r="G175" t="s">
        <v>2278</v>
      </c>
      <c r="BD175" t="s">
        <v>2279</v>
      </c>
    </row>
    <row r="176" spans="7:56">
      <c r="G176" t="s">
        <v>2280</v>
      </c>
      <c r="BD176" t="s">
        <v>2281</v>
      </c>
    </row>
    <row r="177" spans="7:56">
      <c r="G177" t="s">
        <v>2282</v>
      </c>
      <c r="BD177" t="s">
        <v>2283</v>
      </c>
    </row>
    <row r="178" spans="7:56">
      <c r="G178" t="s">
        <v>2284</v>
      </c>
      <c r="BD178" t="s">
        <v>2285</v>
      </c>
    </row>
    <row r="179" spans="7:56">
      <c r="G179" t="s">
        <v>2286</v>
      </c>
      <c r="BD179" t="s">
        <v>2287</v>
      </c>
    </row>
    <row r="180" spans="7:56">
      <c r="G180" t="s">
        <v>2288</v>
      </c>
      <c r="BD180" t="s">
        <v>2289</v>
      </c>
    </row>
    <row r="181" spans="7:56">
      <c r="G181" t="s">
        <v>2290</v>
      </c>
      <c r="BD181" t="s">
        <v>2291</v>
      </c>
    </row>
    <row r="182" spans="7:56">
      <c r="G182" t="s">
        <v>2292</v>
      </c>
      <c r="BD182" t="s">
        <v>2293</v>
      </c>
    </row>
    <row r="183" spans="7:56">
      <c r="G183" t="s">
        <v>2294</v>
      </c>
      <c r="BD183" t="s">
        <v>2295</v>
      </c>
    </row>
    <row r="184" spans="7:56">
      <c r="G184" t="s">
        <v>2296</v>
      </c>
      <c r="BD184" t="s">
        <v>2297</v>
      </c>
    </row>
    <row r="185" spans="7:56">
      <c r="G185" t="s">
        <v>2298</v>
      </c>
      <c r="BD185" t="s">
        <v>2299</v>
      </c>
    </row>
    <row r="186" spans="7:56">
      <c r="G186" t="s">
        <v>2300</v>
      </c>
      <c r="BD186" t="s">
        <v>2301</v>
      </c>
    </row>
    <row r="187" spans="7:56">
      <c r="G187" t="s">
        <v>2302</v>
      </c>
      <c r="BD187" t="s">
        <v>2303</v>
      </c>
    </row>
    <row r="188" spans="7:56">
      <c r="G188" t="s">
        <v>2304</v>
      </c>
      <c r="BD188" t="s">
        <v>2305</v>
      </c>
    </row>
    <row r="189" spans="7:56">
      <c r="G189" t="s">
        <v>2306</v>
      </c>
      <c r="BD189" t="s">
        <v>2307</v>
      </c>
    </row>
    <row r="190" spans="7:56">
      <c r="G190" t="s">
        <v>2308</v>
      </c>
      <c r="BD190" t="s">
        <v>2309</v>
      </c>
    </row>
    <row r="191" spans="7:56">
      <c r="G191" t="s">
        <v>2310</v>
      </c>
      <c r="BD191" t="s">
        <v>2311</v>
      </c>
    </row>
    <row r="192" spans="7:56">
      <c r="G192" t="s">
        <v>2312</v>
      </c>
      <c r="BD192" t="s">
        <v>2313</v>
      </c>
    </row>
    <row r="193" spans="7:56">
      <c r="G193" t="s">
        <v>2314</v>
      </c>
      <c r="BD193" t="s">
        <v>2315</v>
      </c>
    </row>
    <row r="194" spans="7:56">
      <c r="G194" t="s">
        <v>2316</v>
      </c>
      <c r="BD194" t="s">
        <v>2317</v>
      </c>
    </row>
    <row r="195" spans="7:56">
      <c r="G195" t="s">
        <v>2318</v>
      </c>
      <c r="BD195" t="s">
        <v>2319</v>
      </c>
    </row>
    <row r="196" spans="7:56">
      <c r="G196" t="s">
        <v>2320</v>
      </c>
      <c r="BD196" t="s">
        <v>2321</v>
      </c>
    </row>
    <row r="197" spans="7:56">
      <c r="G197" t="s">
        <v>2322</v>
      </c>
      <c r="BD197" t="s">
        <v>2323</v>
      </c>
    </row>
    <row r="198" spans="7:56">
      <c r="G198" t="s">
        <v>2324</v>
      </c>
      <c r="BD198" t="s">
        <v>2325</v>
      </c>
    </row>
    <row r="199" spans="7:56">
      <c r="G199" t="s">
        <v>2326</v>
      </c>
      <c r="BD199" t="s">
        <v>2327</v>
      </c>
    </row>
    <row r="200" spans="7:56">
      <c r="G200" t="s">
        <v>2328</v>
      </c>
      <c r="BD200" t="s">
        <v>2329</v>
      </c>
    </row>
    <row r="201" spans="7:56">
      <c r="G201" t="s">
        <v>2330</v>
      </c>
      <c r="BD201" t="s">
        <v>2331</v>
      </c>
    </row>
    <row r="202" spans="7:56">
      <c r="G202" t="s">
        <v>2332</v>
      </c>
      <c r="BD202" t="s">
        <v>2333</v>
      </c>
    </row>
    <row r="203" spans="7:56">
      <c r="G203" t="s">
        <v>2334</v>
      </c>
      <c r="BD203" t="s">
        <v>2335</v>
      </c>
    </row>
    <row r="204" spans="7:56">
      <c r="G204" t="s">
        <v>2336</v>
      </c>
      <c r="BD204" t="s">
        <v>2337</v>
      </c>
    </row>
    <row r="205" spans="7:56">
      <c r="G205" t="s">
        <v>2338</v>
      </c>
      <c r="BD205" t="s">
        <v>2339</v>
      </c>
    </row>
    <row r="206" spans="7:56">
      <c r="G206" t="s">
        <v>2340</v>
      </c>
      <c r="BD206" t="s">
        <v>2341</v>
      </c>
    </row>
    <row r="207" spans="7:56">
      <c r="G207" t="s">
        <v>2342</v>
      </c>
      <c r="BD207" t="s">
        <v>2343</v>
      </c>
    </row>
    <row r="208" spans="7:56">
      <c r="G208" t="s">
        <v>2344</v>
      </c>
      <c r="BD208" t="s">
        <v>2345</v>
      </c>
    </row>
    <row r="209" spans="7:56">
      <c r="G209" t="s">
        <v>2346</v>
      </c>
      <c r="BD209" t="s">
        <v>2347</v>
      </c>
    </row>
    <row r="210" spans="7:56">
      <c r="G210" t="s">
        <v>2348</v>
      </c>
      <c r="BD210" t="s">
        <v>2349</v>
      </c>
    </row>
    <row r="211" spans="7:56">
      <c r="G211" t="s">
        <v>2350</v>
      </c>
      <c r="BD211" t="s">
        <v>2351</v>
      </c>
    </row>
    <row r="212" spans="7:56">
      <c r="G212" t="s">
        <v>2352</v>
      </c>
      <c r="BD212" t="s">
        <v>2353</v>
      </c>
    </row>
    <row r="213" spans="7:56">
      <c r="G213" t="s">
        <v>2354</v>
      </c>
      <c r="BD213" t="s">
        <v>2355</v>
      </c>
    </row>
    <row r="214" spans="7:56">
      <c r="G214" t="s">
        <v>2356</v>
      </c>
      <c r="BD214" t="s">
        <v>2357</v>
      </c>
    </row>
    <row r="215" spans="7:56">
      <c r="G215" t="s">
        <v>2358</v>
      </c>
      <c r="BD215" t="s">
        <v>2359</v>
      </c>
    </row>
    <row r="216" spans="7:56">
      <c r="G216" t="s">
        <v>2360</v>
      </c>
      <c r="BD216" t="s">
        <v>2361</v>
      </c>
    </row>
    <row r="217" spans="7:56">
      <c r="G217" t="s">
        <v>2362</v>
      </c>
      <c r="BD217" t="s">
        <v>2363</v>
      </c>
    </row>
    <row r="218" spans="7:56">
      <c r="G218" t="s">
        <v>2364</v>
      </c>
      <c r="BD218" t="s">
        <v>2365</v>
      </c>
    </row>
    <row r="219" spans="7:56">
      <c r="G219" t="s">
        <v>2366</v>
      </c>
      <c r="BD219" t="s">
        <v>2367</v>
      </c>
    </row>
    <row r="220" spans="7:56">
      <c r="G220" t="s">
        <v>2368</v>
      </c>
      <c r="BD220" t="s">
        <v>2369</v>
      </c>
    </row>
    <row r="221" spans="7:56">
      <c r="G221" t="s">
        <v>2370</v>
      </c>
      <c r="BD221" t="s">
        <v>2371</v>
      </c>
    </row>
    <row r="222" spans="7:56">
      <c r="G222" t="s">
        <v>2372</v>
      </c>
      <c r="BD222" t="s">
        <v>2373</v>
      </c>
    </row>
    <row r="223" spans="7:56">
      <c r="G223" t="s">
        <v>2374</v>
      </c>
      <c r="BD223" t="s">
        <v>2375</v>
      </c>
    </row>
    <row r="224" spans="7:56">
      <c r="G224" t="s">
        <v>2376</v>
      </c>
      <c r="BD224" t="s">
        <v>2377</v>
      </c>
    </row>
    <row r="225" spans="7:56">
      <c r="G225" t="s">
        <v>2378</v>
      </c>
      <c r="BD225" t="s">
        <v>2379</v>
      </c>
    </row>
    <row r="226" spans="7:56">
      <c r="G226" t="s">
        <v>2380</v>
      </c>
      <c r="BD226" t="s">
        <v>2381</v>
      </c>
    </row>
    <row r="227" spans="7:56">
      <c r="G227" t="s">
        <v>2382</v>
      </c>
      <c r="BD227" t="s">
        <v>2383</v>
      </c>
    </row>
    <row r="228" spans="7:56">
      <c r="G228" t="s">
        <v>2384</v>
      </c>
      <c r="BD228" t="s">
        <v>2385</v>
      </c>
    </row>
    <row r="229" spans="7:56">
      <c r="G229" t="s">
        <v>2386</v>
      </c>
      <c r="BD229" t="s">
        <v>2387</v>
      </c>
    </row>
    <row r="230" spans="7:56">
      <c r="G230" t="s">
        <v>2388</v>
      </c>
      <c r="BD230" t="s">
        <v>2389</v>
      </c>
    </row>
    <row r="231" spans="7:56">
      <c r="G231" t="s">
        <v>2390</v>
      </c>
      <c r="BD231" t="s">
        <v>2391</v>
      </c>
    </row>
    <row r="232" spans="7:56">
      <c r="G232" t="s">
        <v>2392</v>
      </c>
      <c r="BD232" t="s">
        <v>2393</v>
      </c>
    </row>
    <row r="233" spans="7:56">
      <c r="G233" t="s">
        <v>2394</v>
      </c>
      <c r="BD233" t="s">
        <v>2395</v>
      </c>
    </row>
    <row r="234" spans="7:56">
      <c r="G234" t="s">
        <v>1977</v>
      </c>
      <c r="BD234" t="s">
        <v>2396</v>
      </c>
    </row>
    <row r="235" spans="7:56">
      <c r="G235" t="s">
        <v>2397</v>
      </c>
      <c r="BD235" t="s">
        <v>2398</v>
      </c>
    </row>
    <row r="236" spans="7:56">
      <c r="G236" t="s">
        <v>2399</v>
      </c>
      <c r="BD236" t="s">
        <v>2400</v>
      </c>
    </row>
    <row r="237" spans="7:56">
      <c r="G237" t="s">
        <v>2401</v>
      </c>
      <c r="BD237" t="s">
        <v>2402</v>
      </c>
    </row>
    <row r="238" spans="7:56">
      <c r="G238" t="s">
        <v>2403</v>
      </c>
      <c r="BD238" t="s">
        <v>2404</v>
      </c>
    </row>
    <row r="239" spans="7:56">
      <c r="G239" t="s">
        <v>2405</v>
      </c>
      <c r="BD239" t="s">
        <v>2406</v>
      </c>
    </row>
    <row r="240" spans="7:56">
      <c r="G240" t="s">
        <v>2407</v>
      </c>
      <c r="BD240" t="s">
        <v>2408</v>
      </c>
    </row>
    <row r="241" spans="7:56">
      <c r="G241" t="s">
        <v>2409</v>
      </c>
      <c r="BD241" t="s">
        <v>2410</v>
      </c>
    </row>
    <row r="242" spans="7:56">
      <c r="G242" t="s">
        <v>1876</v>
      </c>
      <c r="BD242" t="s">
        <v>2411</v>
      </c>
    </row>
    <row r="243" spans="7:56">
      <c r="G243" t="s">
        <v>2412</v>
      </c>
      <c r="BD243" t="s">
        <v>2413</v>
      </c>
    </row>
    <row r="244" spans="7:56">
      <c r="G244" t="s">
        <v>2414</v>
      </c>
      <c r="BD244" t="s">
        <v>2415</v>
      </c>
    </row>
    <row r="245" spans="7:56">
      <c r="G245" t="s">
        <v>2416</v>
      </c>
      <c r="BD245" t="s">
        <v>2417</v>
      </c>
    </row>
    <row r="246" spans="7:56">
      <c r="G246" t="s">
        <v>2418</v>
      </c>
      <c r="BD246" t="s">
        <v>2419</v>
      </c>
    </row>
    <row r="247" spans="7:56">
      <c r="G247" t="s">
        <v>2420</v>
      </c>
      <c r="BD247" t="s">
        <v>2421</v>
      </c>
    </row>
    <row r="248" spans="7:56">
      <c r="G248" t="s">
        <v>2422</v>
      </c>
      <c r="BD248" t="s">
        <v>2423</v>
      </c>
    </row>
    <row r="249" spans="7:56">
      <c r="G249" t="s">
        <v>2424</v>
      </c>
      <c r="BD249" t="s">
        <v>2425</v>
      </c>
    </row>
    <row r="250" spans="7:56">
      <c r="G250" t="s">
        <v>2426</v>
      </c>
      <c r="BD250" t="s">
        <v>2427</v>
      </c>
    </row>
    <row r="251" spans="7:56">
      <c r="G251" t="s">
        <v>2428</v>
      </c>
      <c r="BD251" t="s">
        <v>2429</v>
      </c>
    </row>
    <row r="252" spans="7:56">
      <c r="G252" t="s">
        <v>2430</v>
      </c>
      <c r="BD252" t="s">
        <v>2431</v>
      </c>
    </row>
    <row r="253" spans="7:56">
      <c r="G253" t="s">
        <v>2432</v>
      </c>
      <c r="BD253" t="s">
        <v>2433</v>
      </c>
    </row>
    <row r="254" spans="7:56">
      <c r="G254" t="s">
        <v>2434</v>
      </c>
      <c r="BD254" t="s">
        <v>2435</v>
      </c>
    </row>
    <row r="255" spans="7:56">
      <c r="G255" t="s">
        <v>2436</v>
      </c>
      <c r="BD255" t="s">
        <v>2437</v>
      </c>
    </row>
    <row r="256" spans="7:56">
      <c r="G256" t="s">
        <v>2438</v>
      </c>
      <c r="BD256" t="s">
        <v>2439</v>
      </c>
    </row>
    <row r="257" spans="7:56">
      <c r="G257" t="s">
        <v>2440</v>
      </c>
      <c r="BD257" t="s">
        <v>2441</v>
      </c>
    </row>
    <row r="258" spans="7:56">
      <c r="G258" t="s">
        <v>2442</v>
      </c>
      <c r="BD258" t="s">
        <v>2443</v>
      </c>
    </row>
    <row r="259" spans="7:56">
      <c r="G259" t="s">
        <v>2444</v>
      </c>
      <c r="BD259" t="s">
        <v>2445</v>
      </c>
    </row>
    <row r="260" spans="7:56">
      <c r="G260" t="s">
        <v>2446</v>
      </c>
      <c r="BD260" t="s">
        <v>2447</v>
      </c>
    </row>
    <row r="261" spans="7:56">
      <c r="G261" t="s">
        <v>2448</v>
      </c>
      <c r="BD261" t="s">
        <v>2449</v>
      </c>
    </row>
    <row r="262" spans="7:56">
      <c r="G262" t="s">
        <v>2450</v>
      </c>
      <c r="BD262" t="s">
        <v>2451</v>
      </c>
    </row>
    <row r="263" spans="7:56">
      <c r="G263" t="s">
        <v>2452</v>
      </c>
      <c r="BD263" t="s">
        <v>2453</v>
      </c>
    </row>
    <row r="264" spans="7:56">
      <c r="G264" t="s">
        <v>2454</v>
      </c>
      <c r="BD264" t="s">
        <v>2455</v>
      </c>
    </row>
    <row r="265" spans="7:56">
      <c r="G265" t="s">
        <v>2456</v>
      </c>
      <c r="BD265" t="s">
        <v>2457</v>
      </c>
    </row>
    <row r="266" spans="7:56">
      <c r="G266" t="s">
        <v>2458</v>
      </c>
      <c r="BD266" t="s">
        <v>2459</v>
      </c>
    </row>
    <row r="267" spans="7:56">
      <c r="G267" t="s">
        <v>2460</v>
      </c>
      <c r="BD267" t="s">
        <v>2461</v>
      </c>
    </row>
    <row r="268" spans="7:56">
      <c r="G268" t="s">
        <v>2462</v>
      </c>
      <c r="BD268" t="s">
        <v>2463</v>
      </c>
    </row>
    <row r="269" spans="7:56">
      <c r="G269" t="s">
        <v>2464</v>
      </c>
      <c r="BD269" t="s">
        <v>2465</v>
      </c>
    </row>
    <row r="270" spans="7:56">
      <c r="BD270" t="s">
        <v>2466</v>
      </c>
    </row>
    <row r="271" spans="7:56">
      <c r="BD271" t="s">
        <v>2467</v>
      </c>
    </row>
    <row r="272" spans="7:56">
      <c r="BD272" t="s">
        <v>2468</v>
      </c>
    </row>
    <row r="273" spans="56:56">
      <c r="BD273" t="s">
        <v>2469</v>
      </c>
    </row>
    <row r="274" spans="56:56">
      <c r="BD274" t="s">
        <v>2470</v>
      </c>
    </row>
    <row r="275" spans="56:56">
      <c r="BD275" t="s">
        <v>2471</v>
      </c>
    </row>
    <row r="276" spans="56:56">
      <c r="BD276" t="s">
        <v>2472</v>
      </c>
    </row>
    <row r="277" spans="56:56">
      <c r="BD277" t="s">
        <v>2473</v>
      </c>
    </row>
    <row r="278" spans="56:56">
      <c r="BD278" t="s">
        <v>2474</v>
      </c>
    </row>
    <row r="279" spans="56:56">
      <c r="BD279" t="s">
        <v>2475</v>
      </c>
    </row>
    <row r="280" spans="56:56">
      <c r="BD280" t="s">
        <v>2476</v>
      </c>
    </row>
    <row r="281" spans="56:56">
      <c r="BD281" t="s">
        <v>2477</v>
      </c>
    </row>
    <row r="282" spans="56:56">
      <c r="BD282" t="s">
        <v>2478</v>
      </c>
    </row>
    <row r="283" spans="56:56">
      <c r="BD283" t="s">
        <v>2479</v>
      </c>
    </row>
    <row r="284" spans="56:56">
      <c r="BD284" t="s">
        <v>2480</v>
      </c>
    </row>
    <row r="285" spans="56:56">
      <c r="BD285" t="s">
        <v>2481</v>
      </c>
    </row>
    <row r="286" spans="56:56">
      <c r="BD286" t="s">
        <v>2482</v>
      </c>
    </row>
    <row r="287" spans="56:56">
      <c r="BD287" t="s">
        <v>2483</v>
      </c>
    </row>
    <row r="288" spans="56:56">
      <c r="BD288" t="s">
        <v>2484</v>
      </c>
    </row>
    <row r="289" spans="56:56">
      <c r="BD289" t="s">
        <v>2485</v>
      </c>
    </row>
    <row r="290" spans="56:56">
      <c r="BD290" t="s">
        <v>2486</v>
      </c>
    </row>
    <row r="291" spans="56:56">
      <c r="BD291" t="s">
        <v>2487</v>
      </c>
    </row>
    <row r="292" spans="56:56">
      <c r="BD292" t="s">
        <v>2488</v>
      </c>
    </row>
    <row r="293" spans="56:56">
      <c r="BD293" t="s">
        <v>2489</v>
      </c>
    </row>
    <row r="294" spans="56:56">
      <c r="BD294" t="s">
        <v>2490</v>
      </c>
    </row>
    <row r="295" spans="56:56">
      <c r="BD295" t="s">
        <v>2491</v>
      </c>
    </row>
    <row r="296" spans="56:56">
      <c r="BD296" t="s">
        <v>2492</v>
      </c>
    </row>
    <row r="297" spans="56:56">
      <c r="BD297" t="s">
        <v>2493</v>
      </c>
    </row>
    <row r="298" spans="56:56">
      <c r="BD298" t="s">
        <v>2494</v>
      </c>
    </row>
    <row r="299" spans="56:56">
      <c r="BD299" t="s">
        <v>2495</v>
      </c>
    </row>
    <row r="300" spans="56:56">
      <c r="BD300" t="s">
        <v>2496</v>
      </c>
    </row>
    <row r="301" spans="56:56">
      <c r="BD301" t="s">
        <v>2497</v>
      </c>
    </row>
    <row r="302" spans="56:56">
      <c r="BD302" t="s">
        <v>2498</v>
      </c>
    </row>
    <row r="303" spans="56:56">
      <c r="BD303" t="s">
        <v>2499</v>
      </c>
    </row>
    <row r="304" spans="56:56">
      <c r="BD304" t="s">
        <v>2500</v>
      </c>
    </row>
    <row r="305" spans="56:56">
      <c r="BD305" t="s">
        <v>1692</v>
      </c>
    </row>
    <row r="306" spans="56:56">
      <c r="BD306" t="s">
        <v>2501</v>
      </c>
    </row>
    <row r="307" spans="56:56">
      <c r="BD307" t="s">
        <v>2502</v>
      </c>
    </row>
    <row r="308" spans="56:56">
      <c r="BD308" t="s">
        <v>2503</v>
      </c>
    </row>
    <row r="309" spans="56:56">
      <c r="BD309" t="s">
        <v>2504</v>
      </c>
    </row>
    <row r="310" spans="56:56">
      <c r="BD310" t="s">
        <v>2505</v>
      </c>
    </row>
    <row r="311" spans="56:56">
      <c r="BD311" t="s">
        <v>2506</v>
      </c>
    </row>
    <row r="312" spans="56:56">
      <c r="BD312" t="s">
        <v>2507</v>
      </c>
    </row>
    <row r="313" spans="56:56">
      <c r="BD313" t="s">
        <v>2508</v>
      </c>
    </row>
    <row r="314" spans="56:56">
      <c r="BD314" t="s">
        <v>2509</v>
      </c>
    </row>
    <row r="315" spans="56:56">
      <c r="BD315" t="s">
        <v>2510</v>
      </c>
    </row>
    <row r="316" spans="56:56">
      <c r="BD316" t="s">
        <v>2511</v>
      </c>
    </row>
    <row r="317" spans="56:56">
      <c r="BD317" t="s">
        <v>2512</v>
      </c>
    </row>
    <row r="318" spans="56:56">
      <c r="BD318" t="s">
        <v>2513</v>
      </c>
    </row>
    <row r="319" spans="56:56">
      <c r="BD319" t="s">
        <v>1624</v>
      </c>
    </row>
    <row r="320" spans="56:56">
      <c r="BD320" t="s">
        <v>2514</v>
      </c>
    </row>
    <row r="321" spans="56:56">
      <c r="BD321" t="s">
        <v>2515</v>
      </c>
    </row>
    <row r="322" spans="56:56">
      <c r="BD322" t="s">
        <v>2516</v>
      </c>
    </row>
    <row r="323" spans="56:56">
      <c r="BD323" t="s">
        <v>2517</v>
      </c>
    </row>
    <row r="324" spans="56:56">
      <c r="BD324" t="s">
        <v>2518</v>
      </c>
    </row>
    <row r="325" spans="56:56">
      <c r="BD325" t="s">
        <v>2519</v>
      </c>
    </row>
    <row r="326" spans="56:56">
      <c r="BD326" t="s">
        <v>2520</v>
      </c>
    </row>
    <row r="327" spans="56:56">
      <c r="BD327" t="s">
        <v>2521</v>
      </c>
    </row>
    <row r="328" spans="56:56">
      <c r="BD328" t="s">
        <v>2522</v>
      </c>
    </row>
    <row r="329" spans="56:56">
      <c r="BD329" t="s">
        <v>2523</v>
      </c>
    </row>
    <row r="330" spans="56:56">
      <c r="BD330" t="s">
        <v>2524</v>
      </c>
    </row>
    <row r="331" spans="56:56">
      <c r="BD331" t="s">
        <v>2525</v>
      </c>
    </row>
    <row r="332" spans="56:56">
      <c r="BD332" t="s">
        <v>2526</v>
      </c>
    </row>
    <row r="333" spans="56:56">
      <c r="BD333" t="s">
        <v>2527</v>
      </c>
    </row>
    <row r="334" spans="56:56">
      <c r="BD334" t="s">
        <v>2528</v>
      </c>
    </row>
    <row r="335" spans="56:56">
      <c r="BD335" t="s">
        <v>2529</v>
      </c>
    </row>
    <row r="336" spans="56:56">
      <c r="BD336" t="s">
        <v>2530</v>
      </c>
    </row>
    <row r="337" spans="56:56">
      <c r="BD337" t="s">
        <v>13</v>
      </c>
    </row>
    <row r="338" spans="56:56">
      <c r="BD338" t="s">
        <v>2531</v>
      </c>
    </row>
    <row r="339" spans="56:56">
      <c r="BD339" t="s">
        <v>2532</v>
      </c>
    </row>
    <row r="340" spans="56:56">
      <c r="BD340" t="s">
        <v>2533</v>
      </c>
    </row>
    <row r="341" spans="56:56">
      <c r="BD341" t="s">
        <v>2534</v>
      </c>
    </row>
    <row r="342" spans="56:56">
      <c r="BD342" t="s">
        <v>2535</v>
      </c>
    </row>
    <row r="343" spans="56:56">
      <c r="BD343" t="s">
        <v>2051</v>
      </c>
    </row>
    <row r="344" spans="56:56">
      <c r="BD344" t="s">
        <v>2536</v>
      </c>
    </row>
    <row r="345" spans="56:56">
      <c r="BD345" t="s">
        <v>1456</v>
      </c>
    </row>
    <row r="346" spans="56:56">
      <c r="BD346" t="s">
        <v>2537</v>
      </c>
    </row>
    <row r="347" spans="56:56">
      <c r="BD347" t="s">
        <v>2538</v>
      </c>
    </row>
    <row r="348" spans="56:56">
      <c r="BD348" t="s">
        <v>2539</v>
      </c>
    </row>
    <row r="349" spans="56:56">
      <c r="BD349" t="s">
        <v>8</v>
      </c>
    </row>
    <row r="350" spans="56:56">
      <c r="BD350" t="s">
        <v>2540</v>
      </c>
    </row>
    <row r="351" spans="56:56">
      <c r="BD351" t="s">
        <v>2541</v>
      </c>
    </row>
    <row r="352" spans="56:56">
      <c r="BD352" t="s">
        <v>2542</v>
      </c>
    </row>
    <row r="353" spans="56:56">
      <c r="BD353" t="s">
        <v>2543</v>
      </c>
    </row>
    <row r="354" spans="56:56">
      <c r="BD354" t="s">
        <v>2544</v>
      </c>
    </row>
    <row r="355" spans="56:56">
      <c r="BD355" t="s">
        <v>2545</v>
      </c>
    </row>
    <row r="356" spans="56:56">
      <c r="BD356" t="s">
        <v>2546</v>
      </c>
    </row>
    <row r="357" spans="56:56">
      <c r="BD357" t="s">
        <v>2547</v>
      </c>
    </row>
    <row r="358" spans="56:56">
      <c r="BD358" t="s">
        <v>2548</v>
      </c>
    </row>
    <row r="359" spans="56:56">
      <c r="BD359" t="s">
        <v>2549</v>
      </c>
    </row>
    <row r="360" spans="56:56">
      <c r="BD360" t="s">
        <v>2550</v>
      </c>
    </row>
    <row r="361" spans="56:56">
      <c r="BD361" t="s">
        <v>2551</v>
      </c>
    </row>
    <row r="362" spans="56:56">
      <c r="BD362" t="s">
        <v>2552</v>
      </c>
    </row>
    <row r="363" spans="56:56">
      <c r="BD363" t="s">
        <v>2553</v>
      </c>
    </row>
    <row r="364" spans="56:56">
      <c r="BD364" t="s">
        <v>2554</v>
      </c>
    </row>
    <row r="365" spans="56:56">
      <c r="BD365" t="s">
        <v>1642</v>
      </c>
    </row>
    <row r="366" spans="56:56">
      <c r="BD366" t="s">
        <v>2555</v>
      </c>
    </row>
    <row r="367" spans="56:56">
      <c r="BD367" t="s">
        <v>2556</v>
      </c>
    </row>
    <row r="368" spans="56:56">
      <c r="BD368" t="s">
        <v>2557</v>
      </c>
    </row>
    <row r="369" spans="56:56">
      <c r="BD369" t="s">
        <v>2558</v>
      </c>
    </row>
    <row r="370" spans="56:56">
      <c r="BD370" t="s">
        <v>2559</v>
      </c>
    </row>
    <row r="371" spans="56:56">
      <c r="BD371" t="s">
        <v>2560</v>
      </c>
    </row>
    <row r="372" spans="56:56">
      <c r="BD372" t="s">
        <v>2561</v>
      </c>
    </row>
    <row r="373" spans="56:56">
      <c r="BD373" t="s">
        <v>2562</v>
      </c>
    </row>
    <row r="374" spans="56:56">
      <c r="BD374" t="s">
        <v>2563</v>
      </c>
    </row>
    <row r="375" spans="56:56">
      <c r="BD375" t="s">
        <v>2564</v>
      </c>
    </row>
    <row r="376" spans="56:56">
      <c r="BD376" t="s">
        <v>2565</v>
      </c>
    </row>
    <row r="377" spans="56:56">
      <c r="BD377" t="s">
        <v>2566</v>
      </c>
    </row>
    <row r="378" spans="56:56">
      <c r="BD378" t="s">
        <v>2567</v>
      </c>
    </row>
    <row r="379" spans="56:56">
      <c r="BD379" t="s">
        <v>2568</v>
      </c>
    </row>
    <row r="380" spans="56:56">
      <c r="BD380" t="s">
        <v>1583</v>
      </c>
    </row>
    <row r="381" spans="56:56">
      <c r="BD381" t="s">
        <v>12</v>
      </c>
    </row>
    <row r="382" spans="56:56">
      <c r="BD382" t="s">
        <v>2569</v>
      </c>
    </row>
    <row r="383" spans="56:56">
      <c r="BD383" t="s">
        <v>2570</v>
      </c>
    </row>
    <row r="384" spans="56:56">
      <c r="BD384" t="s">
        <v>2571</v>
      </c>
    </row>
    <row r="385" spans="56:56">
      <c r="BD385" t="s">
        <v>2572</v>
      </c>
    </row>
    <row r="386" spans="56:56">
      <c r="BD386" t="s">
        <v>2573</v>
      </c>
    </row>
    <row r="387" spans="56:56">
      <c r="BD387" t="s">
        <v>2574</v>
      </c>
    </row>
    <row r="388" spans="56:56">
      <c r="BD388" t="s">
        <v>25</v>
      </c>
    </row>
    <row r="389" spans="56:56">
      <c r="BD389" t="s">
        <v>2575</v>
      </c>
    </row>
    <row r="390" spans="56:56">
      <c r="BD390" t="s">
        <v>2576</v>
      </c>
    </row>
    <row r="391" spans="56:56">
      <c r="BD391" t="s">
        <v>1678</v>
      </c>
    </row>
    <row r="392" spans="56:56">
      <c r="BD392" t="s">
        <v>2577</v>
      </c>
    </row>
    <row r="393" spans="56:56">
      <c r="BD393" t="s">
        <v>2578</v>
      </c>
    </row>
    <row r="394" spans="56:56">
      <c r="BD394" t="s">
        <v>2579</v>
      </c>
    </row>
    <row r="395" spans="56:56">
      <c r="BD395" t="s">
        <v>2580</v>
      </c>
    </row>
    <row r="396" spans="56:56">
      <c r="BD396" t="s">
        <v>2581</v>
      </c>
    </row>
    <row r="397" spans="56:56">
      <c r="BD397" t="s">
        <v>2582</v>
      </c>
    </row>
    <row r="398" spans="56:56">
      <c r="BD398" t="s">
        <v>2583</v>
      </c>
    </row>
    <row r="399" spans="56:56">
      <c r="BD399" t="s">
        <v>1790</v>
      </c>
    </row>
    <row r="400" spans="56:56">
      <c r="BD400" t="s">
        <v>14</v>
      </c>
    </row>
    <row r="401" spans="56:56">
      <c r="BD401" t="s">
        <v>2584</v>
      </c>
    </row>
    <row r="402" spans="56:56">
      <c r="BD402" t="s">
        <v>2585</v>
      </c>
    </row>
    <row r="403" spans="56:56">
      <c r="BD403" t="s">
        <v>1799</v>
      </c>
    </row>
    <row r="404" spans="56:56">
      <c r="BD404" t="s">
        <v>2586</v>
      </c>
    </row>
    <row r="405" spans="56:56">
      <c r="BD405" t="s">
        <v>2587</v>
      </c>
    </row>
    <row r="406" spans="56:56">
      <c r="BD406" t="s">
        <v>2588</v>
      </c>
    </row>
    <row r="407" spans="56:56">
      <c r="BD407" t="s">
        <v>2589</v>
      </c>
    </row>
    <row r="408" spans="56:56">
      <c r="BD408" t="s">
        <v>2590</v>
      </c>
    </row>
    <row r="409" spans="56:56">
      <c r="BD409" t="s">
        <v>2591</v>
      </c>
    </row>
    <row r="410" spans="56:56">
      <c r="BD410" t="s">
        <v>2592</v>
      </c>
    </row>
    <row r="411" spans="56:56">
      <c r="BD411" t="s">
        <v>2593</v>
      </c>
    </row>
    <row r="412" spans="56:56">
      <c r="BD412" t="s">
        <v>2594</v>
      </c>
    </row>
    <row r="413" spans="56:56">
      <c r="BD413" t="s">
        <v>2595</v>
      </c>
    </row>
    <row r="414" spans="56:56">
      <c r="BD414" t="s">
        <v>2596</v>
      </c>
    </row>
    <row r="415" spans="56:56">
      <c r="BD415" t="s">
        <v>2597</v>
      </c>
    </row>
    <row r="416" spans="56:56">
      <c r="BD416" t="s">
        <v>2598</v>
      </c>
    </row>
    <row r="417" spans="56:56">
      <c r="BD417" t="s">
        <v>2599</v>
      </c>
    </row>
    <row r="418" spans="56:56">
      <c r="BD418" t="s">
        <v>2600</v>
      </c>
    </row>
    <row r="419" spans="56:56">
      <c r="BD419" t="s">
        <v>2601</v>
      </c>
    </row>
    <row r="420" spans="56:56">
      <c r="BD420" t="s">
        <v>2602</v>
      </c>
    </row>
    <row r="421" spans="56:56">
      <c r="BD421" t="s">
        <v>2603</v>
      </c>
    </row>
    <row r="422" spans="56:56">
      <c r="BD422" t="s">
        <v>2604</v>
      </c>
    </row>
    <row r="423" spans="56:56">
      <c r="BD423" t="s">
        <v>2605</v>
      </c>
    </row>
    <row r="424" spans="56:56">
      <c r="BD424" t="s">
        <v>2606</v>
      </c>
    </row>
    <row r="425" spans="56:56">
      <c r="BD425" t="s">
        <v>2607</v>
      </c>
    </row>
    <row r="426" spans="56:56">
      <c r="BD426" t="s">
        <v>2608</v>
      </c>
    </row>
    <row r="427" spans="56:56">
      <c r="BD427" t="s">
        <v>2609</v>
      </c>
    </row>
    <row r="428" spans="56:56">
      <c r="BD428" t="s">
        <v>2610</v>
      </c>
    </row>
    <row r="429" spans="56:56">
      <c r="BD429" t="s">
        <v>2611</v>
      </c>
    </row>
    <row r="430" spans="56:56">
      <c r="BD430" t="s">
        <v>2612</v>
      </c>
    </row>
    <row r="431" spans="56:56">
      <c r="BD431" t="s">
        <v>2613</v>
      </c>
    </row>
    <row r="432" spans="56:56">
      <c r="BD432" t="s">
        <v>2614</v>
      </c>
    </row>
    <row r="433" spans="56:56">
      <c r="BD433" t="s">
        <v>2615</v>
      </c>
    </row>
    <row r="434" spans="56:56">
      <c r="BD434" t="s">
        <v>2616</v>
      </c>
    </row>
    <row r="435" spans="56:56">
      <c r="BD435" t="s">
        <v>2617</v>
      </c>
    </row>
    <row r="436" spans="56:56">
      <c r="BD436" t="s">
        <v>2618</v>
      </c>
    </row>
    <row r="437" spans="56:56">
      <c r="BD437" t="s">
        <v>2619</v>
      </c>
    </row>
    <row r="438" spans="56:56">
      <c r="BD438" t="s">
        <v>2620</v>
      </c>
    </row>
    <row r="439" spans="56:56">
      <c r="BD439" t="s">
        <v>1408</v>
      </c>
    </row>
    <row r="440" spans="56:56">
      <c r="BD440" t="s">
        <v>2621</v>
      </c>
    </row>
    <row r="441" spans="56:56">
      <c r="BD441" t="s">
        <v>2622</v>
      </c>
    </row>
    <row r="442" spans="56:56">
      <c r="BD442" t="s">
        <v>2623</v>
      </c>
    </row>
    <row r="443" spans="56:56">
      <c r="BD443" t="s">
        <v>2624</v>
      </c>
    </row>
    <row r="444" spans="56:56">
      <c r="BD444" t="s">
        <v>2625</v>
      </c>
    </row>
    <row r="445" spans="56:56">
      <c r="BD445" t="s">
        <v>2626</v>
      </c>
    </row>
    <row r="446" spans="56:56">
      <c r="BD446" t="s">
        <v>2627</v>
      </c>
    </row>
    <row r="447" spans="56:56">
      <c r="BD447" t="s">
        <v>2628</v>
      </c>
    </row>
    <row r="448" spans="56:56">
      <c r="BD448" t="s">
        <v>2629</v>
      </c>
    </row>
    <row r="449" spans="56:56">
      <c r="BD449" t="s">
        <v>1734</v>
      </c>
    </row>
    <row r="450" spans="56:56">
      <c r="BD450" t="s">
        <v>2630</v>
      </c>
    </row>
    <row r="451" spans="56:56">
      <c r="BD451" t="s">
        <v>2248</v>
      </c>
    </row>
    <row r="452" spans="56:56">
      <c r="BD452" t="s">
        <v>2631</v>
      </c>
    </row>
    <row r="453" spans="56:56">
      <c r="BD453" t="s">
        <v>2632</v>
      </c>
    </row>
    <row r="454" spans="56:56">
      <c r="BD454" t="s">
        <v>2633</v>
      </c>
    </row>
    <row r="455" spans="56:56">
      <c r="BD455" t="s">
        <v>2634</v>
      </c>
    </row>
    <row r="456" spans="56:56">
      <c r="BD456" t="s">
        <v>2635</v>
      </c>
    </row>
    <row r="457" spans="56:56">
      <c r="BD457" t="s">
        <v>2636</v>
      </c>
    </row>
    <row r="458" spans="56:56">
      <c r="BD458" t="s">
        <v>2637</v>
      </c>
    </row>
    <row r="459" spans="56:56">
      <c r="BD459" t="s">
        <v>2638</v>
      </c>
    </row>
    <row r="460" spans="56:56">
      <c r="BD460" t="s">
        <v>2639</v>
      </c>
    </row>
    <row r="461" spans="56:56">
      <c r="BD461" t="s">
        <v>2640</v>
      </c>
    </row>
    <row r="462" spans="56:56">
      <c r="BD462" t="s">
        <v>2641</v>
      </c>
    </row>
    <row r="463" spans="56:56">
      <c r="BD463" t="s">
        <v>2642</v>
      </c>
    </row>
    <row r="464" spans="56:56">
      <c r="BD464" t="s">
        <v>1770</v>
      </c>
    </row>
    <row r="465" spans="56:56">
      <c r="BD465" t="s">
        <v>2643</v>
      </c>
    </row>
    <row r="466" spans="56:56">
      <c r="BD466" t="s">
        <v>2644</v>
      </c>
    </row>
    <row r="467" spans="56:56">
      <c r="BD467" t="s">
        <v>2645</v>
      </c>
    </row>
    <row r="468" spans="56:56">
      <c r="BD468" t="s">
        <v>2646</v>
      </c>
    </row>
    <row r="469" spans="56:56">
      <c r="BD469" t="s">
        <v>2647</v>
      </c>
    </row>
    <row r="470" spans="56:56">
      <c r="BD470" t="s">
        <v>2648</v>
      </c>
    </row>
    <row r="471" spans="56:56">
      <c r="BD471" t="s">
        <v>2649</v>
      </c>
    </row>
    <row r="472" spans="56:56">
      <c r="BD472" t="s">
        <v>2650</v>
      </c>
    </row>
    <row r="473" spans="56:56">
      <c r="BD473" t="s">
        <v>2651</v>
      </c>
    </row>
    <row r="474" spans="56:56">
      <c r="BD474" t="s">
        <v>2652</v>
      </c>
    </row>
    <row r="475" spans="56:56">
      <c r="BD475" t="s">
        <v>2653</v>
      </c>
    </row>
    <row r="476" spans="56:56">
      <c r="BD476" t="s">
        <v>2654</v>
      </c>
    </row>
    <row r="477" spans="56:56">
      <c r="BD477" t="s">
        <v>2655</v>
      </c>
    </row>
    <row r="478" spans="56:56">
      <c r="BD478" t="s">
        <v>2656</v>
      </c>
    </row>
    <row r="479" spans="56:56">
      <c r="BD479" t="s">
        <v>2657</v>
      </c>
    </row>
    <row r="480" spans="56:56">
      <c r="BD480" t="s">
        <v>2658</v>
      </c>
    </row>
    <row r="481" spans="56:56">
      <c r="BD481" t="s">
        <v>2659</v>
      </c>
    </row>
    <row r="482" spans="56:56">
      <c r="BD482" t="s">
        <v>2660</v>
      </c>
    </row>
    <row r="483" spans="56:56">
      <c r="BD483" t="s">
        <v>2661</v>
      </c>
    </row>
    <row r="484" spans="56:56">
      <c r="BD484" t="s">
        <v>2662</v>
      </c>
    </row>
    <row r="485" spans="56:56">
      <c r="BD485" t="s">
        <v>2663</v>
      </c>
    </row>
    <row r="486" spans="56:56">
      <c r="BD486" t="s">
        <v>2664</v>
      </c>
    </row>
    <row r="487" spans="56:56">
      <c r="BD487" t="s">
        <v>2665</v>
      </c>
    </row>
    <row r="488" spans="56:56">
      <c r="BD488" t="s">
        <v>2666</v>
      </c>
    </row>
    <row r="489" spans="56:56">
      <c r="BD489" t="s">
        <v>2667</v>
      </c>
    </row>
    <row r="490" spans="56:56">
      <c r="BD490" t="s">
        <v>2668</v>
      </c>
    </row>
    <row r="491" spans="56:56">
      <c r="BD491" t="s">
        <v>1759</v>
      </c>
    </row>
    <row r="492" spans="56:56">
      <c r="BD492" t="s">
        <v>1661</v>
      </c>
    </row>
    <row r="493" spans="56:56">
      <c r="BD493" t="s">
        <v>2669</v>
      </c>
    </row>
    <row r="494" spans="56:56">
      <c r="BD494" t="s">
        <v>2397</v>
      </c>
    </row>
    <row r="495" spans="56:56">
      <c r="BD495" t="s">
        <v>2670</v>
      </c>
    </row>
    <row r="496" spans="56:56">
      <c r="BD496" t="s">
        <v>2671</v>
      </c>
    </row>
    <row r="497" spans="56:56">
      <c r="BD497" t="s">
        <v>2672</v>
      </c>
    </row>
    <row r="498" spans="56:56">
      <c r="BD498" t="s">
        <v>2673</v>
      </c>
    </row>
    <row r="499" spans="56:56">
      <c r="BD499" t="s">
        <v>2674</v>
      </c>
    </row>
    <row r="500" spans="56:56">
      <c r="BD500" t="s">
        <v>2675</v>
      </c>
    </row>
    <row r="501" spans="56:56">
      <c r="BD501" t="s">
        <v>2676</v>
      </c>
    </row>
    <row r="502" spans="56:56">
      <c r="BD502" t="s">
        <v>2677</v>
      </c>
    </row>
    <row r="503" spans="56:56">
      <c r="BD503" t="s">
        <v>2678</v>
      </c>
    </row>
    <row r="504" spans="56:56">
      <c r="BD504" t="s">
        <v>2679</v>
      </c>
    </row>
    <row r="505" spans="56:56">
      <c r="BD505" t="s">
        <v>2680</v>
      </c>
    </row>
    <row r="506" spans="56:56">
      <c r="BD506" t="s">
        <v>10</v>
      </c>
    </row>
    <row r="507" spans="56:56">
      <c r="BD507" t="s">
        <v>2681</v>
      </c>
    </row>
    <row r="508" spans="56:56">
      <c r="BD508" t="s">
        <v>2682</v>
      </c>
    </row>
    <row r="509" spans="56:56">
      <c r="BD509" t="s">
        <v>2683</v>
      </c>
    </row>
    <row r="510" spans="56:56">
      <c r="BD510" t="s">
        <v>1705</v>
      </c>
    </row>
    <row r="511" spans="56:56">
      <c r="BD511" t="s">
        <v>2684</v>
      </c>
    </row>
    <row r="512" spans="56:56">
      <c r="BD512" t="s">
        <v>2685</v>
      </c>
    </row>
    <row r="513" spans="56:56">
      <c r="BD513" t="s">
        <v>2686</v>
      </c>
    </row>
    <row r="514" spans="56:56">
      <c r="BD514" t="s">
        <v>2687</v>
      </c>
    </row>
    <row r="515" spans="56:56">
      <c r="BD515" t="s">
        <v>2688</v>
      </c>
    </row>
    <row r="516" spans="56:56">
      <c r="BD516" t="s">
        <v>1561</v>
      </c>
    </row>
    <row r="517" spans="56:56">
      <c r="BD517" t="s">
        <v>2689</v>
      </c>
    </row>
    <row r="518" spans="56:56">
      <c r="BD518" t="s">
        <v>2690</v>
      </c>
    </row>
    <row r="519" spans="56:56">
      <c r="BD519" t="s">
        <v>2691</v>
      </c>
    </row>
    <row r="520" spans="56:56">
      <c r="BD520" t="s">
        <v>2692</v>
      </c>
    </row>
    <row r="521" spans="56:56">
      <c r="BD521" t="s">
        <v>2693</v>
      </c>
    </row>
    <row r="522" spans="56:56">
      <c r="BD522" t="s">
        <v>2694</v>
      </c>
    </row>
    <row r="523" spans="56:56">
      <c r="BD523" t="s">
        <v>1746</v>
      </c>
    </row>
    <row r="524" spans="56:56">
      <c r="BD524" t="s">
        <v>2695</v>
      </c>
    </row>
    <row r="525" spans="56:56">
      <c r="BD525" t="s">
        <v>2696</v>
      </c>
    </row>
    <row r="526" spans="56:56">
      <c r="BD526" t="s">
        <v>2697</v>
      </c>
    </row>
    <row r="527" spans="56:56">
      <c r="BD527" t="s">
        <v>2698</v>
      </c>
    </row>
    <row r="528" spans="56:56">
      <c r="BD528" t="s">
        <v>2699</v>
      </c>
    </row>
    <row r="529" spans="56:56">
      <c r="BD529" t="s">
        <v>2700</v>
      </c>
    </row>
    <row r="530" spans="56:56">
      <c r="BD530" t="s">
        <v>2701</v>
      </c>
    </row>
    <row r="531" spans="56:56">
      <c r="BD531" t="s">
        <v>2702</v>
      </c>
    </row>
    <row r="532" spans="56:56">
      <c r="BD532" t="s">
        <v>2703</v>
      </c>
    </row>
    <row r="533" spans="56:56">
      <c r="BD533" t="s">
        <v>2704</v>
      </c>
    </row>
    <row r="534" spans="56:56">
      <c r="BD534" t="s">
        <v>2705</v>
      </c>
    </row>
    <row r="535" spans="56:56">
      <c r="BD535" t="s">
        <v>1446</v>
      </c>
    </row>
    <row r="536" spans="56:56">
      <c r="BD536" t="s">
        <v>2706</v>
      </c>
    </row>
    <row r="537" spans="56:56">
      <c r="BD537" t="s">
        <v>2707</v>
      </c>
    </row>
    <row r="538" spans="56:56">
      <c r="BD538" t="s">
        <v>2708</v>
      </c>
    </row>
    <row r="539" spans="56:56">
      <c r="BD539" t="s">
        <v>2709</v>
      </c>
    </row>
    <row r="540" spans="56:56">
      <c r="BD540" t="s">
        <v>1719</v>
      </c>
    </row>
    <row r="541" spans="56:56">
      <c r="BD541" t="s">
        <v>2710</v>
      </c>
    </row>
    <row r="542" spans="56:56">
      <c r="BD542" t="s">
        <v>2711</v>
      </c>
    </row>
    <row r="543" spans="56:56">
      <c r="BD543" t="s">
        <v>2712</v>
      </c>
    </row>
  </sheetData>
  <pageMargins left="0.75" right="0.75" top="1" bottom="1" header="0.5" footer="0.5"/>
  <pageSetup paperSize="9"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8"/>
  <dimension ref="A1:B191"/>
  <sheetViews>
    <sheetView workbookViewId="0">
      <selection activeCell="A1" sqref="A1"/>
    </sheetView>
  </sheetViews>
  <sheetFormatPr defaultColWidth="9" defaultRowHeight="16.8" outlineLevelCol="1"/>
  <sheetData>
    <row r="1" spans="1:2">
      <c r="A1" t="s">
        <v>1390</v>
      </c>
      <c r="B1" t="s">
        <v>1321</v>
      </c>
    </row>
    <row r="2" spans="1:2">
      <c r="A2" t="s">
        <v>1159</v>
      </c>
      <c r="B2">
        <v>1</v>
      </c>
    </row>
    <row r="3" spans="1:2">
      <c r="A3" t="s">
        <v>1156</v>
      </c>
      <c r="B3">
        <v>1</v>
      </c>
    </row>
    <row r="4" spans="1:2">
      <c r="A4" t="s">
        <v>1176</v>
      </c>
      <c r="B4">
        <v>1</v>
      </c>
    </row>
    <row r="5" spans="1:2">
      <c r="A5" t="s">
        <v>1151</v>
      </c>
      <c r="B5">
        <v>1</v>
      </c>
    </row>
    <row r="6" spans="1:2">
      <c r="A6" t="s">
        <v>1179</v>
      </c>
      <c r="B6">
        <v>1</v>
      </c>
    </row>
    <row r="7" spans="1:2">
      <c r="A7" t="s">
        <v>1168</v>
      </c>
      <c r="B7">
        <v>1</v>
      </c>
    </row>
    <row r="8" spans="1:2">
      <c r="A8" t="s">
        <v>1152</v>
      </c>
      <c r="B8">
        <v>1</v>
      </c>
    </row>
    <row r="9" spans="1:2">
      <c r="A9" t="s">
        <v>1167</v>
      </c>
      <c r="B9">
        <v>1</v>
      </c>
    </row>
    <row r="10" spans="1:2">
      <c r="A10" t="s">
        <v>1178</v>
      </c>
      <c r="B10">
        <v>1</v>
      </c>
    </row>
    <row r="11" spans="1:2">
      <c r="A11" t="s">
        <v>1164</v>
      </c>
      <c r="B11">
        <v>1</v>
      </c>
    </row>
    <row r="12" spans="1:2">
      <c r="A12" t="s">
        <v>1009</v>
      </c>
      <c r="B12">
        <v>1</v>
      </c>
    </row>
    <row r="13" spans="1:2">
      <c r="A13" t="s">
        <v>1160</v>
      </c>
      <c r="B13">
        <v>1</v>
      </c>
    </row>
    <row r="14" spans="1:2">
      <c r="A14" t="s">
        <v>1154</v>
      </c>
      <c r="B14">
        <v>1</v>
      </c>
    </row>
    <row r="15" spans="1:2">
      <c r="A15" t="s">
        <v>1169</v>
      </c>
      <c r="B15">
        <v>1</v>
      </c>
    </row>
    <row r="16" spans="1:2">
      <c r="A16" t="s">
        <v>1180</v>
      </c>
      <c r="B16">
        <v>1</v>
      </c>
    </row>
    <row r="17" spans="1:2">
      <c r="A17" t="s">
        <v>1162</v>
      </c>
      <c r="B17">
        <v>1</v>
      </c>
    </row>
    <row r="18" spans="1:2">
      <c r="A18" t="s">
        <v>1158</v>
      </c>
      <c r="B18">
        <v>1</v>
      </c>
    </row>
    <row r="19" spans="1:2">
      <c r="A19" t="s">
        <v>1163</v>
      </c>
      <c r="B19">
        <v>1</v>
      </c>
    </row>
    <row r="20" spans="1:2">
      <c r="A20" t="s">
        <v>1153</v>
      </c>
      <c r="B20">
        <v>1</v>
      </c>
    </row>
    <row r="21" spans="1:2">
      <c r="A21" t="s">
        <v>1170</v>
      </c>
      <c r="B21">
        <v>1</v>
      </c>
    </row>
    <row r="22" spans="1:2">
      <c r="A22" t="s">
        <v>1166</v>
      </c>
      <c r="B22">
        <v>1</v>
      </c>
    </row>
    <row r="23" spans="1:2">
      <c r="A23" t="s">
        <v>1155</v>
      </c>
      <c r="B23">
        <v>1</v>
      </c>
    </row>
    <row r="24" spans="1:2">
      <c r="A24" t="s">
        <v>1177</v>
      </c>
      <c r="B24">
        <v>1</v>
      </c>
    </row>
    <row r="25" spans="1:2">
      <c r="A25" t="s">
        <v>1161</v>
      </c>
      <c r="B25">
        <v>1</v>
      </c>
    </row>
    <row r="26" spans="1:2">
      <c r="A26" t="s">
        <v>1165</v>
      </c>
      <c r="B26">
        <v>1</v>
      </c>
    </row>
    <row r="27" spans="1:2">
      <c r="A27" t="s">
        <v>1157</v>
      </c>
      <c r="B27">
        <v>1</v>
      </c>
    </row>
    <row r="28" spans="1:2">
      <c r="A28" t="s">
        <v>1171</v>
      </c>
      <c r="B28">
        <v>1</v>
      </c>
    </row>
    <row r="29" spans="1:2">
      <c r="A29" t="s">
        <v>1390</v>
      </c>
      <c r="B29" t="s">
        <v>1321</v>
      </c>
    </row>
    <row r="30" spans="1:2">
      <c r="A30" t="s">
        <v>1305</v>
      </c>
      <c r="B30">
        <v>1</v>
      </c>
    </row>
    <row r="31" spans="1:2">
      <c r="A31" t="s">
        <v>1221</v>
      </c>
      <c r="B31">
        <v>1</v>
      </c>
    </row>
    <row r="32" spans="1:2">
      <c r="A32" t="s">
        <v>1242</v>
      </c>
      <c r="B32">
        <v>1</v>
      </c>
    </row>
    <row r="33" spans="1:2">
      <c r="A33" t="s">
        <v>1247</v>
      </c>
      <c r="B33">
        <v>1</v>
      </c>
    </row>
    <row r="34" spans="1:2">
      <c r="A34" t="s">
        <v>1190</v>
      </c>
      <c r="B34">
        <v>1</v>
      </c>
    </row>
    <row r="35" spans="1:2">
      <c r="A35" t="s">
        <v>1209</v>
      </c>
      <c r="B35">
        <v>1</v>
      </c>
    </row>
    <row r="36" spans="1:2">
      <c r="A36" t="s">
        <v>1087</v>
      </c>
      <c r="B36">
        <v>1</v>
      </c>
    </row>
    <row r="37" spans="1:2">
      <c r="A37" t="s">
        <v>1175</v>
      </c>
      <c r="B37">
        <v>1</v>
      </c>
    </row>
    <row r="38" spans="1:2">
      <c r="A38" t="s">
        <v>1302</v>
      </c>
      <c r="B38">
        <v>1</v>
      </c>
    </row>
    <row r="39" spans="1:2">
      <c r="A39" t="s">
        <v>1260</v>
      </c>
      <c r="B39">
        <v>1</v>
      </c>
    </row>
    <row r="40" spans="1:2">
      <c r="A40" t="s">
        <v>1313</v>
      </c>
      <c r="B40">
        <v>1</v>
      </c>
    </row>
    <row r="41" spans="1:2">
      <c r="A41" t="s">
        <v>1301</v>
      </c>
      <c r="B41">
        <v>1</v>
      </c>
    </row>
    <row r="42" spans="1:2">
      <c r="A42" t="s">
        <v>1296</v>
      </c>
      <c r="B42">
        <v>1</v>
      </c>
    </row>
    <row r="43" spans="1:2">
      <c r="A43" t="s">
        <v>1297</v>
      </c>
      <c r="B43">
        <v>1</v>
      </c>
    </row>
    <row r="44" spans="1:2">
      <c r="A44" t="s">
        <v>1267</v>
      </c>
      <c r="B44">
        <v>1</v>
      </c>
    </row>
    <row r="45" spans="1:2">
      <c r="A45" t="s">
        <v>1218</v>
      </c>
      <c r="B45">
        <v>1</v>
      </c>
    </row>
    <row r="46" spans="1:2">
      <c r="A46" t="s">
        <v>1100</v>
      </c>
      <c r="B46">
        <v>1</v>
      </c>
    </row>
    <row r="47" spans="1:2">
      <c r="A47" t="s">
        <v>277</v>
      </c>
      <c r="B47">
        <v>1</v>
      </c>
    </row>
    <row r="48" spans="1:2">
      <c r="A48" t="s">
        <v>1265</v>
      </c>
      <c r="B48">
        <v>1</v>
      </c>
    </row>
    <row r="49" spans="1:2">
      <c r="A49" t="s">
        <v>1254</v>
      </c>
      <c r="B49">
        <v>1</v>
      </c>
    </row>
    <row r="50" spans="1:2">
      <c r="A50" t="s">
        <v>1279</v>
      </c>
      <c r="B50">
        <v>1</v>
      </c>
    </row>
    <row r="51" spans="1:2">
      <c r="A51" t="s">
        <v>1183</v>
      </c>
      <c r="B51">
        <v>1</v>
      </c>
    </row>
    <row r="52" spans="1:2">
      <c r="A52" t="s">
        <v>1240</v>
      </c>
      <c r="B52">
        <v>1</v>
      </c>
    </row>
    <row r="53" spans="1:2">
      <c r="A53" t="s">
        <v>1283</v>
      </c>
      <c r="B53">
        <v>1</v>
      </c>
    </row>
    <row r="54" spans="1:2">
      <c r="A54" t="s">
        <v>1312</v>
      </c>
      <c r="B54">
        <v>1</v>
      </c>
    </row>
    <row r="55" spans="1:2">
      <c r="A55" t="s">
        <v>1197</v>
      </c>
      <c r="B55">
        <v>1</v>
      </c>
    </row>
    <row r="56" spans="1:2">
      <c r="A56" t="s">
        <v>1248</v>
      </c>
      <c r="B56">
        <v>1</v>
      </c>
    </row>
    <row r="57" spans="1:2">
      <c r="A57" t="s">
        <v>1261</v>
      </c>
      <c r="B57">
        <v>1</v>
      </c>
    </row>
    <row r="58" spans="1:2">
      <c r="A58" t="s">
        <v>1273</v>
      </c>
      <c r="B58">
        <v>1</v>
      </c>
    </row>
    <row r="59" spans="1:2">
      <c r="A59" t="s">
        <v>1060</v>
      </c>
      <c r="B59">
        <v>1</v>
      </c>
    </row>
    <row r="60" spans="1:2">
      <c r="A60" t="s">
        <v>1222</v>
      </c>
      <c r="B60">
        <v>1</v>
      </c>
    </row>
    <row r="61" spans="1:2">
      <c r="A61" t="s">
        <v>1292</v>
      </c>
      <c r="B61">
        <v>1</v>
      </c>
    </row>
    <row r="62" spans="1:2">
      <c r="A62" t="s">
        <v>1308</v>
      </c>
      <c r="B62">
        <v>1</v>
      </c>
    </row>
    <row r="63" spans="1:2">
      <c r="A63" t="s">
        <v>1206</v>
      </c>
      <c r="B63">
        <v>1</v>
      </c>
    </row>
    <row r="64" spans="1:2">
      <c r="A64" t="s">
        <v>1228</v>
      </c>
      <c r="B64">
        <v>1</v>
      </c>
    </row>
    <row r="65" spans="1:2">
      <c r="A65" t="s">
        <v>1238</v>
      </c>
      <c r="B65">
        <v>1</v>
      </c>
    </row>
    <row r="66" spans="1:2">
      <c r="A66" t="s">
        <v>1251</v>
      </c>
      <c r="B66">
        <v>1</v>
      </c>
    </row>
    <row r="67" spans="1:2">
      <c r="A67" t="s">
        <v>1293</v>
      </c>
      <c r="B67">
        <v>1</v>
      </c>
    </row>
    <row r="68" spans="1:2">
      <c r="A68" t="s">
        <v>1309</v>
      </c>
      <c r="B68">
        <v>1</v>
      </c>
    </row>
    <row r="69" spans="1:2">
      <c r="A69" t="s">
        <v>1280</v>
      </c>
      <c r="B69">
        <v>1</v>
      </c>
    </row>
    <row r="70" spans="1:2">
      <c r="A70" t="s">
        <v>1286</v>
      </c>
      <c r="B70">
        <v>1</v>
      </c>
    </row>
    <row r="71" spans="1:2">
      <c r="A71" t="s">
        <v>1192</v>
      </c>
      <c r="B71">
        <v>1</v>
      </c>
    </row>
    <row r="72" spans="1:2">
      <c r="A72" t="s">
        <v>1210</v>
      </c>
      <c r="B72">
        <v>1</v>
      </c>
    </row>
    <row r="73" spans="1:2">
      <c r="A73" t="s">
        <v>1200</v>
      </c>
      <c r="B73">
        <v>1</v>
      </c>
    </row>
    <row r="74" spans="1:2">
      <c r="A74" t="s">
        <v>1298</v>
      </c>
      <c r="B74">
        <v>1</v>
      </c>
    </row>
    <row r="75" spans="1:2">
      <c r="A75" t="s">
        <v>1186</v>
      </c>
      <c r="B75">
        <v>1</v>
      </c>
    </row>
    <row r="76" spans="1:2">
      <c r="A76" t="s">
        <v>1282</v>
      </c>
      <c r="B76">
        <v>1</v>
      </c>
    </row>
    <row r="77" spans="1:2">
      <c r="A77" t="s">
        <v>1213</v>
      </c>
      <c r="B77">
        <v>1</v>
      </c>
    </row>
    <row r="78" spans="1:2">
      <c r="A78" t="s">
        <v>1288</v>
      </c>
      <c r="B78">
        <v>1</v>
      </c>
    </row>
    <row r="79" spans="1:2">
      <c r="A79" t="s">
        <v>2713</v>
      </c>
      <c r="B79">
        <v>1</v>
      </c>
    </row>
    <row r="80" spans="1:2">
      <c r="A80" t="s">
        <v>1207</v>
      </c>
      <c r="B80">
        <v>1</v>
      </c>
    </row>
    <row r="81" spans="1:2">
      <c r="A81" t="s">
        <v>1306</v>
      </c>
      <c r="B81">
        <v>1</v>
      </c>
    </row>
    <row r="82" spans="1:2">
      <c r="A82" t="s">
        <v>1193</v>
      </c>
      <c r="B82">
        <v>1</v>
      </c>
    </row>
    <row r="83" spans="1:2">
      <c r="A83" t="s">
        <v>1203</v>
      </c>
      <c r="B83">
        <v>1</v>
      </c>
    </row>
    <row r="84" spans="1:2">
      <c r="A84" t="s">
        <v>1231</v>
      </c>
      <c r="B84">
        <v>1</v>
      </c>
    </row>
    <row r="85" spans="1:2">
      <c r="A85" t="s">
        <v>1187</v>
      </c>
      <c r="B85">
        <v>1</v>
      </c>
    </row>
    <row r="86" spans="1:2">
      <c r="A86" t="s">
        <v>1053</v>
      </c>
      <c r="B86">
        <v>1</v>
      </c>
    </row>
    <row r="87" spans="1:2">
      <c r="A87" t="s">
        <v>1281</v>
      </c>
      <c r="B87">
        <v>1</v>
      </c>
    </row>
    <row r="88" spans="1:2">
      <c r="A88" t="s">
        <v>1291</v>
      </c>
      <c r="B88">
        <v>1</v>
      </c>
    </row>
    <row r="89" spans="1:2">
      <c r="A89" t="s">
        <v>1304</v>
      </c>
      <c r="B89">
        <v>1</v>
      </c>
    </row>
    <row r="90" spans="1:2">
      <c r="A90" t="s">
        <v>1096</v>
      </c>
      <c r="B90">
        <v>1</v>
      </c>
    </row>
    <row r="91" spans="1:2">
      <c r="A91" t="s">
        <v>1255</v>
      </c>
      <c r="B91">
        <v>1</v>
      </c>
    </row>
    <row r="92" spans="1:2">
      <c r="A92" t="s">
        <v>1320</v>
      </c>
      <c r="B92">
        <v>1</v>
      </c>
    </row>
    <row r="93" spans="1:2">
      <c r="A93" t="s">
        <v>1225</v>
      </c>
      <c r="B93">
        <v>1</v>
      </c>
    </row>
    <row r="94" spans="1:2">
      <c r="A94" t="s">
        <v>1252</v>
      </c>
      <c r="B94">
        <v>1</v>
      </c>
    </row>
    <row r="95" spans="1:2">
      <c r="A95" t="s">
        <v>1289</v>
      </c>
      <c r="B95">
        <v>1</v>
      </c>
    </row>
    <row r="96" spans="1:2">
      <c r="A96" t="s">
        <v>1224</v>
      </c>
      <c r="B96">
        <v>1</v>
      </c>
    </row>
    <row r="97" spans="1:2">
      <c r="A97" t="s">
        <v>1311</v>
      </c>
      <c r="B97">
        <v>1</v>
      </c>
    </row>
    <row r="98" spans="1:2">
      <c r="A98" t="s">
        <v>1256</v>
      </c>
      <c r="B98">
        <v>1</v>
      </c>
    </row>
    <row r="99" spans="1:2">
      <c r="A99" t="s">
        <v>1253</v>
      </c>
      <c r="B99">
        <v>1</v>
      </c>
    </row>
    <row r="100" spans="1:2">
      <c r="A100" t="s">
        <v>1249</v>
      </c>
      <c r="B100">
        <v>1</v>
      </c>
    </row>
    <row r="101" spans="1:2">
      <c r="A101" t="s">
        <v>1272</v>
      </c>
      <c r="B101">
        <v>1</v>
      </c>
    </row>
    <row r="102" spans="1:2">
      <c r="A102" t="s">
        <v>1245</v>
      </c>
      <c r="B102">
        <v>1</v>
      </c>
    </row>
    <row r="103" spans="1:2">
      <c r="A103" t="s">
        <v>1270</v>
      </c>
      <c r="B103">
        <v>1</v>
      </c>
    </row>
    <row r="104" spans="1:2">
      <c r="A104" t="s">
        <v>1219</v>
      </c>
      <c r="B104">
        <v>1</v>
      </c>
    </row>
    <row r="105" spans="1:2">
      <c r="A105" t="s">
        <v>1239</v>
      </c>
      <c r="B105">
        <v>1</v>
      </c>
    </row>
    <row r="106" spans="1:2">
      <c r="A106" t="s">
        <v>1227</v>
      </c>
      <c r="B106">
        <v>1</v>
      </c>
    </row>
    <row r="107" spans="1:2">
      <c r="A107" t="s">
        <v>1303</v>
      </c>
      <c r="B107">
        <v>1</v>
      </c>
    </row>
    <row r="108" spans="1:2">
      <c r="A108" t="s">
        <v>1307</v>
      </c>
      <c r="B108">
        <v>1</v>
      </c>
    </row>
    <row r="109" spans="1:2">
      <c r="A109" t="s">
        <v>1204</v>
      </c>
      <c r="B109">
        <v>1</v>
      </c>
    </row>
    <row r="110" spans="1:2">
      <c r="A110" t="s">
        <v>1196</v>
      </c>
      <c r="B110">
        <v>1</v>
      </c>
    </row>
    <row r="111" spans="1:2">
      <c r="A111" t="s">
        <v>1194</v>
      </c>
      <c r="B111">
        <v>1</v>
      </c>
    </row>
    <row r="112" spans="1:2">
      <c r="A112" t="s">
        <v>1243</v>
      </c>
      <c r="B112">
        <v>1</v>
      </c>
    </row>
    <row r="113" spans="1:2">
      <c r="A113" t="s">
        <v>1246</v>
      </c>
      <c r="B113">
        <v>1</v>
      </c>
    </row>
    <row r="114" spans="1:2">
      <c r="A114" t="s">
        <v>1284</v>
      </c>
      <c r="B114">
        <v>1</v>
      </c>
    </row>
    <row r="115" spans="1:2">
      <c r="A115" t="s">
        <v>1174</v>
      </c>
      <c r="B115">
        <v>1</v>
      </c>
    </row>
    <row r="116" spans="1:2">
      <c r="A116" t="s">
        <v>1232</v>
      </c>
      <c r="B116">
        <v>1</v>
      </c>
    </row>
    <row r="117" spans="1:2">
      <c r="A117" t="s">
        <v>1263</v>
      </c>
      <c r="B117">
        <v>1</v>
      </c>
    </row>
    <row r="118" spans="1:2">
      <c r="A118" t="s">
        <v>1215</v>
      </c>
      <c r="B118">
        <v>1</v>
      </c>
    </row>
    <row r="119" spans="1:2">
      <c r="A119" t="s">
        <v>1244</v>
      </c>
      <c r="B119">
        <v>1</v>
      </c>
    </row>
    <row r="120" spans="1:2">
      <c r="A120" t="s">
        <v>1082</v>
      </c>
      <c r="B120">
        <v>1</v>
      </c>
    </row>
    <row r="121" spans="1:2">
      <c r="A121" t="s">
        <v>1094</v>
      </c>
      <c r="B121">
        <v>1</v>
      </c>
    </row>
    <row r="122" spans="1:2">
      <c r="A122" t="s">
        <v>1212</v>
      </c>
      <c r="B122">
        <v>1</v>
      </c>
    </row>
    <row r="123" spans="1:2">
      <c r="A123" t="s">
        <v>1198</v>
      </c>
      <c r="B123">
        <v>1</v>
      </c>
    </row>
    <row r="124" spans="1:2">
      <c r="A124" t="s">
        <v>1277</v>
      </c>
      <c r="B124">
        <v>1</v>
      </c>
    </row>
    <row r="125" spans="1:2">
      <c r="A125" t="s">
        <v>1199</v>
      </c>
      <c r="B125">
        <v>1</v>
      </c>
    </row>
    <row r="126" spans="1:2">
      <c r="A126" t="s">
        <v>1054</v>
      </c>
      <c r="B126">
        <v>1</v>
      </c>
    </row>
    <row r="127" spans="1:2">
      <c r="A127" t="s">
        <v>1181</v>
      </c>
      <c r="B127">
        <v>1</v>
      </c>
    </row>
    <row r="128" spans="1:2">
      <c r="A128" t="s">
        <v>1226</v>
      </c>
      <c r="B128">
        <v>1</v>
      </c>
    </row>
    <row r="129" spans="1:2">
      <c r="A129" t="s">
        <v>1271</v>
      </c>
      <c r="B129">
        <v>1</v>
      </c>
    </row>
    <row r="130" spans="1:2">
      <c r="A130" t="s">
        <v>1241</v>
      </c>
      <c r="B130">
        <v>1</v>
      </c>
    </row>
    <row r="131" spans="1:2">
      <c r="A131" t="s">
        <v>1173</v>
      </c>
      <c r="B131">
        <v>1</v>
      </c>
    </row>
    <row r="132" spans="1:2">
      <c r="A132" t="s">
        <v>1275</v>
      </c>
      <c r="B132">
        <v>1</v>
      </c>
    </row>
    <row r="133" spans="1:2">
      <c r="A133" t="s">
        <v>1278</v>
      </c>
      <c r="B133">
        <v>1</v>
      </c>
    </row>
    <row r="134" spans="1:2">
      <c r="A134" t="s">
        <v>1216</v>
      </c>
      <c r="B134">
        <v>1</v>
      </c>
    </row>
    <row r="135" spans="1:2">
      <c r="A135" t="s">
        <v>1314</v>
      </c>
      <c r="B135">
        <v>1</v>
      </c>
    </row>
    <row r="136" spans="1:2">
      <c r="A136" t="s">
        <v>1089</v>
      </c>
      <c r="B136">
        <v>1</v>
      </c>
    </row>
    <row r="137" spans="1:2">
      <c r="A137" t="s">
        <v>1189</v>
      </c>
      <c r="B137">
        <v>1</v>
      </c>
    </row>
    <row r="138" spans="1:2">
      <c r="A138" t="s">
        <v>1237</v>
      </c>
      <c r="B138">
        <v>1</v>
      </c>
    </row>
    <row r="139" spans="1:2">
      <c r="A139" t="s">
        <v>1318</v>
      </c>
      <c r="B139">
        <v>1</v>
      </c>
    </row>
    <row r="140" spans="1:2">
      <c r="A140" t="s">
        <v>1236</v>
      </c>
      <c r="B140">
        <v>1</v>
      </c>
    </row>
    <row r="141" spans="1:2">
      <c r="A141" t="s">
        <v>1182</v>
      </c>
      <c r="B141">
        <v>1</v>
      </c>
    </row>
    <row r="142" spans="1:2">
      <c r="A142" t="s">
        <v>1205</v>
      </c>
      <c r="B142">
        <v>1</v>
      </c>
    </row>
    <row r="143" spans="1:2">
      <c r="A143" t="s">
        <v>1234</v>
      </c>
      <c r="B143">
        <v>1</v>
      </c>
    </row>
    <row r="144" spans="1:2">
      <c r="A144" t="s">
        <v>1211</v>
      </c>
      <c r="B144">
        <v>1</v>
      </c>
    </row>
    <row r="145" spans="1:2">
      <c r="A145" t="s">
        <v>1172</v>
      </c>
      <c r="B145">
        <v>1</v>
      </c>
    </row>
    <row r="146" spans="1:2">
      <c r="A146" t="s">
        <v>1052</v>
      </c>
      <c r="B146">
        <v>1</v>
      </c>
    </row>
    <row r="147" spans="1:2">
      <c r="A147" t="s">
        <v>1195</v>
      </c>
      <c r="B147">
        <v>1</v>
      </c>
    </row>
    <row r="148" spans="1:2">
      <c r="A148" t="s">
        <v>1294</v>
      </c>
      <c r="B148">
        <v>1</v>
      </c>
    </row>
    <row r="149" spans="1:2">
      <c r="A149" t="s">
        <v>1316</v>
      </c>
      <c r="B149">
        <v>1</v>
      </c>
    </row>
    <row r="150" spans="1:2">
      <c r="A150" t="s">
        <v>1274</v>
      </c>
      <c r="B150">
        <v>1</v>
      </c>
    </row>
    <row r="151" spans="1:2">
      <c r="A151" t="s">
        <v>1233</v>
      </c>
      <c r="B151">
        <v>1</v>
      </c>
    </row>
    <row r="152" spans="1:2">
      <c r="A152" t="s">
        <v>1223</v>
      </c>
      <c r="B152">
        <v>1</v>
      </c>
    </row>
    <row r="153" spans="1:2">
      <c r="A153" t="s">
        <v>1201</v>
      </c>
      <c r="B153">
        <v>1</v>
      </c>
    </row>
    <row r="154" spans="1:2">
      <c r="A154" t="s">
        <v>1250</v>
      </c>
      <c r="B154">
        <v>1</v>
      </c>
    </row>
    <row r="155" spans="1:2">
      <c r="A155" t="s">
        <v>1235</v>
      </c>
      <c r="B155">
        <v>1</v>
      </c>
    </row>
    <row r="156" spans="1:2">
      <c r="A156" t="s">
        <v>1264</v>
      </c>
      <c r="B156">
        <v>1</v>
      </c>
    </row>
    <row r="157" spans="1:2">
      <c r="A157" t="s">
        <v>1266</v>
      </c>
      <c r="B157">
        <v>1</v>
      </c>
    </row>
    <row r="158" spans="1:2">
      <c r="A158" t="s">
        <v>1051</v>
      </c>
      <c r="B158">
        <v>1</v>
      </c>
    </row>
    <row r="159" spans="1:2">
      <c r="A159" t="s">
        <v>1059</v>
      </c>
      <c r="B159">
        <v>1</v>
      </c>
    </row>
    <row r="160" spans="1:2">
      <c r="A160" t="s">
        <v>1268</v>
      </c>
      <c r="B160">
        <v>1</v>
      </c>
    </row>
    <row r="161" spans="1:2">
      <c r="A161" t="s">
        <v>1290</v>
      </c>
      <c r="B161">
        <v>1</v>
      </c>
    </row>
    <row r="162" spans="1:2">
      <c r="A162" t="s">
        <v>1300</v>
      </c>
      <c r="B162">
        <v>1</v>
      </c>
    </row>
    <row r="163" spans="1:2">
      <c r="A163" t="s">
        <v>1220</v>
      </c>
      <c r="B163">
        <v>1</v>
      </c>
    </row>
    <row r="164" spans="1:2">
      <c r="A164" t="s">
        <v>1184</v>
      </c>
      <c r="B164">
        <v>1</v>
      </c>
    </row>
    <row r="165" spans="1:2">
      <c r="A165" t="s">
        <v>1310</v>
      </c>
      <c r="B165">
        <v>1</v>
      </c>
    </row>
    <row r="166" spans="1:2">
      <c r="A166" t="s">
        <v>1188</v>
      </c>
      <c r="B166">
        <v>1</v>
      </c>
    </row>
    <row r="167" spans="1:2">
      <c r="A167" t="s">
        <v>1063</v>
      </c>
      <c r="B167">
        <v>1</v>
      </c>
    </row>
    <row r="168" spans="1:2">
      <c r="A168" t="s">
        <v>1229</v>
      </c>
      <c r="B168">
        <v>1</v>
      </c>
    </row>
    <row r="169" spans="1:2">
      <c r="A169" t="s">
        <v>1319</v>
      </c>
      <c r="B169">
        <v>1</v>
      </c>
    </row>
    <row r="170" spans="1:2">
      <c r="A170" t="s">
        <v>1257</v>
      </c>
      <c r="B170">
        <v>1</v>
      </c>
    </row>
    <row r="171" spans="1:2">
      <c r="A171" t="s">
        <v>1269</v>
      </c>
      <c r="B171">
        <v>1</v>
      </c>
    </row>
    <row r="172" spans="1:2">
      <c r="A172" t="s">
        <v>1055</v>
      </c>
      <c r="B172">
        <v>1</v>
      </c>
    </row>
    <row r="173" spans="1:2">
      <c r="A173" t="s">
        <v>1202</v>
      </c>
      <c r="B173">
        <v>1</v>
      </c>
    </row>
    <row r="174" spans="1:2">
      <c r="A174" t="s">
        <v>1208</v>
      </c>
      <c r="B174">
        <v>1</v>
      </c>
    </row>
    <row r="175" spans="1:2">
      <c r="A175" t="s">
        <v>1259</v>
      </c>
      <c r="B175">
        <v>1</v>
      </c>
    </row>
    <row r="176" spans="1:2">
      <c r="A176" t="s">
        <v>1191</v>
      </c>
      <c r="B176">
        <v>1</v>
      </c>
    </row>
    <row r="177" spans="1:2">
      <c r="A177" t="s">
        <v>1315</v>
      </c>
      <c r="B177">
        <v>1</v>
      </c>
    </row>
    <row r="178" spans="1:2">
      <c r="A178" t="s">
        <v>1230</v>
      </c>
      <c r="B178">
        <v>1</v>
      </c>
    </row>
    <row r="179" spans="1:2">
      <c r="A179" t="s">
        <v>1317</v>
      </c>
      <c r="B179">
        <v>1</v>
      </c>
    </row>
    <row r="180" spans="1:2">
      <c r="A180" t="s">
        <v>1217</v>
      </c>
      <c r="B180">
        <v>1</v>
      </c>
    </row>
    <row r="181" spans="1:2">
      <c r="A181" t="s">
        <v>1258</v>
      </c>
      <c r="B181">
        <v>1</v>
      </c>
    </row>
    <row r="182" spans="1:2">
      <c r="A182" t="s">
        <v>1285</v>
      </c>
      <c r="B182">
        <v>1</v>
      </c>
    </row>
    <row r="183" spans="1:2">
      <c r="A183" t="s">
        <v>1150</v>
      </c>
      <c r="B183">
        <v>1</v>
      </c>
    </row>
    <row r="184" spans="1:2">
      <c r="A184" t="s">
        <v>1287</v>
      </c>
      <c r="B184">
        <v>1</v>
      </c>
    </row>
    <row r="185" spans="1:2">
      <c r="A185" t="s">
        <v>1295</v>
      </c>
      <c r="B185">
        <v>1</v>
      </c>
    </row>
    <row r="186" spans="1:2">
      <c r="A186" t="s">
        <v>1185</v>
      </c>
      <c r="B186">
        <v>1</v>
      </c>
    </row>
    <row r="187" spans="1:2">
      <c r="A187" t="s">
        <v>1276</v>
      </c>
      <c r="B187">
        <v>1</v>
      </c>
    </row>
    <row r="188" spans="1:2">
      <c r="A188" t="s">
        <v>1262</v>
      </c>
      <c r="B188">
        <v>1</v>
      </c>
    </row>
    <row r="189" spans="1:2">
      <c r="A189" t="s">
        <v>1214</v>
      </c>
      <c r="B189">
        <v>1</v>
      </c>
    </row>
    <row r="190" spans="1:2">
      <c r="A190" t="s">
        <v>1390</v>
      </c>
      <c r="B190" t="s">
        <v>1321</v>
      </c>
    </row>
    <row r="191" spans="1:2">
      <c r="A191" t="s">
        <v>1390</v>
      </c>
      <c r="B191" t="s">
        <v>1321</v>
      </c>
    </row>
  </sheetData>
  <pageMargins left="0.75" right="0.75" top="1" bottom="1" header="0.5" footer="0.5"/>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12</vt:i4>
      </vt:variant>
    </vt:vector>
  </HeadingPairs>
  <TitlesOfParts>
    <vt:vector size="12" baseType="lpstr">
      <vt:lpstr>icons</vt:lpstr>
      <vt:lpstr>International URLs</vt:lpstr>
      <vt:lpstr>International Settings</vt:lpstr>
      <vt:lpstr>DropdownSizer</vt:lpstr>
      <vt:lpstr>Instructions</vt:lpstr>
      <vt:lpstr>International Translations</vt:lpstr>
      <vt:lpstr>Data Validation</vt:lpstr>
      <vt:lpstr>International Data</vt:lpstr>
      <vt:lpstr>Template</vt:lpstr>
      <vt:lpstr>Conditions List</vt:lpstr>
      <vt:lpstr>Dropdown Lists</vt:lpstr>
      <vt:lpstr>AttributePTDMAP</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しσνε</cp:lastModifiedBy>
  <dcterms:created xsi:type="dcterms:W3CDTF">2012-05-03T18:29:00Z</dcterms:created>
  <dcterms:modified xsi:type="dcterms:W3CDTF">2026-04-03T14:25:52Z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E81CEA7F9E6A40388F277633F776514C_13</vt:lpwstr>
  </property>
  <property fmtid="{D5CDD505-2E9C-101B-9397-08002B2CF9AE}" pid="3" name="KSOProductBuildVer">
    <vt:lpwstr>2052-12.1.25205.25205</vt:lpwstr>
  </property>
  <property fmtid="{D5CDD505-2E9C-101B-9397-08002B2CF9AE}" pid="4" name="KSOReadingLayout">
    <vt:bool>true</vt:bool>
  </property>
  <property fmtid="{D5CDD505-2E9C-101B-9397-08002B2CF9AE}" pid="5" name="CalculationRule">
    <vt:i4>0</vt:i4>
  </property>
</Properties>
</file>