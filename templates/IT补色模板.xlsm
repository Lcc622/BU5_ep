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30200" windowHeight="15280" tabRatio="598" firstSheet="2" activeTab="2"/>
  </bookViews>
  <sheets>
    <sheet name="Dropdown Lists" sheetId="23" state="hidden" r:id="rId1"/>
    <sheet name="AttributePTDMAP" sheetId="24" state="hidden" r:id="rId2"/>
    <sheet name="template" sheetId="25" r:id="rId3"/>
    <sheet name="Conditions List" sheetId="27" state="hidden" r:id="rId4"/>
  </sheets>
  <externalReferences>
    <externalReference r:id="rId5"/>
    <externalReference r:id="rId6"/>
    <externalReference r:id="rId7"/>
  </externalReferences>
  <definedNames>
    <definedName name="feed_product_type">'Dropdown Lists'!$A$4</definedName>
    <definedName name="dressrelationship_type">'Dropdown Lists'!$B$4:$B$7</definedName>
    <definedName name="dressage_range_description">'Dropdown Lists'!$C$4:$C$7</definedName>
    <definedName name="dressis_autographed">'Dropdown Lists'!$D$4:$D$5</definedName>
    <definedName name="dressis_expiration_dated_product">'Dropdown Lists'!$E$4:$E$5</definedName>
    <definedName name="dressapparel_body_type">'Dropdown Lists'!$F$4:$F$5</definedName>
    <definedName name="dresscountry_of_origin">'Dropdown Lists'!$G$4:$G$271</definedName>
    <definedName name="dresslithium_battery_packaging">'Dropdown Lists'!$H$4:$H$6</definedName>
    <definedName name="dressexternal_product_id_type">'Dropdown Lists'!$I$4:$I$8</definedName>
    <definedName name="dressvariation_theme">'Dropdown Lists'!$J$4:$J$20</definedName>
    <definedName name="dresstarget_gender">'Dropdown Lists'!$K$4:$K$6</definedName>
    <definedName name="dressneck_style">'Dropdown Lists'!$L$4:$L$15</definedName>
    <definedName name="dresscurrency">'Dropdown Lists'!$M$4:$M$11</definedName>
    <definedName name="dresssupplier_declared_dg_hz_regulation">'Dropdown Lists'!$N$4:$N$10</definedName>
    <definedName name="dressbatteries_required">'Dropdown Lists'!$O$4:$O$5</definedName>
    <definedName name="dressbattery_cell_composition">'Dropdown Lists'!$P$4:$P$36</definedName>
    <definedName name="dresspackage_weight_unit_of_measure">'Dropdown Lists'!$Q$4:$Q$8</definedName>
    <definedName name="dressupdate_delete">'Dropdown Lists'!$R$4:$R$6</definedName>
    <definedName name="dressapparel_height_type">'Dropdown Lists'!$S$4:$S$8</definedName>
    <definedName name="dresscolor_map">'Dropdown Lists'!$T$4:$T$21</definedName>
    <definedName name="dressare_batteries_included">'Dropdown Lists'!$U$4:$U$5</definedName>
    <definedName name="dressproduct_expiration_type">'Dropdown Lists'!$V$4:$V$8</definedName>
    <definedName name="dresssize_map">'Dropdown Lists'!$W$4:$W$51</definedName>
    <definedName name="dresstemperature_rating">'Dropdown Lists'!$X$4:$X$7</definedName>
    <definedName name="dressseasons">'Dropdown Lists'!$Y$4:$Y$5</definedName>
    <definedName name="dressteam_name">'Dropdown Lists'!$Z$4</definedName>
    <definedName name="dresseu_toys_safety_directive_language">'Dropdown Lists'!$AA$4:$AA$24</definedName>
    <definedName name="dressec_medical_device_sales_channel">'Dropdown Lists'!$AB$4:$AB$11</definedName>
    <definedName name="dresswebsite_shipping_weight_unit_of_measure">'Dropdown Lists'!$AC$4:$AC$8</definedName>
    <definedName name="dresscollection_name">'Dropdown Lists'!$AD$4:$AD$17</definedName>
    <definedName name="dressprogressive_discount_type">'Dropdown Lists'!$AE$4:$AE$5</definedName>
    <definedName name="dresslithium_battery_weight_unit_of_measure">'Dropdown Lists'!$AF$4:$AF$8</definedName>
    <definedName name="dressfulfillment_center_id">'Dropdown Lists'!$AG$4:$AG$5</definedName>
    <definedName name="dresspackage_length_unit_of_measure">'Dropdown Lists'!$AH$4:$AH$9</definedName>
    <definedName name="dresslifestyle">'Dropdown Lists'!$AI$4:$AI$7</definedName>
    <definedName name="dressitem_length_description">'Dropdown Lists'!$AJ$4:$AJ$7</definedName>
    <definedName name="dressghs_classification_class">'Dropdown Lists'!$AK$4:$AK$13</definedName>
    <definedName name="dressapparel_size">'Dropdown Lists'!$AL$4:$AL$130</definedName>
    <definedName name="dresspackage_height_unit_of_measure">'Dropdown Lists'!$AM$4:$AM$9</definedName>
    <definedName name="dressoffering_can_be_giftwrapped">'Dropdown Lists'!$AN$4:$AN$5</definedName>
    <definedName name="dresslithium_battery_energy_content_unit_of_measure">'Dropdown Lists'!$AO$4:$AO$11</definedName>
    <definedName name="dressbattery_type">'Dropdown Lists'!$AP$4:$AP$22</definedName>
    <definedName name="dressouter_material_type">'Dropdown Lists'!$AQ$4:$AQ$23</definedName>
    <definedName name="dressapparel_size_system">'Dropdown Lists'!$AR$4</definedName>
    <definedName name="dressflash_point_unit_of_measure">'Dropdown Lists'!$AS$4:$AS$6</definedName>
    <definedName name="dresspackage_level">'Dropdown Lists'!$AT$4:$AT$6</definedName>
    <definedName name="dresseu_toys_safety_directive_warning">'Dropdown Lists'!$AU$4:$AU$12</definedName>
    <definedName name="dressapparel_size_class">'Dropdown Lists'!$AV$4:$AV$6</definedName>
    <definedName name="dressfc_shelf_life_unit_of_measure">'Dropdown Lists'!$AW$4:$AW$10</definedName>
    <definedName name="dressdepartment_name">'Dropdown Lists'!$AX$4:$AX$9</definedName>
    <definedName name="dressleague_name">'Dropdown Lists'!$AY$4:$AY$51</definedName>
    <definedName name="dresscondition_type">'Dropdown Lists'!$AZ$4:$AZ$13</definedName>
    <definedName name="dressspecial_size_type">'Dropdown Lists'!$BA$4:$BA$7</definedName>
    <definedName name="dressbattery_weight_unit_of_measure">'Dropdown Lists'!$BB$4:$BB$8</definedName>
    <definedName name="dressmerchant_shipping_group_name">'Dropdown Lists'!$BC$4</definedName>
    <definedName name="dressgtin_exemption_reason">'Dropdown Lists'!$BD$4:$BD$5</definedName>
    <definedName name="dressis_discontinued_by_manufacturer">'Dropdown Lists'!$BE$4:$BE$5</definedName>
    <definedName name="dressitem_weight_unit_of_measure">'Dropdown Lists'!$BF$4:$BF$8</definedName>
    <definedName name="dresssupplier_declared_material_regulation">'Dropdown Lists'!$BG$4:$BG$7</definedName>
    <definedName name="dresssleeve_type">'Dropdown Lists'!$BH$4:$BH$7</definedName>
    <definedName name="dresslanguage_value">'Dropdown Lists'!$BI$4:$BI$546</definedName>
    <definedName name="dressitem_volume_unit_of_measure">'Dropdown Lists'!$BJ$4:$BJ$21</definedName>
    <definedName name="dresspricing_action">'Dropdown Lists'!$BK$4:$BK$6</definedName>
    <definedName name="dressparent_child">'Dropdown Lists'!$BL$4:$BL$7</definedName>
    <definedName name="dresspackage_width_unit_of_measure">'Dropdown Lists'!$BM$4:$BM$9</definedName>
    <definedName name="dresslifecycle_supply_type">'Dropdown Lists'!$BN$4:$BN$7</definedName>
    <definedName name="dressquantity_price_type">'Dropdown Lists'!$BO$4:$BO$5</definedName>
    <definedName name="dressproduct_tax_code">'Dropdown Lists'!$BP$4:$BP$72</definedName>
    <definedName name="dresscare_instructions">'Dropdown Lists'!$BQ$4:$BQ$6</definedName>
    <definedName name="dressoffering_can_be_gift_messaged">'Dropdown Lists'!$BR$4:$BR$5</definedName>
    <definedName name="dressapparel_size_to">'Dropdown Lists'!$BS$4:$BS$130</definedName>
    <definedName name="dressstyle_name">'Dropdown Lists'!$BT$4:$BT$24</definedName>
    <definedName name="brand_name">'Dropdown Lists'!$BU$4:$BU$11</definedName>
    <definedName name="merchant_shipping_group_name">'Dropdown Lists'!$BV$4</definedName>
    <definedName name="dressrecommended_browse_nodes">'Dropdown Lists'!$BW$4</definedName>
    <definedName name="requiredAttributePTDMap">AttributePTDMAP!$A$1:$B$28</definedName>
    <definedName name="optionalAttributePTDMap">AttributePTDMAP!$A$29:$B$188</definedName>
    <definedName name="preferredAttributePTDMap">AttributePTDMAP!$A$189:$B$193</definedName>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template!$B$1:$B$1048414</definedName>
    <definedName name="EP02093IT">[3]AttributePTDMAP!$A$56:$B$164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<sst xmlns="http://schemas.openxmlformats.org/spreadsheetml/2006/main" count="2605" uniqueCount="1804">
  <si>
    <t/>
  </si>
  <si>
    <t>dress</t>
  </si>
  <si>
    <t>feed_product_type</t>
  </si>
  <si>
    <t>relationship_type</t>
  </si>
  <si>
    <t>age_range_description</t>
  </si>
  <si>
    <t>is_autographed</t>
  </si>
  <si>
    <t>is_expiration_dated_product</t>
  </si>
  <si>
    <t>apparel_body_type</t>
  </si>
  <si>
    <t>country_of_origin</t>
  </si>
  <si>
    <t>lithium_battery_packaging</t>
  </si>
  <si>
    <t>external_product_id_type</t>
  </si>
  <si>
    <t>variation_theme</t>
  </si>
  <si>
    <t>target_gender</t>
  </si>
  <si>
    <t>neck_style</t>
  </si>
  <si>
    <t>currency</t>
  </si>
  <si>
    <t>supplier_declared_dg_hz_regulation1</t>
  </si>
  <si>
    <t>batteries_required</t>
  </si>
  <si>
    <t>battery_cell_composition</t>
  </si>
  <si>
    <t>package_weight_unit_of_measure</t>
  </si>
  <si>
    <t>update_delete</t>
  </si>
  <si>
    <t>apparel_height_type</t>
  </si>
  <si>
    <t>color_map</t>
  </si>
  <si>
    <t>are_batteries_included</t>
  </si>
  <si>
    <t>product_expiration_type</t>
  </si>
  <si>
    <t>size_map</t>
  </si>
  <si>
    <t>temperature_rating</t>
  </si>
  <si>
    <t>seasons</t>
  </si>
  <si>
    <t>team_name</t>
  </si>
  <si>
    <t>eu_toys_safety_directive_language</t>
  </si>
  <si>
    <t>ec_medical_device_sales_channel</t>
  </si>
  <si>
    <t>website_shipping_weight_unit_of_measure</t>
  </si>
  <si>
    <t>collection_name</t>
  </si>
  <si>
    <t>progressive_discount_type</t>
  </si>
  <si>
    <t>lithium_battery_weight_unit_of_measure</t>
  </si>
  <si>
    <t>fulfillment_center_id</t>
  </si>
  <si>
    <t>package_length_unit_of_measure</t>
  </si>
  <si>
    <t>lifestyle</t>
  </si>
  <si>
    <t>item_length_description</t>
  </si>
  <si>
    <t>ghs_classification_class1</t>
  </si>
  <si>
    <t>apparel_size</t>
  </si>
  <si>
    <t>package_height_unit_of_measure</t>
  </si>
  <si>
    <t>offering_can_be_giftwrapped</t>
  </si>
  <si>
    <t>lithium_battery_energy_content_unit_of_measure</t>
  </si>
  <si>
    <t>battery_type1</t>
  </si>
  <si>
    <t>outer_material_type</t>
  </si>
  <si>
    <t>apparel_size_system</t>
  </si>
  <si>
    <t>flash_point_unit_of_measure</t>
  </si>
  <si>
    <t>package_level</t>
  </si>
  <si>
    <t>eu_toys_safety_directive_warning</t>
  </si>
  <si>
    <t>apparel_size_class</t>
  </si>
  <si>
    <t>fc_shelf_life_unit_of_measure</t>
  </si>
  <si>
    <t>department_name</t>
  </si>
  <si>
    <t>league_name</t>
  </si>
  <si>
    <t>condition_type</t>
  </si>
  <si>
    <t>special_size_type</t>
  </si>
  <si>
    <t>battery_weight_unit_of_measure</t>
  </si>
  <si>
    <t>merchant_shipping_group_name</t>
  </si>
  <si>
    <t>gtin_exemption_reason</t>
  </si>
  <si>
    <t>is_discontinued_by_manufacturer</t>
  </si>
  <si>
    <t>item_weight_unit_of_measure</t>
  </si>
  <si>
    <t>supplier_declared_material_regulation1</t>
  </si>
  <si>
    <t>sleeve_type</t>
  </si>
  <si>
    <t>language_value1</t>
  </si>
  <si>
    <t>item_volume_unit_of_measure</t>
  </si>
  <si>
    <t>pricing_action</t>
  </si>
  <si>
    <t>parent_child</t>
  </si>
  <si>
    <t>package_width_unit_of_measure</t>
  </si>
  <si>
    <t>lifecycle_supply_type</t>
  </si>
  <si>
    <t>quantity_price_type</t>
  </si>
  <si>
    <t>product_tax_code</t>
  </si>
  <si>
    <t>care_instructions</t>
  </si>
  <si>
    <t>offering_can_be_gift_messaged</t>
  </si>
  <si>
    <t>apparel_size_to</t>
  </si>
  <si>
    <t>style_name</t>
  </si>
  <si>
    <t>brand_name</t>
  </si>
  <si>
    <t>recommended_browse_nodes</t>
  </si>
  <si>
    <t>Accessory</t>
  </si>
  <si>
    <t>Adulto</t>
  </si>
  <si>
    <t>Sì</t>
  </si>
  <si>
    <t>Plus</t>
  </si>
  <si>
    <t>Afghanistan</t>
  </si>
  <si>
    <t>Batterie nella confezione</t>
  </si>
  <si>
    <t>GTIN</t>
  </si>
  <si>
    <t>ItemPackageQuantity-Material</t>
  </si>
  <si>
    <t>Maschio</t>
  </si>
  <si>
    <t>a v</t>
  </si>
  <si>
    <t>JPY</t>
  </si>
  <si>
    <t>GHS</t>
  </si>
  <si>
    <t>Yes</t>
  </si>
  <si>
    <t>lead_acid_agm</t>
  </si>
  <si>
    <t>LB</t>
  </si>
  <si>
    <t>Aggiorna</t>
  </si>
  <si>
    <t>Petite</t>
  </si>
  <si>
    <t>arancione</t>
  </si>
  <si>
    <t>Does Not Expire</t>
  </si>
  <si>
    <t>Taglia unica</t>
  </si>
  <si>
    <t>Temperatura ambiente: da 15 a 25 °C</t>
  </si>
  <si>
    <t>autunno/inverno</t>
  </si>
  <si>
    <t>Tennis</t>
  </si>
  <si>
    <t>Greco</t>
  </si>
  <si>
    <t>Esente dalla classificazione dei dispositivi medici [MDR] e dei dispositivi medico-diagnostici in vitro [IVDR]</t>
  </si>
  <si>
    <t>estate 2012</t>
  </si>
  <si>
    <t>fixed</t>
  </si>
  <si>
    <t>AMAZON_EU</t>
  </si>
  <si>
    <t>IN</t>
  </si>
  <si>
    <t>Casual</t>
  </si>
  <si>
    <t>al ginocchio</t>
  </si>
  <si>
    <t>explosive</t>
  </si>
  <si>
    <t>15</t>
  </si>
  <si>
    <t>Milliampere secondi (mAs)</t>
  </si>
  <si>
    <t>Batteria tipo AA</t>
  </si>
  <si>
    <t>canapa</t>
  </si>
  <si>
    <t>IT</t>
  </si>
  <si>
    <t>Kelvin</t>
  </si>
  <si>
    <t>unit</t>
  </si>
  <si>
    <t>Contiene fragranze potenzialmente allergizzanti</t>
  </si>
  <si>
    <t>Età</t>
  </si>
  <si>
    <t>Anni</t>
  </si>
  <si>
    <t>Bambine e ragazze</t>
  </si>
  <si>
    <t>Campionato di pallavolo professionale</t>
  </si>
  <si>
    <t>Da collezione, ottime condizioni</t>
  </si>
  <si>
    <t>Grande</t>
  </si>
  <si>
    <t>default</t>
  </si>
  <si>
    <t>part</t>
  </si>
  <si>
    <t>Lana</t>
  </si>
  <si>
    <t>manica a 3/4</t>
  </si>
  <si>
    <t>Non disponibile</t>
  </si>
  <si>
    <t>cups</t>
  </si>
  <si>
    <t>delete business_price</t>
  </si>
  <si>
    <t>Parent</t>
  </si>
  <si>
    <t>Perennial</t>
  </si>
  <si>
    <t>A_BABY_BIBCLOTH</t>
  </si>
  <si>
    <t>Lavabile in lavatrice</t>
  </si>
  <si>
    <t>a bustier</t>
  </si>
  <si>
    <t>Ever-Pretty Plus</t>
  </si>
  <si>
    <t>Modello Amazon predefinito</t>
  </si>
  <si>
    <t>13901050031</t>
  </si>
  <si>
    <t>Variation</t>
  </si>
  <si>
    <t>Bambino</t>
  </si>
  <si>
    <t>No</t>
  </si>
  <si>
    <t xml:space="preserve">Regular </t>
  </si>
  <si>
    <t>Aland Islands</t>
  </si>
  <si>
    <t>Batterie nell'articolo</t>
  </si>
  <si>
    <t>EAN</t>
  </si>
  <si>
    <t>ItemPackageQuantity</t>
  </si>
  <si>
    <t>Femmina</t>
  </si>
  <si>
    <t>a barchetta</t>
  </si>
  <si>
    <t>MXN</t>
  </si>
  <si>
    <t>Unknown</t>
  </si>
  <si>
    <t>lithium_air</t>
  </si>
  <si>
    <t>OZ</t>
  </si>
  <si>
    <t>AggiornamentoParziale</t>
  </si>
  <si>
    <t>Corto</t>
  </si>
  <si>
    <t>argento</t>
  </si>
  <si>
    <t>Expiration Date Required</t>
  </si>
  <si>
    <t>xxxxx-small</t>
  </si>
  <si>
    <t>Fredda o fresca: da 8 a 15 °C</t>
  </si>
  <si>
    <t>primavera/estate</t>
  </si>
  <si>
    <t>Svedese</t>
  </si>
  <si>
    <t>Altri prodotti da banco</t>
  </si>
  <si>
    <t>estate 2013</t>
  </si>
  <si>
    <t>percent</t>
  </si>
  <si>
    <t>DEFAULT</t>
  </si>
  <si>
    <t>FT</t>
  </si>
  <si>
    <t>Cerimonia</t>
  </si>
  <si>
    <t>maxi</t>
  </si>
  <si>
    <t>flammable</t>
  </si>
  <si>
    <t>16</t>
  </si>
  <si>
    <t>Kilowattora</t>
  </si>
  <si>
    <t>Batteria tipo AAA</t>
  </si>
  <si>
    <t>con paillettes</t>
  </si>
  <si>
    <t>Gradi Fahrenheit</t>
  </si>
  <si>
    <t>pallet</t>
  </si>
  <si>
    <t>Si raccomanda di indossare un dispositivo di protezione. Non usare nel traffico</t>
  </si>
  <si>
    <t>Testo</t>
  </si>
  <si>
    <t>Secondi</t>
  </si>
  <si>
    <t>Bambini e ragazzi</t>
  </si>
  <si>
    <t>MLB</t>
  </si>
  <si>
    <t>Usato - Buono</t>
  </si>
  <si>
    <t>Premaman</t>
  </si>
  <si>
    <t>bundle</t>
  </si>
  <si>
    <t>Pelliccia</t>
  </si>
  <si>
    <t>manica corta</t>
  </si>
  <si>
    <t>Scandinavo</t>
  </si>
  <si>
    <t>microliters</t>
  </si>
  <si>
    <t>delete quantity_price</t>
  </si>
  <si>
    <t>Year Round Replenishable</t>
  </si>
  <si>
    <t>A_BABY_CARSEAT</t>
  </si>
  <si>
    <t>Lavare solo a secco.</t>
  </si>
  <si>
    <t>a pieghe</t>
  </si>
  <si>
    <t>EVER PRETTY</t>
  </si>
  <si>
    <t>variation</t>
  </si>
  <si>
    <t>Neonato</t>
  </si>
  <si>
    <t>Albania</t>
  </si>
  <si>
    <t>Solo batterie</t>
  </si>
  <si>
    <t>GCID</t>
  </si>
  <si>
    <t>Colore</t>
  </si>
  <si>
    <t>Unisex</t>
  </si>
  <si>
    <t>a listino</t>
  </si>
  <si>
    <t>EUR</t>
  </si>
  <si>
    <t>Other</t>
  </si>
  <si>
    <t>lithium_cobalt</t>
  </si>
  <si>
    <t>KG</t>
  </si>
  <si>
    <t>Elimina</t>
  </si>
  <si>
    <t>Regular</t>
  </si>
  <si>
    <t>avorio</t>
  </si>
  <si>
    <t>Expiration On Package</t>
  </si>
  <si>
    <t>xxxx-small</t>
  </si>
  <si>
    <t>Congelata: &gt;-15 °C</t>
  </si>
  <si>
    <t>Tedesco</t>
  </si>
  <si>
    <t>Farmacia di prodotti da banco</t>
  </si>
  <si>
    <t>estate 2014</t>
  </si>
  <si>
    <t>CM</t>
  </si>
  <si>
    <t>Formale e business</t>
  </si>
  <si>
    <t>midi</t>
  </si>
  <si>
    <t>oxidizing</t>
  </si>
  <si>
    <t>17</t>
  </si>
  <si>
    <t>Piedi cubi</t>
  </si>
  <si>
    <t>Batteria agli ioni di litio</t>
  </si>
  <si>
    <t>cotone</t>
  </si>
  <si>
    <t>Gradi Celsius</t>
  </si>
  <si>
    <t>case</t>
  </si>
  <si>
    <t>Per evitare eventuali lesioni da impigliamento, rimuovere questo giocattolo quando il bambino comincia a tentare di alzarsi sulle mani e sulle ginocchia in posizione di gattonamento</t>
  </si>
  <si>
    <t>Numero</t>
  </si>
  <si>
    <t>Mesi</t>
  </si>
  <si>
    <t>Bimba</t>
  </si>
  <si>
    <t>Indian Soccer League</t>
  </si>
  <si>
    <t>club, club</t>
  </si>
  <si>
    <t>Non applicabile</t>
  </si>
  <si>
    <t>manica lunga</t>
  </si>
  <si>
    <t>Belarusian</t>
  </si>
  <si>
    <t>cubic_feet</t>
  </si>
  <si>
    <t>delete progressive_discount</t>
  </si>
  <si>
    <t>Child</t>
  </si>
  <si>
    <t>Seasonal Basic</t>
  </si>
  <si>
    <t>A_BABY_NAPPIES</t>
  </si>
  <si>
    <t>Lavare solo a mano.</t>
  </si>
  <si>
    <t>a tulipano</t>
  </si>
  <si>
    <t>EVER-PRETTY</t>
  </si>
  <si>
    <t>package_contains</t>
  </si>
  <si>
    <t>Ragazzo</t>
  </si>
  <si>
    <t>Algeria</t>
  </si>
  <si>
    <t>UPC</t>
  </si>
  <si>
    <t>color-size</t>
  </si>
  <si>
    <t>a polo</t>
  </si>
  <si>
    <t>GBP</t>
  </si>
  <si>
    <t>Not Applicable</t>
  </si>
  <si>
    <t>lithium_nickel_cobalt_aluminum</t>
  </si>
  <si>
    <t>MG</t>
  </si>
  <si>
    <t>Tall</t>
  </si>
  <si>
    <t>beige</t>
  </si>
  <si>
    <t>Production Date Required</t>
  </si>
  <si>
    <t>xxx-small</t>
  </si>
  <si>
    <t>Frigorifero: da 2 a 8 °C</t>
  </si>
  <si>
    <t>Spagnolo</t>
  </si>
  <si>
    <t>Vendita al dettaglio dispositivi da banco</t>
  </si>
  <si>
    <t>estate 2015</t>
  </si>
  <si>
    <t>MM</t>
  </si>
  <si>
    <t>Sera</t>
  </si>
  <si>
    <t>mini</t>
  </si>
  <si>
    <t>compressed_gas</t>
  </si>
  <si>
    <t>18</t>
  </si>
  <si>
    <t>Milliamperora (mAh)</t>
  </si>
  <si>
    <t>Batteria tipo A</t>
  </si>
  <si>
    <t>denim</t>
  </si>
  <si>
    <t>Da usare sotto la diretta sorveglianza di un adulto</t>
  </si>
  <si>
    <t>Giorni</t>
  </si>
  <si>
    <t>Bimbo</t>
  </si>
  <si>
    <t>Pro Wrestling League</t>
  </si>
  <si>
    <t>Da collezione, condizioni accettabili</t>
  </si>
  <si>
    <t>Alto</t>
  </si>
  <si>
    <t>Bambù</t>
  </si>
  <si>
    <t>senza maniche</t>
  </si>
  <si>
    <t>Scandinavian Languages</t>
  </si>
  <si>
    <t>centiliters</t>
  </si>
  <si>
    <t>Fashion</t>
  </si>
  <si>
    <t>A_BOOK_ADULT</t>
  </si>
  <si>
    <t>a tunica</t>
  </si>
  <si>
    <t>EVER-PRETTY(エバー プリティー)</t>
  </si>
  <si>
    <t>American Samoa</t>
  </si>
  <si>
    <t>ASIN</t>
  </si>
  <si>
    <t>Size</t>
  </si>
  <si>
    <t>a scialle</t>
  </si>
  <si>
    <t>USD</t>
  </si>
  <si>
    <t>Transportation</t>
  </si>
  <si>
    <t>lithium_nickel_manganese_cobalt</t>
  </si>
  <si>
    <t>GR</t>
  </si>
  <si>
    <t>Extra Tall</t>
  </si>
  <si>
    <t>bianco</t>
  </si>
  <si>
    <t>Shelf Life</t>
  </si>
  <si>
    <t>xx-small</t>
  </si>
  <si>
    <t>Danese</t>
  </si>
  <si>
    <t>Altri prodotti con prescrizione medica</t>
  </si>
  <si>
    <t>estate 2016</t>
  </si>
  <si>
    <t>M</t>
  </si>
  <si>
    <t>corrosive</t>
  </si>
  <si>
    <t>19</t>
  </si>
  <si>
    <t>watt_hours</t>
  </si>
  <si>
    <t>Batteria tipo CR2</t>
  </si>
  <si>
    <t>feltro</t>
  </si>
  <si>
    <t>Questo giocattolo non fornisce protezione</t>
  </si>
  <si>
    <t>Ore</t>
  </si>
  <si>
    <t>Donna</t>
  </si>
  <si>
    <t>WUSA</t>
  </si>
  <si>
    <t>Da collezione, come nuovo</t>
  </si>
  <si>
    <t>Pidgin English</t>
  </si>
  <si>
    <t>gallons</t>
  </si>
  <si>
    <t>A_BOOK_ATLAS</t>
  </si>
  <si>
    <t>a vestaglia</t>
  </si>
  <si>
    <t>Ever Pretty</t>
  </si>
  <si>
    <t>Andorra</t>
  </si>
  <si>
    <t>Material</t>
  </si>
  <si>
    <t>asimmetrico</t>
  </si>
  <si>
    <t>CAD</t>
  </si>
  <si>
    <t>Waste</t>
  </si>
  <si>
    <t>lithium_phosphate</t>
  </si>
  <si>
    <t>blu</t>
  </si>
  <si>
    <t>x-small</t>
  </si>
  <si>
    <t>Slovacco</t>
  </si>
  <si>
    <t>Farmacia di prodotti con prescrizione medica</t>
  </si>
  <si>
    <t>estate 2017</t>
  </si>
  <si>
    <t>Iarde</t>
  </si>
  <si>
    <t>toxic</t>
  </si>
  <si>
    <t>20</t>
  </si>
  <si>
    <t>Joule</t>
  </si>
  <si>
    <t>Batteria tipo C</t>
  </si>
  <si>
    <t>gomma</t>
  </si>
  <si>
    <t>Solo per uso domestico</t>
  </si>
  <si>
    <t>Settimane</t>
  </si>
  <si>
    <t>Uomo</t>
  </si>
  <si>
    <t>Calcio spagnolo</t>
  </si>
  <si>
    <t>Usato - Come nuovo</t>
  </si>
  <si>
    <t>Maharati</t>
  </si>
  <si>
    <t>quarts</t>
  </si>
  <si>
    <t>A_BOOK_AUDIOBOOK</t>
  </si>
  <si>
    <t>chemisier</t>
  </si>
  <si>
    <t>Ever-Pretty</t>
  </si>
  <si>
    <t>Angola</t>
  </si>
  <si>
    <t>Size-Material</t>
  </si>
  <si>
    <t>collo alto</t>
  </si>
  <si>
    <t>INR</t>
  </si>
  <si>
    <t>Storage</t>
  </si>
  <si>
    <t>lithium_titanate</t>
  </si>
  <si>
    <t>giallo</t>
  </si>
  <si>
    <t>small</t>
  </si>
  <si>
    <t>Italiano</t>
  </si>
  <si>
    <t>Vendita al dettaglio di prodotti con prescrizione medica</t>
  </si>
  <si>
    <t>estate 2018</t>
  </si>
  <si>
    <t>irritant</t>
  </si>
  <si>
    <t>21</t>
  </si>
  <si>
    <t>Metri cubi</t>
  </si>
  <si>
    <t>Batteria tipo D</t>
  </si>
  <si>
    <t>lana</t>
  </si>
  <si>
    <t>Non sono presenti avvertenze sulla sicurezza</t>
  </si>
  <si>
    <t>Minuti</t>
  </si>
  <si>
    <t>Calcio tedesco</t>
  </si>
  <si>
    <t>Da collezione, buone condizioni</t>
  </si>
  <si>
    <t>Bahasa</t>
  </si>
  <si>
    <t>nanoliters</t>
  </si>
  <si>
    <t>A_BOOK_GLOBE</t>
  </si>
  <si>
    <t>cocktail</t>
  </si>
  <si>
    <t>ever-pretty</t>
  </si>
  <si>
    <t>Anguilla</t>
  </si>
  <si>
    <t>Colore-itempackagequantity</t>
  </si>
  <si>
    <t>con bottoni</t>
  </si>
  <si>
    <t>CNY</t>
  </si>
  <si>
    <t>nickel_iron</t>
  </si>
  <si>
    <t>grigio</t>
  </si>
  <si>
    <t>medium</t>
  </si>
  <si>
    <t>Lituano</t>
  </si>
  <si>
    <t>Uso professionale</t>
  </si>
  <si>
    <t>inverno 2012</t>
  </si>
  <si>
    <t>health_hazard</t>
  </si>
  <si>
    <t>22</t>
  </si>
  <si>
    <t>Unità termica britannica</t>
  </si>
  <si>
    <t>Batteria tipo CR5</t>
  </si>
  <si>
    <t>lino</t>
  </si>
  <si>
    <t>Da utilizzare unicamente in acqua dove il bambino tocca il fondo con i piedi e sotto la sorveglianza di un adulto</t>
  </si>
  <si>
    <t>NBA</t>
  </si>
  <si>
    <t>Nuovo</t>
  </si>
  <si>
    <t>Belgian</t>
  </si>
  <si>
    <t>liters</t>
  </si>
  <si>
    <t>A_BOOK_MAGAZINE</t>
  </si>
  <si>
    <t>con orlo a palloncino</t>
  </si>
  <si>
    <t>エバー プリティー</t>
  </si>
  <si>
    <t>Antartide</t>
  </si>
  <si>
    <t>Itempackagequantity-Size</t>
  </si>
  <si>
    <t>con cappuccio</t>
  </si>
  <si>
    <t>nickel_zinc</t>
  </si>
  <si>
    <t>marrone</t>
  </si>
  <si>
    <t>large</t>
  </si>
  <si>
    <t>Ungherese</t>
  </si>
  <si>
    <t>inverno 2013</t>
  </si>
  <si>
    <t>environmentally_damaging</t>
  </si>
  <si>
    <t>23</t>
  </si>
  <si>
    <t>Batteria tipo AAAA</t>
  </si>
  <si>
    <t>pelle</t>
  </si>
  <si>
    <t>Contiene giocattolo. Si raccomanda la sorveglianza di un adulto</t>
  </si>
  <si>
    <t>Squadre Nazionali</t>
  </si>
  <si>
    <t>Usato - Molto buono</t>
  </si>
  <si>
    <t>Nahuatl</t>
  </si>
  <si>
    <t>picoliters</t>
  </si>
  <si>
    <t>A_BOOK_MAP</t>
  </si>
  <si>
    <t>cut out</t>
  </si>
  <si>
    <t>Antigua e Barbuda</t>
  </si>
  <si>
    <t>Color-Material</t>
  </si>
  <si>
    <t>con cerniera a mezza lunghezza</t>
  </si>
  <si>
    <t>silver_calcium</t>
  </si>
  <si>
    <t>multicolore</t>
  </si>
  <si>
    <t>x-large</t>
  </si>
  <si>
    <t>Olandese</t>
  </si>
  <si>
    <t>inverno 2014</t>
  </si>
  <si>
    <t>Specifico di Amazon senza etichetta di avvertenza</t>
  </si>
  <si>
    <t>24</t>
  </si>
  <si>
    <t>Batteria tipo P76</t>
  </si>
  <si>
    <t>pelliccia</t>
  </si>
  <si>
    <t>Campionato internazionale di cricket</t>
  </si>
  <si>
    <t>Usato - Accettabile</t>
  </si>
  <si>
    <t>Romanian</t>
  </si>
  <si>
    <t>fluid_ounces</t>
  </si>
  <si>
    <t>A_BOOKS_GEN</t>
  </si>
  <si>
    <t>fasciante</t>
  </si>
  <si>
    <t>Antille Olandesi</t>
  </si>
  <si>
    <t>Material-Size</t>
  </si>
  <si>
    <t>quadrata</t>
  </si>
  <si>
    <t>silver_zinc</t>
  </si>
  <si>
    <t>nero</t>
  </si>
  <si>
    <t>xx-large</t>
  </si>
  <si>
    <t>Finlandese</t>
  </si>
  <si>
    <t>inverno 2015</t>
  </si>
  <si>
    <t>25</t>
  </si>
  <si>
    <t>Batteria specifica del prodotto</t>
  </si>
  <si>
    <t>pelliccia sintetica</t>
  </si>
  <si>
    <t>MLS</t>
  </si>
  <si>
    <t>Provenzale</t>
  </si>
  <si>
    <t>cubic_meters</t>
  </si>
  <si>
    <t>A_CLTH_BABY</t>
  </si>
  <si>
    <t>halterneck</t>
  </si>
  <si>
    <t>Arabia Saudita</t>
  </si>
  <si>
    <t>Material-Color</t>
  </si>
  <si>
    <t>rotondo</t>
  </si>
  <si>
    <t>zinc_air</t>
  </si>
  <si>
    <t>oro</t>
  </si>
  <si>
    <t>xxx-large</t>
  </si>
  <si>
    <t>Estone</t>
  </si>
  <si>
    <t>inverno 2016</t>
  </si>
  <si>
    <t>26</t>
  </si>
  <si>
    <t>Litio-Polimeri</t>
  </si>
  <si>
    <t>pile</t>
  </si>
  <si>
    <t>NFL</t>
  </si>
  <si>
    <t>Cinese tradizionale</t>
  </si>
  <si>
    <t>pints</t>
  </si>
  <si>
    <t>A_CLTH_CHILD</t>
  </si>
  <si>
    <t>kimono</t>
  </si>
  <si>
    <t>Argentina</t>
  </si>
  <si>
    <t>SizeName-ColorName</t>
  </si>
  <si>
    <t>lithium_thionyl_chloride</t>
  </si>
  <si>
    <t>rosa</t>
  </si>
  <si>
    <t>xxxx-large</t>
  </si>
  <si>
    <t>Sloveno</t>
  </si>
  <si>
    <t>inverno 2017</t>
  </si>
  <si>
    <t>27</t>
  </si>
  <si>
    <t>Sconosciuto</t>
  </si>
  <si>
    <t>piumino</t>
  </si>
  <si>
    <t>Canadian Premiere League</t>
  </si>
  <si>
    <t>Cinese semplificato</t>
  </si>
  <si>
    <t>cubic_yards</t>
  </si>
  <si>
    <t>A_CLTH_PROTECTIVE</t>
  </si>
  <si>
    <t>linea ad a</t>
  </si>
  <si>
    <t>Armenia</t>
  </si>
  <si>
    <t>SizeColor</t>
  </si>
  <si>
    <t>nickel_oxyhydroxide</t>
  </si>
  <si>
    <t>rosso</t>
  </si>
  <si>
    <t>xxxxx-large</t>
  </si>
  <si>
    <t>Inglese</t>
  </si>
  <si>
    <t>inverno 2018</t>
  </si>
  <si>
    <t>28</t>
  </si>
  <si>
    <t>Batteria al litio metallico</t>
  </si>
  <si>
    <t>satin</t>
  </si>
  <si>
    <t>Indian Premier League</t>
  </si>
  <si>
    <t>Valencian</t>
  </si>
  <si>
    <t>cubic_inches</t>
  </si>
  <si>
    <t>A_FOOD_ANIMALFOOD</t>
  </si>
  <si>
    <t>lungo</t>
  </si>
  <si>
    <t>Aruba</t>
  </si>
  <si>
    <t>SizeName</t>
  </si>
  <si>
    <t>zinc_chloride</t>
  </si>
  <si>
    <t>trasparente</t>
  </si>
  <si>
    <t>34</t>
  </si>
  <si>
    <t>Portoghese</t>
  </si>
  <si>
    <t>29</t>
  </si>
  <si>
    <t>Batteria non Standard</t>
  </si>
  <si>
    <t>seta</t>
  </si>
  <si>
    <t>Campionato mondiale di calcio</t>
  </si>
  <si>
    <t>Latin Spanish</t>
  </si>
  <si>
    <t>imperial_gallons</t>
  </si>
  <si>
    <t>A_FOOD_ANIMALMED</t>
  </si>
  <si>
    <t>monospalla</t>
  </si>
  <si>
    <t>Australia</t>
  </si>
  <si>
    <t>ItemPackageQuantityColor</t>
  </si>
  <si>
    <t>lithium</t>
  </si>
  <si>
    <t>turchese</t>
  </si>
  <si>
    <t>36</t>
  </si>
  <si>
    <t>Bulgaro</t>
  </si>
  <si>
    <t>30</t>
  </si>
  <si>
    <t>Batteria tipo CR123A</t>
  </si>
  <si>
    <t>sintetico</t>
  </si>
  <si>
    <t>Federazione calcistica del Messico</t>
  </si>
  <si>
    <t>Gahrwali</t>
  </si>
  <si>
    <t>milliliters</t>
  </si>
  <si>
    <t>A_FOOD_ANIMALVITAMINS</t>
  </si>
  <si>
    <t>peplum</t>
  </si>
  <si>
    <t>Austria</t>
  </si>
  <si>
    <t>ColorName</t>
  </si>
  <si>
    <t>zinc_carbon</t>
  </si>
  <si>
    <t>verde</t>
  </si>
  <si>
    <t>38</t>
  </si>
  <si>
    <t>Polacco</t>
  </si>
  <si>
    <t>31</t>
  </si>
  <si>
    <t>LR44</t>
  </si>
  <si>
    <t>velluto</t>
  </si>
  <si>
    <t>PGA</t>
  </si>
  <si>
    <t>Tulu</t>
  </si>
  <si>
    <t>cubic_centimeters</t>
  </si>
  <si>
    <t>A_FOOD_CAKEDECOR</t>
  </si>
  <si>
    <t>scamiciato</t>
  </si>
  <si>
    <t>Azerbaijan</t>
  </si>
  <si>
    <t>mercury_oxide</t>
  </si>
  <si>
    <t>viola</t>
  </si>
  <si>
    <t>40</t>
  </si>
  <si>
    <t>Rumeno</t>
  </si>
  <si>
    <t>32</t>
  </si>
  <si>
    <t>Batteria 12V</t>
  </si>
  <si>
    <t>velluto a coste</t>
  </si>
  <si>
    <t>Calcio inglese</t>
  </si>
  <si>
    <t>Kumaoni</t>
  </si>
  <si>
    <t>deciliters</t>
  </si>
  <si>
    <t>A_FOOD_CANFRUIT</t>
  </si>
  <si>
    <t>senza spalline</t>
  </si>
  <si>
    <t>Bahamas</t>
  </si>
  <si>
    <t>sealed lead acid</t>
  </si>
  <si>
    <t>42</t>
  </si>
  <si>
    <t>Francese</t>
  </si>
  <si>
    <t>33</t>
  </si>
  <si>
    <t>Batteria 9V</t>
  </si>
  <si>
    <t>latex</t>
  </si>
  <si>
    <t>NCAA</t>
  </si>
  <si>
    <t>Haryanvi</t>
  </si>
  <si>
    <t>A_FOOD_CEREALBARS</t>
  </si>
  <si>
    <t>skater</t>
  </si>
  <si>
    <t>Bahrain</t>
  </si>
  <si>
    <t>NiMh</t>
  </si>
  <si>
    <t>44</t>
  </si>
  <si>
    <t>Ceco</t>
  </si>
  <si>
    <t>vernice</t>
  </si>
  <si>
    <t>Campionato di calcio giapponese</t>
  </si>
  <si>
    <t>PortugueseBrazilian</t>
  </si>
  <si>
    <t>A_FOOD_CEREALCHOCBARS</t>
  </si>
  <si>
    <t>stile impero</t>
  </si>
  <si>
    <t>Bangladesh</t>
  </si>
  <si>
    <t>alkaline</t>
  </si>
  <si>
    <t>46</t>
  </si>
  <si>
    <t>Lettone</t>
  </si>
  <si>
    <t>35</t>
  </si>
  <si>
    <t>E-Sports (sport elettronici)</t>
  </si>
  <si>
    <t>OldIrish</t>
  </si>
  <si>
    <t>A_FOOD_CHOCEREAL</t>
  </si>
  <si>
    <t>tubino</t>
  </si>
  <si>
    <t>Barbados</t>
  </si>
  <si>
    <t>lithium_polymer</t>
  </si>
  <si>
    <t>48</t>
  </si>
  <si>
    <t>NWSL</t>
  </si>
  <si>
    <t>Egiziano</t>
  </si>
  <si>
    <t>A_FOOD_CNDY</t>
  </si>
  <si>
    <t>Belgio</t>
  </si>
  <si>
    <t>NiCAD</t>
  </si>
  <si>
    <t>50</t>
  </si>
  <si>
    <t>37</t>
  </si>
  <si>
    <t>I-League</t>
  </si>
  <si>
    <t>Masai</t>
  </si>
  <si>
    <t>A_FOOD_COFFEE</t>
  </si>
  <si>
    <t>Belize</t>
  </si>
  <si>
    <t>silver oxide</t>
  </si>
  <si>
    <t>52</t>
  </si>
  <si>
    <t>Lega europea di pallacanestro</t>
  </si>
  <si>
    <t>Kongo</t>
  </si>
  <si>
    <t>A_FOOD_DAIRY</t>
  </si>
  <si>
    <t>Benin</t>
  </si>
  <si>
    <t>lithium manganese dioxide</t>
  </si>
  <si>
    <t>54</t>
  </si>
  <si>
    <t>39</t>
  </si>
  <si>
    <t>NHL</t>
  </si>
  <si>
    <t>Rarotongan</t>
  </si>
  <si>
    <t>A_FOOD_DESSERT</t>
  </si>
  <si>
    <t>Bermuda</t>
  </si>
  <si>
    <t>lead_calcium</t>
  </si>
  <si>
    <t>56</t>
  </si>
  <si>
    <t>UFC</t>
  </si>
  <si>
    <t>Siksika</t>
  </si>
  <si>
    <t>A_FOOD_DRIEDFRUIT</t>
  </si>
  <si>
    <t>BES Islands</t>
  </si>
  <si>
    <t>lithium metal</t>
  </si>
  <si>
    <t>58</t>
  </si>
  <si>
    <t>41</t>
  </si>
  <si>
    <t>Formula 1</t>
  </si>
  <si>
    <t>Pampanga</t>
  </si>
  <si>
    <t>A_FOOD_FLOUR</t>
  </si>
  <si>
    <t>Bhutan</t>
  </si>
  <si>
    <t>polymer</t>
  </si>
  <si>
    <t>62</t>
  </si>
  <si>
    <t>Minor League Baseball</t>
  </si>
  <si>
    <t>NorthernFrisian</t>
  </si>
  <si>
    <t>A_FOOD_GEN</t>
  </si>
  <si>
    <t>Bielorussia</t>
  </si>
  <si>
    <t>aluminum oxygen</t>
  </si>
  <si>
    <t>68</t>
  </si>
  <si>
    <t>43</t>
  </si>
  <si>
    <t>Campionato di basket giapponese</t>
  </si>
  <si>
    <t>DravidianLanguages</t>
  </si>
  <si>
    <t>A_FOOD_MEATCHICKEN</t>
  </si>
  <si>
    <t>Birmania (Myanmar)</t>
  </si>
  <si>
    <t>lead acid</t>
  </si>
  <si>
    <t>74</t>
  </si>
  <si>
    <t>Campionato di calcio scozzese</t>
  </si>
  <si>
    <t>Lezghian</t>
  </si>
  <si>
    <t>A_FOOD_MISCBEVERAGE</t>
  </si>
  <si>
    <t>Bolivia</t>
  </si>
  <si>
    <t>zinc</t>
  </si>
  <si>
    <t>80</t>
  </si>
  <si>
    <t>45</t>
  </si>
  <si>
    <t>NASCAR</t>
  </si>
  <si>
    <t>CaucasianLanguages</t>
  </si>
  <si>
    <t>A_FOOD_NAAN</t>
  </si>
  <si>
    <t>Bosnia-Erzegovina</t>
  </si>
  <si>
    <t>manganese</t>
  </si>
  <si>
    <t>86</t>
  </si>
  <si>
    <t>HiriMotu</t>
  </si>
  <si>
    <t>A_FOOD_NCARBWTR</t>
  </si>
  <si>
    <t>Botswana</t>
  </si>
  <si>
    <t>lithium_ion</t>
  </si>
  <si>
    <t>92</t>
  </si>
  <si>
    <t>47</t>
  </si>
  <si>
    <t>Pro Kabaddi League</t>
  </si>
  <si>
    <t>Tuvalu</t>
  </si>
  <si>
    <t>A_FOOD_OIL</t>
  </si>
  <si>
    <t>Brasile</t>
  </si>
  <si>
    <t>98</t>
  </si>
  <si>
    <t>Campionato di baseball giapponese</t>
  </si>
  <si>
    <t>SonghaiLanguages</t>
  </si>
  <si>
    <t>A_FOOD_PASTANOODLE</t>
  </si>
  <si>
    <t>Brunei</t>
  </si>
  <si>
    <t>104</t>
  </si>
  <si>
    <t>49</t>
  </si>
  <si>
    <t>WWE</t>
  </si>
  <si>
    <t>CelticLanguages</t>
  </si>
  <si>
    <t>A_FOOD_PASTRYCASE</t>
  </si>
  <si>
    <t>Bulgaria</t>
  </si>
  <si>
    <t>110</t>
  </si>
  <si>
    <t>Canadian Football League</t>
  </si>
  <si>
    <t>UpperSorbian</t>
  </si>
  <si>
    <t>A_FOOD_PETFOOD</t>
  </si>
  <si>
    <t>Burkina Faso</t>
  </si>
  <si>
    <t>116</t>
  </si>
  <si>
    <t>51</t>
  </si>
  <si>
    <t>X-Games</t>
  </si>
  <si>
    <t>Manciù</t>
  </si>
  <si>
    <t>A_FOOD_PLAINBISCUIT</t>
  </si>
  <si>
    <t>Burundi</t>
  </si>
  <si>
    <t>122</t>
  </si>
  <si>
    <t>Premier Badminton League</t>
  </si>
  <si>
    <t>PapuanLanguages</t>
  </si>
  <si>
    <t>A_FOOD_PLAINCRACKER</t>
  </si>
  <si>
    <t>Cambogia</t>
  </si>
  <si>
    <t>128</t>
  </si>
  <si>
    <t>National Lacrosse League</t>
  </si>
  <si>
    <t>NiloSaharanLanguages</t>
  </si>
  <si>
    <t>A_FOOD_PLAINNUT</t>
  </si>
  <si>
    <t>Camerun</t>
  </si>
  <si>
    <t>134</t>
  </si>
  <si>
    <t>Calcio italiano</t>
  </si>
  <si>
    <t>KarenLanguages</t>
  </si>
  <si>
    <t>A_FOOD_RICE</t>
  </si>
  <si>
    <t>Canada</t>
  </si>
  <si>
    <t>140</t>
  </si>
  <si>
    <t>World Baseball Classic</t>
  </si>
  <si>
    <t>Ittita</t>
  </si>
  <si>
    <t>A_FOOD_SEASONINGS</t>
  </si>
  <si>
    <t>Capo Verde</t>
  </si>
  <si>
    <t>146</t>
  </si>
  <si>
    <t>60</t>
  </si>
  <si>
    <t>Calcio francese</t>
  </si>
  <si>
    <t>MundaLanguages</t>
  </si>
  <si>
    <t>A_FOOD_SNACK</t>
  </si>
  <si>
    <t>Chad</t>
  </si>
  <si>
    <t>152</t>
  </si>
  <si>
    <t>Altre squadre di calcio</t>
  </si>
  <si>
    <t>Fulah</t>
  </si>
  <si>
    <t>A_FOOD_SODAJUICE</t>
  </si>
  <si>
    <t>Chile</t>
  </si>
  <si>
    <t>158</t>
  </si>
  <si>
    <t>64</t>
  </si>
  <si>
    <t>Campionato di calcio portoghese</t>
  </si>
  <si>
    <t>Lushai</t>
  </si>
  <si>
    <t>A_FOOD_SODAJUICEUNSWEET</t>
  </si>
  <si>
    <t>Cina</t>
  </si>
  <si>
    <t>164</t>
  </si>
  <si>
    <t>66</t>
  </si>
  <si>
    <t>Campionato di calcio olandese</t>
  </si>
  <si>
    <t>GalibiCarib</t>
  </si>
  <si>
    <t>A_FOOD_SPREAD</t>
  </si>
  <si>
    <t>Cipro</t>
  </si>
  <si>
    <t>170</t>
  </si>
  <si>
    <t>LPGA</t>
  </si>
  <si>
    <t>Niuean</t>
  </si>
  <si>
    <t>A_FOOD_SWEETNER</t>
  </si>
  <si>
    <t>Cocos (Keeling)</t>
  </si>
  <si>
    <t>176</t>
  </si>
  <si>
    <t>70</t>
  </si>
  <si>
    <t>Campionato di hockey indiano</t>
  </si>
  <si>
    <t>Ojibwa</t>
  </si>
  <si>
    <t>A_FOOD_TEA</t>
  </si>
  <si>
    <t>Colombia</t>
  </si>
  <si>
    <t>180</t>
  </si>
  <si>
    <t>72</t>
  </si>
  <si>
    <t>WNBA</t>
  </si>
  <si>
    <t>Beatitudine</t>
  </si>
  <si>
    <t>A_FOOD_VEGETABLE</t>
  </si>
  <si>
    <t>Comore</t>
  </si>
  <si>
    <t>JudeoArabic</t>
  </si>
  <si>
    <t>A_GEN_NOTAX</t>
  </si>
  <si>
    <t>Cook Islands</t>
  </si>
  <si>
    <t>76</t>
  </si>
  <si>
    <t>Komi</t>
  </si>
  <si>
    <t>A_GEN_STANDARD</t>
  </si>
  <si>
    <t>Corea del Nord</t>
  </si>
  <si>
    <t>BandaLanguages</t>
  </si>
  <si>
    <t>A_HLTH_NUTRITIONBAR</t>
  </si>
  <si>
    <t>Corea del Sud</t>
  </si>
  <si>
    <t>Caddo</t>
  </si>
  <si>
    <t>A_HLTH_NUTRITIONDRINK</t>
  </si>
  <si>
    <t>Costa d'Avorio</t>
  </si>
  <si>
    <t>Karakalpak</t>
  </si>
  <si>
    <t>A_HLTH_PILLCAPSULETABLET</t>
  </si>
  <si>
    <t>Costarica</t>
  </si>
  <si>
    <t>Sukuma</t>
  </si>
  <si>
    <t>A_HLTH_SMOKINGCESSATION</t>
  </si>
  <si>
    <t>Croazia</t>
  </si>
  <si>
    <t>Tokelau</t>
  </si>
  <si>
    <t>A_HLTH_SMOKINGGUM</t>
  </si>
  <si>
    <t>Cuba</t>
  </si>
  <si>
    <t>Kimbundu</t>
  </si>
  <si>
    <t>A_HLTH_VITAMINS</t>
  </si>
  <si>
    <t>CuraCao</t>
  </si>
  <si>
    <t>Mapudungun</t>
  </si>
  <si>
    <t>A_HPC_CONTACTLENSES</t>
  </si>
  <si>
    <t>Danimarca</t>
  </si>
  <si>
    <t>120</t>
  </si>
  <si>
    <t>Erzya</t>
  </si>
  <si>
    <t>A_HPC_CONTRACEPTIVE</t>
  </si>
  <si>
    <t>Dominica</t>
  </si>
  <si>
    <t>Basa</t>
  </si>
  <si>
    <t>A_HPC_CORRECTIVEGLASSES</t>
  </si>
  <si>
    <t>East Timor</t>
  </si>
  <si>
    <t>Nyoro</t>
  </si>
  <si>
    <t>A_HPC_DIETARYSUPPL</t>
  </si>
  <si>
    <t>Ecuador</t>
  </si>
  <si>
    <t>130</t>
  </si>
  <si>
    <t>IroquoianLanguages</t>
  </si>
  <si>
    <t>A_HPC_INCONTINENCE</t>
  </si>
  <si>
    <t>Egitto</t>
  </si>
  <si>
    <t>SouthNdebele</t>
  </si>
  <si>
    <t>A_HPC_MEDICINE</t>
  </si>
  <si>
    <t>El Salvador</t>
  </si>
  <si>
    <t>Beja</t>
  </si>
  <si>
    <t>A_HPC_SANITARYPRODUCTS</t>
  </si>
  <si>
    <t>Emirati Arabi Uniti</t>
  </si>
  <si>
    <t>Dakota</t>
  </si>
  <si>
    <t>A_HPC_WALKINGSTICK</t>
  </si>
  <si>
    <t>Eritrea</t>
  </si>
  <si>
    <t>150</t>
  </si>
  <si>
    <t>Tigre</t>
  </si>
  <si>
    <t>A_OUTDOOR_FERTILIZER</t>
  </si>
  <si>
    <t>Estonia</t>
  </si>
  <si>
    <t>ManoboLanguages</t>
  </si>
  <si>
    <t>A_OUTDOOR_LAWNCONTROL</t>
  </si>
  <si>
    <t>Etiopia</t>
  </si>
  <si>
    <t>Sandawe</t>
  </si>
  <si>
    <t>A_OUTDOOR_PLANTFOOD</t>
  </si>
  <si>
    <t>Fiji</t>
  </si>
  <si>
    <t>160</t>
  </si>
  <si>
    <t>Magahi</t>
  </si>
  <si>
    <t>A_OUTDOOR_PLANTS</t>
  </si>
  <si>
    <t>Filippine</t>
  </si>
  <si>
    <t>AthapascanLanguages</t>
  </si>
  <si>
    <t>A_OUTDOOR_SEEDS</t>
  </si>
  <si>
    <t>Finlandia</t>
  </si>
  <si>
    <t>InariSami</t>
  </si>
  <si>
    <t>Francia</t>
  </si>
  <si>
    <t>AltaicLanguages</t>
  </si>
  <si>
    <t>Gabon</t>
  </si>
  <si>
    <t>182</t>
  </si>
  <si>
    <t>Hupa</t>
  </si>
  <si>
    <t>Gambia</t>
  </si>
  <si>
    <t>188</t>
  </si>
  <si>
    <t>Haida</t>
  </si>
  <si>
    <t>Georgia</t>
  </si>
  <si>
    <t>WakashanLanguages</t>
  </si>
  <si>
    <t>Germania</t>
  </si>
  <si>
    <t>6XS</t>
  </si>
  <si>
    <t>Votic</t>
  </si>
  <si>
    <t>Ghana</t>
  </si>
  <si>
    <t>5XS</t>
  </si>
  <si>
    <t>Haiti</t>
  </si>
  <si>
    <t>Giamaica</t>
  </si>
  <si>
    <t>4XS</t>
  </si>
  <si>
    <t>OldSlavonic</t>
  </si>
  <si>
    <t>Giappone</t>
  </si>
  <si>
    <t>3XS</t>
  </si>
  <si>
    <t>Grebo</t>
  </si>
  <si>
    <t>Gibilterra</t>
  </si>
  <si>
    <t>XXS</t>
  </si>
  <si>
    <t>FrenchCreole</t>
  </si>
  <si>
    <t>Gibuti</t>
  </si>
  <si>
    <t>XS</t>
  </si>
  <si>
    <t>Napoletano</t>
  </si>
  <si>
    <t>Giordania</t>
  </si>
  <si>
    <t>S</t>
  </si>
  <si>
    <t>Mari</t>
  </si>
  <si>
    <t>Gran Bretagna</t>
  </si>
  <si>
    <t>Gondi</t>
  </si>
  <si>
    <t>Grecia</t>
  </si>
  <si>
    <t>L</t>
  </si>
  <si>
    <t>OldPersian</t>
  </si>
  <si>
    <t>Grenada</t>
  </si>
  <si>
    <t>XL</t>
  </si>
  <si>
    <t>BamilekeLanguages</t>
  </si>
  <si>
    <t>Groenlandia</t>
  </si>
  <si>
    <t>XXL</t>
  </si>
  <si>
    <t>Manx</t>
  </si>
  <si>
    <t>Guadeloupe</t>
  </si>
  <si>
    <t>3XL</t>
  </si>
  <si>
    <t>Kanuri</t>
  </si>
  <si>
    <t>Guam</t>
  </si>
  <si>
    <t>4XL</t>
  </si>
  <si>
    <t>Sasak</t>
  </si>
  <si>
    <t>Guatemala</t>
  </si>
  <si>
    <t>5XL</t>
  </si>
  <si>
    <t>Zaza</t>
  </si>
  <si>
    <t>Guinea</t>
  </si>
  <si>
    <t>6XL</t>
  </si>
  <si>
    <t>OldHighGerman</t>
  </si>
  <si>
    <t>Guinea equatoriale</t>
  </si>
  <si>
    <t>7XL</t>
  </si>
  <si>
    <t>Vai</t>
  </si>
  <si>
    <t>Guinea-Bissau</t>
  </si>
  <si>
    <t>8XL</t>
  </si>
  <si>
    <t>Tsimshian</t>
  </si>
  <si>
    <t>Guyana</t>
  </si>
  <si>
    <t>9XL</t>
  </si>
  <si>
    <t>Gbaya</t>
  </si>
  <si>
    <t>Guyana Francese</t>
  </si>
  <si>
    <t>10XL</t>
  </si>
  <si>
    <t>Venda</t>
  </si>
  <si>
    <t>11XL</t>
  </si>
  <si>
    <t>Nyamwezi</t>
  </si>
  <si>
    <t>Heard e Isole McDonald</t>
  </si>
  <si>
    <t>12XL</t>
  </si>
  <si>
    <t>Efik</t>
  </si>
  <si>
    <t>Honduras</t>
  </si>
  <si>
    <t>13XL</t>
  </si>
  <si>
    <t>N'ko</t>
  </si>
  <si>
    <t>Hong Kong</t>
  </si>
  <si>
    <t>14XL</t>
  </si>
  <si>
    <t>Gayo</t>
  </si>
  <si>
    <t>India</t>
  </si>
  <si>
    <t>15XL</t>
  </si>
  <si>
    <t>Papiamento</t>
  </si>
  <si>
    <t>Indonesia</t>
  </si>
  <si>
    <t>16XL</t>
  </si>
  <si>
    <t>Serer</t>
  </si>
  <si>
    <t>Iran</t>
  </si>
  <si>
    <t>17XL</t>
  </si>
  <si>
    <t>Nzima</t>
  </si>
  <si>
    <t>Iraq</t>
  </si>
  <si>
    <t>18XL</t>
  </si>
  <si>
    <t>Adangme</t>
  </si>
  <si>
    <t>Irlanda</t>
  </si>
  <si>
    <t>Prematuro</t>
  </si>
  <si>
    <t>Aragonese</t>
  </si>
  <si>
    <t>Islanda</t>
  </si>
  <si>
    <t>0 mesi</t>
  </si>
  <si>
    <t>NigerKordofanianLanguages</t>
  </si>
  <si>
    <t>Isle of Man</t>
  </si>
  <si>
    <t>3 mesi</t>
  </si>
  <si>
    <t>MiddleIrish</t>
  </si>
  <si>
    <t>Isola Bouvet</t>
  </si>
  <si>
    <t>6 mesi</t>
  </si>
  <si>
    <t>Soninke</t>
  </si>
  <si>
    <t>Isola di Ascensione</t>
  </si>
  <si>
    <t>9 mesi</t>
  </si>
  <si>
    <t>Rapanui</t>
  </si>
  <si>
    <t>Isola di Natale</t>
  </si>
  <si>
    <t>12 mesi</t>
  </si>
  <si>
    <t>Tlingit</t>
  </si>
  <si>
    <t>Isole Canarie</t>
  </si>
  <si>
    <t>18 mesi</t>
  </si>
  <si>
    <t>Kachin</t>
  </si>
  <si>
    <t>Isole Cayman</t>
  </si>
  <si>
    <t>24 mesi</t>
  </si>
  <si>
    <t>AlgonquianLanguages</t>
  </si>
  <si>
    <t>Isole Fær Øer</t>
  </si>
  <si>
    <t>1 anno</t>
  </si>
  <si>
    <t>Chuvash</t>
  </si>
  <si>
    <t>Isole Falkland</t>
  </si>
  <si>
    <t>2 anni</t>
  </si>
  <si>
    <t>Fon</t>
  </si>
  <si>
    <t>Isole Marshall</t>
  </si>
  <si>
    <t>3 anni</t>
  </si>
  <si>
    <t>Kamba</t>
  </si>
  <si>
    <t>Isole Pitcairn</t>
  </si>
  <si>
    <t>4 anni</t>
  </si>
  <si>
    <t>CushiticLanguages</t>
  </si>
  <si>
    <t>Isole Salomone</t>
  </si>
  <si>
    <t>5 anni</t>
  </si>
  <si>
    <t>Nias</t>
  </si>
  <si>
    <t>Isole Vergini Americane</t>
  </si>
  <si>
    <t>6 anni</t>
  </si>
  <si>
    <t>SouthernSami</t>
  </si>
  <si>
    <t>Isole Vergini Britanniche</t>
  </si>
  <si>
    <t>7 anni</t>
  </si>
  <si>
    <t>Pecora</t>
  </si>
  <si>
    <t>Israele</t>
  </si>
  <si>
    <t>8 anni</t>
  </si>
  <si>
    <t>Choctaw</t>
  </si>
  <si>
    <t>Italia</t>
  </si>
  <si>
    <t>9 anni</t>
  </si>
  <si>
    <t>Lussemburghese</t>
  </si>
  <si>
    <t>Iugoslavia</t>
  </si>
  <si>
    <t>10 anni</t>
  </si>
  <si>
    <t>ArtificialLanguages</t>
  </si>
  <si>
    <t>Kazakhstan</t>
  </si>
  <si>
    <t>11 anni</t>
  </si>
  <si>
    <t>Zanna</t>
  </si>
  <si>
    <t>Kenia</t>
  </si>
  <si>
    <t>12 anni</t>
  </si>
  <si>
    <t>Gilbertese</t>
  </si>
  <si>
    <t>Kirghizistan</t>
  </si>
  <si>
    <t>13 anni</t>
  </si>
  <si>
    <t>Achinese</t>
  </si>
  <si>
    <t>Kiribati</t>
  </si>
  <si>
    <t>14 anni</t>
  </si>
  <si>
    <t>Arapaho</t>
  </si>
  <si>
    <t>Kuwait</t>
  </si>
  <si>
    <t>15 anni</t>
  </si>
  <si>
    <t>Yapese</t>
  </si>
  <si>
    <t>Laos</t>
  </si>
  <si>
    <t>16 anni</t>
  </si>
  <si>
    <t>Pahlavi</t>
  </si>
  <si>
    <t>Lesoto</t>
  </si>
  <si>
    <t>17 anni</t>
  </si>
  <si>
    <t>Elamita</t>
  </si>
  <si>
    <t>Lettonia</t>
  </si>
  <si>
    <t>18 anni</t>
  </si>
  <si>
    <t>AfroAsiaticLanguages</t>
  </si>
  <si>
    <t>Libano</t>
  </si>
  <si>
    <t>Sardo</t>
  </si>
  <si>
    <t>Liberia</t>
  </si>
  <si>
    <t>Chichewa</t>
  </si>
  <si>
    <t>Libia</t>
  </si>
  <si>
    <t>Kabyle</t>
  </si>
  <si>
    <t>Liechtenstein</t>
  </si>
  <si>
    <t>Mandingo</t>
  </si>
  <si>
    <t>Lituania</t>
  </si>
  <si>
    <t>Angika</t>
  </si>
  <si>
    <t>Lussemburgo</t>
  </si>
  <si>
    <t>Aromanian</t>
  </si>
  <si>
    <t>Macau</t>
  </si>
  <si>
    <t>Kumyk</t>
  </si>
  <si>
    <t>Macedonia del Nord</t>
  </si>
  <si>
    <t>Bini</t>
  </si>
  <si>
    <t>Madagascar</t>
  </si>
  <si>
    <t>LubaKatanga</t>
  </si>
  <si>
    <t>Maglia</t>
  </si>
  <si>
    <t>OldProvencal</t>
  </si>
  <si>
    <t>Maglione</t>
  </si>
  <si>
    <t>TupiLanguages</t>
  </si>
  <si>
    <t>Malawi</t>
  </si>
  <si>
    <t>Pangasinan</t>
  </si>
  <si>
    <t>Malaysia</t>
  </si>
  <si>
    <t>Gwichin</t>
  </si>
  <si>
    <t>Maldive</t>
  </si>
  <si>
    <t>Lamba</t>
  </si>
  <si>
    <t>Mali</t>
  </si>
  <si>
    <t>NepalBhasa</t>
  </si>
  <si>
    <t>Malta</t>
  </si>
  <si>
    <t>Tiv</t>
  </si>
  <si>
    <t>Marocco</t>
  </si>
  <si>
    <t>Pedi</t>
  </si>
  <si>
    <t>Martinique</t>
  </si>
  <si>
    <t>Cree</t>
  </si>
  <si>
    <t>Mauritania</t>
  </si>
  <si>
    <t>Kutenai</t>
  </si>
  <si>
    <t>Mauritius</t>
  </si>
  <si>
    <t>Gorontalo</t>
  </si>
  <si>
    <t>Mayotte</t>
  </si>
  <si>
    <t>PhilippineLanguages</t>
  </si>
  <si>
    <t>Messico</t>
  </si>
  <si>
    <t>Luiseno</t>
  </si>
  <si>
    <t>Micronesia</t>
  </si>
  <si>
    <t>OldNorse</t>
  </si>
  <si>
    <t>Moldova</t>
  </si>
  <si>
    <t>LubaLulua</t>
  </si>
  <si>
    <t>Monaco</t>
  </si>
  <si>
    <t>Carelia</t>
  </si>
  <si>
    <t>Mongolia</t>
  </si>
  <si>
    <t>Tereno</t>
  </si>
  <si>
    <t>Montenegro</t>
  </si>
  <si>
    <t>Ewondo</t>
  </si>
  <si>
    <t>Montserrat</t>
  </si>
  <si>
    <t>Mandar</t>
  </si>
  <si>
    <t>Mozambico</t>
  </si>
  <si>
    <t>LandDayakLanguages</t>
  </si>
  <si>
    <t>Namibia</t>
  </si>
  <si>
    <t>Pohnpeian</t>
  </si>
  <si>
    <t>Nauru</t>
  </si>
  <si>
    <t>Duala</t>
  </si>
  <si>
    <t>Nepal</t>
  </si>
  <si>
    <t>IranianLanguages</t>
  </si>
  <si>
    <t>Nicaragua</t>
  </si>
  <si>
    <t>Zenaga</t>
  </si>
  <si>
    <t>Niger</t>
  </si>
  <si>
    <t>SiouanLanguages</t>
  </si>
  <si>
    <t>Nigeria</t>
  </si>
  <si>
    <t>Umbundu</t>
  </si>
  <si>
    <t>Niue</t>
  </si>
  <si>
    <t>Yao</t>
  </si>
  <si>
    <t>Norfolk Island</t>
  </si>
  <si>
    <t>TaiLanguages</t>
  </si>
  <si>
    <t>Northern Mariana Islands</t>
  </si>
  <si>
    <t>Blin</t>
  </si>
  <si>
    <t>Norvegia</t>
  </si>
  <si>
    <t>Fenicio</t>
  </si>
  <si>
    <t>Nuova Caledonia</t>
  </si>
  <si>
    <t>EasternFrisian</t>
  </si>
  <si>
    <t>Nuova Zelanda</t>
  </si>
  <si>
    <t>TokPisin</t>
  </si>
  <si>
    <t>Oman</t>
  </si>
  <si>
    <t>Sogdian</t>
  </si>
  <si>
    <t>Paesi Bassi</t>
  </si>
  <si>
    <t>Chipewyan</t>
  </si>
  <si>
    <t>Pakistan</t>
  </si>
  <si>
    <t>Bugi</t>
  </si>
  <si>
    <t>Palau</t>
  </si>
  <si>
    <t>PrakritLanguages</t>
  </si>
  <si>
    <t>Panama</t>
  </si>
  <si>
    <t>Ugaritico</t>
  </si>
  <si>
    <t>Papua Nuova Guinea</t>
  </si>
  <si>
    <t>Palauan</t>
  </si>
  <si>
    <t>Paraguay</t>
  </si>
  <si>
    <t>Lozi</t>
  </si>
  <si>
    <t>Perù</t>
  </si>
  <si>
    <t>Osseto</t>
  </si>
  <si>
    <t>Polinesia Francese</t>
  </si>
  <si>
    <t>IjoLanguages</t>
  </si>
  <si>
    <t>Polonia</t>
  </si>
  <si>
    <t>Aleut</t>
  </si>
  <si>
    <t>Portogallo</t>
  </si>
  <si>
    <t>Mossi</t>
  </si>
  <si>
    <t>Puerto Rico</t>
  </si>
  <si>
    <t>Dhivehi</t>
  </si>
  <si>
    <t>Qatar</t>
  </si>
  <si>
    <t>Kosraean</t>
  </si>
  <si>
    <t>Repubblica Ceca</t>
  </si>
  <si>
    <t>Kpelle</t>
  </si>
  <si>
    <t>Repubblica Centrafricana</t>
  </si>
  <si>
    <t>Fanti</t>
  </si>
  <si>
    <t>Repubblica del Congo</t>
  </si>
  <si>
    <t>LowGerman</t>
  </si>
  <si>
    <t>Repubblica Democratica del Congo</t>
  </si>
  <si>
    <t>Kawi</t>
  </si>
  <si>
    <t>Repubblica Dominicana</t>
  </si>
  <si>
    <t>SrananTongo</t>
  </si>
  <si>
    <t>Riunione</t>
  </si>
  <si>
    <t>Lahnda</t>
  </si>
  <si>
    <t>Romania</t>
  </si>
  <si>
    <t>NorthernSami</t>
  </si>
  <si>
    <t>Ruanda</t>
  </si>
  <si>
    <t>Afrihili</t>
  </si>
  <si>
    <t>Russia</t>
  </si>
  <si>
    <t>Asturiana</t>
  </si>
  <si>
    <t>S. Georgia e S. Sandwich ISL.</t>
  </si>
  <si>
    <t>Cebuano</t>
  </si>
  <si>
    <t>Sahara occidentale</t>
  </si>
  <si>
    <t>Nyankole</t>
  </si>
  <si>
    <t>Saint Barthelemy</t>
  </si>
  <si>
    <t>Tamashek</t>
  </si>
  <si>
    <t>Saint Helena</t>
  </si>
  <si>
    <t>Ekajuk</t>
  </si>
  <si>
    <t>Saint Kitts e Nevis</t>
  </si>
  <si>
    <t>OtomianLanguages</t>
  </si>
  <si>
    <t>Saint Martin (French Part)</t>
  </si>
  <si>
    <t>Maduresi</t>
  </si>
  <si>
    <t>Saint Vincent e Grenadine</t>
  </si>
  <si>
    <t>Bemba</t>
  </si>
  <si>
    <t>Saint-Martin</t>
  </si>
  <si>
    <t>Sidamo</t>
  </si>
  <si>
    <t>Saint-Pierre e Miquelon</t>
  </si>
  <si>
    <t>Cabardino</t>
  </si>
  <si>
    <t>Samoa</t>
  </si>
  <si>
    <t>Osage</t>
  </si>
  <si>
    <t>San Marino</t>
  </si>
  <si>
    <t>Vallone</t>
  </si>
  <si>
    <t>Santa Lucia</t>
  </si>
  <si>
    <t>Walamo</t>
  </si>
  <si>
    <t>Santa Sede (Città del Vaticano)</t>
  </si>
  <si>
    <t>YupikLanguages</t>
  </si>
  <si>
    <t>Sao Tome e Principe</t>
  </si>
  <si>
    <t>Minangkabau</t>
  </si>
  <si>
    <t>Senegal</t>
  </si>
  <si>
    <t>CentralAmericanIndianLanguages</t>
  </si>
  <si>
    <t>Serbia</t>
  </si>
  <si>
    <t>SalishanLanguages</t>
  </si>
  <si>
    <t>Serbia e Montenegro</t>
  </si>
  <si>
    <t>PortugueseCreole</t>
  </si>
  <si>
    <t>Seychelles</t>
  </si>
  <si>
    <t>Friulana</t>
  </si>
  <si>
    <t>Sierra Leone</t>
  </si>
  <si>
    <t>Washo</t>
  </si>
  <si>
    <t>Singapore</t>
  </si>
  <si>
    <t>Micmac</t>
  </si>
  <si>
    <t>Siria</t>
  </si>
  <si>
    <t>Chamorro</t>
  </si>
  <si>
    <t>Slovacchia</t>
  </si>
  <si>
    <t>Accadico</t>
  </si>
  <si>
    <t>Slovenia</t>
  </si>
  <si>
    <t>Avestan</t>
  </si>
  <si>
    <t>Somalia</t>
  </si>
  <si>
    <t>Dogrib</t>
  </si>
  <si>
    <t>South Sudan</t>
  </si>
  <si>
    <t>ClassicalSyriac</t>
  </si>
  <si>
    <t>Spagna</t>
  </si>
  <si>
    <t>Chibcha</t>
  </si>
  <si>
    <t>Sri Lanka</t>
  </si>
  <si>
    <t>Tumbuka</t>
  </si>
  <si>
    <t>Stati Uniti</t>
  </si>
  <si>
    <t>Kurukh</t>
  </si>
  <si>
    <t>Stati Uniti Isole Minori</t>
  </si>
  <si>
    <t>JudeoPersian</t>
  </si>
  <si>
    <t>Sudafrica</t>
  </si>
  <si>
    <t>Baluchi</t>
  </si>
  <si>
    <t>Sudan</t>
  </si>
  <si>
    <t>TongaNyasa</t>
  </si>
  <si>
    <t>Suriname</t>
  </si>
  <si>
    <t>MiddleDutch</t>
  </si>
  <si>
    <t>Svalbard</t>
  </si>
  <si>
    <t>Avaro</t>
  </si>
  <si>
    <t>Svezia</t>
  </si>
  <si>
    <t>BalticLanguages</t>
  </si>
  <si>
    <t>Svizzera</t>
  </si>
  <si>
    <t>Hiligaynon</t>
  </si>
  <si>
    <t>Swaziland</t>
  </si>
  <si>
    <t>Gotico</t>
  </si>
  <si>
    <t>Tagikistan</t>
  </si>
  <si>
    <t>Selkup</t>
  </si>
  <si>
    <t>Taiwan</t>
  </si>
  <si>
    <t>Delaware</t>
  </si>
  <si>
    <t>Tanzania</t>
  </si>
  <si>
    <t>SkoltSami</t>
  </si>
  <si>
    <t>Territori Francesi del Sud</t>
  </si>
  <si>
    <t>LuleSami</t>
  </si>
  <si>
    <t>Territori palestinesi</t>
  </si>
  <si>
    <t>Cherokee</t>
  </si>
  <si>
    <t>Territorio britannico dell'Oceano Indiano</t>
  </si>
  <si>
    <t>Herero</t>
  </si>
  <si>
    <t>Thailandia</t>
  </si>
  <si>
    <t>NorwegianBokmal</t>
  </si>
  <si>
    <t>Timor-Leste</t>
  </si>
  <si>
    <t>Timne</t>
  </si>
  <si>
    <t>Togo</t>
  </si>
  <si>
    <t>Ga</t>
  </si>
  <si>
    <t>NorwegianNynorsk</t>
  </si>
  <si>
    <t>Tonga</t>
  </si>
  <si>
    <t>SlaveAthapascan</t>
  </si>
  <si>
    <t>Trinidad E Tobago</t>
  </si>
  <si>
    <t>Arawak</t>
  </si>
  <si>
    <t>Tristan da Cunha</t>
  </si>
  <si>
    <t>HimachaliLanguages</t>
  </si>
  <si>
    <t>Tunisia</t>
  </si>
  <si>
    <t>Shan</t>
  </si>
  <si>
    <t>Turchia</t>
  </si>
  <si>
    <t>Bikol</t>
  </si>
  <si>
    <t>Turkmenistan</t>
  </si>
  <si>
    <t>ApacheLanguages</t>
  </si>
  <si>
    <t>Turks e Caicos</t>
  </si>
  <si>
    <t>SouthAmericanIndian</t>
  </si>
  <si>
    <t>Acoli</t>
  </si>
  <si>
    <t>Ucraina</t>
  </si>
  <si>
    <t>Limburgan</t>
  </si>
  <si>
    <t>Uganda</t>
  </si>
  <si>
    <t>Ainu</t>
  </si>
  <si>
    <t>Ungheria</t>
  </si>
  <si>
    <t>Zuni</t>
  </si>
  <si>
    <t>Uruguay</t>
  </si>
  <si>
    <t>Susu</t>
  </si>
  <si>
    <t>Uzbekistan</t>
  </si>
  <si>
    <t>NorthAmericanIndianLanguages</t>
  </si>
  <si>
    <t>Vanuatu</t>
  </si>
  <si>
    <t>Chuukese</t>
  </si>
  <si>
    <t>Venezuela</t>
  </si>
  <si>
    <t>Khotanese</t>
  </si>
  <si>
    <t>Vietnam</t>
  </si>
  <si>
    <t>AustralianLanguages</t>
  </si>
  <si>
    <t>Wallis e Futuna</t>
  </si>
  <si>
    <t>Tetum</t>
  </si>
  <si>
    <t>WD</t>
  </si>
  <si>
    <t>ChinookJargon</t>
  </si>
  <si>
    <t>WZ</t>
  </si>
  <si>
    <t>Iloko</t>
  </si>
  <si>
    <t>XB</t>
  </si>
  <si>
    <t>Akan</t>
  </si>
  <si>
    <t>XC</t>
  </si>
  <si>
    <t>ZandeLanguages</t>
  </si>
  <si>
    <t>XE</t>
  </si>
  <si>
    <t>Waray</t>
  </si>
  <si>
    <t>XK</t>
  </si>
  <si>
    <t>Zapotec</t>
  </si>
  <si>
    <t>XM</t>
  </si>
  <si>
    <t>Ganda</t>
  </si>
  <si>
    <t>XN</t>
  </si>
  <si>
    <t>Ido</t>
  </si>
  <si>
    <t>XY</t>
  </si>
  <si>
    <t>SemiticLanguages</t>
  </si>
  <si>
    <t>Yemen</t>
  </si>
  <si>
    <t>Iban</t>
  </si>
  <si>
    <t>Zaire</t>
  </si>
  <si>
    <t>MonKhmerLanguages</t>
  </si>
  <si>
    <t>Zambia</t>
  </si>
  <si>
    <t>KhoisanLanguages</t>
  </si>
  <si>
    <t>Zimbabwe</t>
  </si>
  <si>
    <t>Copto</t>
  </si>
  <si>
    <t>Paese sconosciuto</t>
  </si>
  <si>
    <t>SouthernAltai</t>
  </si>
  <si>
    <t>United Kingdom</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</si>
  <si>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</si>
  <si>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</si>
  <si>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</si>
  <si>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</si>
  <si>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</si>
  <si>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</si>
  <si>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</si>
  <si>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</si>
  <si>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</si>
  <si>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</si>
  <si>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</si>
  <si>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</si>
  <si>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</si>
  <si>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</si>
  <si>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</si>
  <si>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</si>
  <si>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</si>
  <si>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</si>
  <si>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</si>
  <si>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Nessuno</t>
  </si>
  <si>
    <t>AmericanSignLanguage</t>
  </si>
  <si>
    <t>Jugoslavo</t>
  </si>
  <si>
    <t>AfghanPashtu</t>
  </si>
  <si>
    <t>GaelicScots</t>
  </si>
  <si>
    <t>Pali</t>
  </si>
  <si>
    <t>Scozzese</t>
  </si>
  <si>
    <t>ScotsGaelic</t>
  </si>
  <si>
    <t>Bashkir</t>
  </si>
  <si>
    <t>Siciliano</t>
  </si>
  <si>
    <t>Groenlandese</t>
  </si>
  <si>
    <t>Buryat</t>
  </si>
  <si>
    <t>Cayuga</t>
  </si>
  <si>
    <t>Sundanese</t>
  </si>
  <si>
    <t>AncientGreek</t>
  </si>
  <si>
    <t>KarachayBalkar</t>
  </si>
  <si>
    <t>Amarico</t>
  </si>
  <si>
    <t>Kikuyu</t>
  </si>
  <si>
    <t>Uzbeko</t>
  </si>
  <si>
    <t>Punjabi</t>
  </si>
  <si>
    <t>Chiricahua</t>
  </si>
  <si>
    <t>Lojban</t>
  </si>
  <si>
    <t>Mirandese</t>
  </si>
  <si>
    <t>Bielorusso</t>
  </si>
  <si>
    <t>Lingala</t>
  </si>
  <si>
    <t>Xhosa</t>
  </si>
  <si>
    <t>Lontano</t>
  </si>
  <si>
    <t>Ceceno</t>
  </si>
  <si>
    <t>Zingaro</t>
  </si>
  <si>
    <t>Plurilingue</t>
  </si>
  <si>
    <t>Sesotho</t>
  </si>
  <si>
    <t>Kalmyk</t>
  </si>
  <si>
    <t>Bhutani</t>
  </si>
  <si>
    <t>Azero</t>
  </si>
  <si>
    <t>Mohawk</t>
  </si>
  <si>
    <t>Faroese</t>
  </si>
  <si>
    <t>Kirundi</t>
  </si>
  <si>
    <t>Vietnamita</t>
  </si>
  <si>
    <t>Zhuang</t>
  </si>
  <si>
    <t>Bantù</t>
  </si>
  <si>
    <t>Bhojpuri</t>
  </si>
  <si>
    <t>Oriya</t>
  </si>
  <si>
    <t>Albanese</t>
  </si>
  <si>
    <t>Indoeuropee</t>
  </si>
  <si>
    <t>Kannada</t>
  </si>
  <si>
    <t>Quechua</t>
  </si>
  <si>
    <t>Catalano</t>
  </si>
  <si>
    <t>Indic</t>
  </si>
  <si>
    <t>Siriaco</t>
  </si>
  <si>
    <t>Tamil</t>
  </si>
  <si>
    <t>Kinyarwanda</t>
  </si>
  <si>
    <t>Kalaallisut</t>
  </si>
  <si>
    <t>Arabo</t>
  </si>
  <si>
    <t>Giavanese</t>
  </si>
  <si>
    <t>Dari</t>
  </si>
  <si>
    <t>Esperanto</t>
  </si>
  <si>
    <t>SwissGerman</t>
  </si>
  <si>
    <t>Hausa</t>
  </si>
  <si>
    <t>CantoneseChinese</t>
  </si>
  <si>
    <t>Irlandese</t>
  </si>
  <si>
    <t>PigLatin</t>
  </si>
  <si>
    <t>Udmurt</t>
  </si>
  <si>
    <t>Hokkien</t>
  </si>
  <si>
    <t>Ciagatai</t>
  </si>
  <si>
    <t>Tatar</t>
  </si>
  <si>
    <t>Turco</t>
  </si>
  <si>
    <t>Birmano</t>
  </si>
  <si>
    <t>Russo</t>
  </si>
  <si>
    <t>Tahitiano</t>
  </si>
  <si>
    <t>Norvegese</t>
  </si>
  <si>
    <t>Singalese</t>
  </si>
  <si>
    <t>Croato</t>
  </si>
  <si>
    <t>OldEnglish</t>
  </si>
  <si>
    <t>FrenchCanadian</t>
  </si>
  <si>
    <t>Maori</t>
  </si>
  <si>
    <t>Romancio</t>
  </si>
  <si>
    <t>Kazako</t>
  </si>
  <si>
    <t>Maya</t>
  </si>
  <si>
    <t>Volapuk</t>
  </si>
  <si>
    <t>Moksha</t>
  </si>
  <si>
    <t>Kashmiri</t>
  </si>
  <si>
    <t>SignLanguage</t>
  </si>
  <si>
    <t>Persiano</t>
  </si>
  <si>
    <t>Filippino</t>
  </si>
  <si>
    <t>Malayalam</t>
  </si>
  <si>
    <t>Cambogiano</t>
  </si>
  <si>
    <t>Wolof</t>
  </si>
  <si>
    <t>Malgascio</t>
  </si>
  <si>
    <t>Austronesiana</t>
  </si>
  <si>
    <t>Cinese</t>
  </si>
  <si>
    <t>Armeno</t>
  </si>
  <si>
    <t>Twi</t>
  </si>
  <si>
    <t>Samoan</t>
  </si>
  <si>
    <t>Mongo</t>
  </si>
  <si>
    <t>Alsaziano</t>
  </si>
  <si>
    <t>Moldavo</t>
  </si>
  <si>
    <t>NorthNdebele</t>
  </si>
  <si>
    <t>Inuktitun</t>
  </si>
  <si>
    <t>Balinese</t>
  </si>
  <si>
    <t>Giapponese</t>
  </si>
  <si>
    <t>Latino</t>
  </si>
  <si>
    <t>Dinka</t>
  </si>
  <si>
    <t>Interlingue</t>
  </si>
  <si>
    <t>Borbottio</t>
  </si>
  <si>
    <t>Awadhi</t>
  </si>
  <si>
    <t>Ndonga</t>
  </si>
  <si>
    <t>Aymara</t>
  </si>
  <si>
    <t>ClassicalNewari</t>
  </si>
  <si>
    <t>Tsonga</t>
  </si>
  <si>
    <t>Kashubian</t>
  </si>
  <si>
    <t>Fiammingo</t>
  </si>
  <si>
    <t>Turkmeno</t>
  </si>
  <si>
    <t>Ebraico</t>
  </si>
  <si>
    <t>Bribri</t>
  </si>
  <si>
    <t>Torrente</t>
  </si>
  <si>
    <t>Tagalog</t>
  </si>
  <si>
    <t>Dzongkha</t>
  </si>
  <si>
    <t>Dogri</t>
  </si>
  <si>
    <t>Occitano</t>
  </si>
  <si>
    <t>Tzeltal</t>
  </si>
  <si>
    <t>Uighur</t>
  </si>
  <si>
    <t>Tibetano</t>
  </si>
  <si>
    <t>Bambara</t>
  </si>
  <si>
    <t>Slavo</t>
  </si>
  <si>
    <t>Tuva</t>
  </si>
  <si>
    <t>Gallego</t>
  </si>
  <si>
    <t>Ladino</t>
  </si>
  <si>
    <t>Della Cornovaglia</t>
  </si>
  <si>
    <t>Interlingua</t>
  </si>
  <si>
    <t>Bislama</t>
  </si>
  <si>
    <t>Dargwa</t>
  </si>
  <si>
    <t>SichuanYi</t>
  </si>
  <si>
    <t>Tigrino</t>
  </si>
  <si>
    <t>Creolo</t>
  </si>
  <si>
    <t>Inupiaq</t>
  </si>
  <si>
    <t>Lao</t>
  </si>
  <si>
    <t>Aramaico</t>
  </si>
  <si>
    <t>Khmer</t>
  </si>
  <si>
    <t>Telugu</t>
  </si>
  <si>
    <t>Islandese</t>
  </si>
  <si>
    <t>Gujarati</t>
  </si>
  <si>
    <t>Inupiak</t>
  </si>
  <si>
    <t>Sindhi</t>
  </si>
  <si>
    <t>LowerSorbian</t>
  </si>
  <si>
    <t>MiddleEnglish</t>
  </si>
  <si>
    <t>Batak</t>
  </si>
  <si>
    <t>MiddleFrench</t>
  </si>
  <si>
    <t>Romanticismo</t>
  </si>
  <si>
    <t>Marwari</t>
  </si>
  <si>
    <t>Kirghiz</t>
  </si>
  <si>
    <t>Shona</t>
  </si>
  <si>
    <t>Adighei</t>
  </si>
  <si>
    <t>Assiro</t>
  </si>
  <si>
    <t>Bretone</t>
  </si>
  <si>
    <t>Macedone</t>
  </si>
  <si>
    <t>Curdo</t>
  </si>
  <si>
    <t>Klingon</t>
  </si>
  <si>
    <t>Rajasthani</t>
  </si>
  <si>
    <t>Maithili</t>
  </si>
  <si>
    <t>Pashto</t>
  </si>
  <si>
    <t>Ucraino</t>
  </si>
  <si>
    <t>Frisone</t>
  </si>
  <si>
    <t>Tagiko</t>
  </si>
  <si>
    <t>Yakut</t>
  </si>
  <si>
    <t>Zulù</t>
  </si>
  <si>
    <t>Jula</t>
  </si>
  <si>
    <t>Bengalese</t>
  </si>
  <si>
    <t>Braj</t>
  </si>
  <si>
    <t>Castigliano</t>
  </si>
  <si>
    <t>Coreano</t>
  </si>
  <si>
    <t>Guarani</t>
  </si>
  <si>
    <t>Corsica</t>
  </si>
  <si>
    <t>SerboCroatian</t>
  </si>
  <si>
    <t>MiddleHighGerman</t>
  </si>
  <si>
    <t>Nogai</t>
  </si>
  <si>
    <t>Oromo</t>
  </si>
  <si>
    <t>SorbianLanguages</t>
  </si>
  <si>
    <t>Sumera</t>
  </si>
  <si>
    <t>SinoTibetan</t>
  </si>
  <si>
    <t>Sangho</t>
  </si>
  <si>
    <t>SouthernSotho</t>
  </si>
  <si>
    <t>Nepali</t>
  </si>
  <si>
    <t>Mende</t>
  </si>
  <si>
    <t>Lappone</t>
  </si>
  <si>
    <t>Ingusci</t>
  </si>
  <si>
    <t>Marathi</t>
  </si>
  <si>
    <t>Assamese</t>
  </si>
  <si>
    <t>Indonesiano</t>
  </si>
  <si>
    <t>Slovacca</t>
  </si>
  <si>
    <t>Swahili</t>
  </si>
  <si>
    <t>Samaritano</t>
  </si>
  <si>
    <t>Setswana</t>
  </si>
  <si>
    <t>Abkhazia</t>
  </si>
  <si>
    <t>Yoruba</t>
  </si>
  <si>
    <t>Luo</t>
  </si>
  <si>
    <t>MandarinChinese</t>
  </si>
  <si>
    <t>Hindi</t>
  </si>
  <si>
    <t>Sanscrito</t>
  </si>
  <si>
    <t>Siswati</t>
  </si>
  <si>
    <t>Thai</t>
  </si>
  <si>
    <t>Galiziano</t>
  </si>
  <si>
    <t>OldFrench</t>
  </si>
  <si>
    <t>FinnoUgrian</t>
  </si>
  <si>
    <t>Bosniaco</t>
  </si>
  <si>
    <t>Hmong</t>
  </si>
  <si>
    <t>Maltese</t>
  </si>
  <si>
    <t>Gallese</t>
  </si>
  <si>
    <t>Navaho</t>
  </si>
  <si>
    <t>Mongolo</t>
  </si>
  <si>
    <t>Bihari</t>
  </si>
  <si>
    <t>Yiddish</t>
  </si>
  <si>
    <t>Georgiano</t>
  </si>
  <si>
    <t>Farsi</t>
  </si>
  <si>
    <t>Kuanyama</t>
  </si>
  <si>
    <t>Malese</t>
  </si>
  <si>
    <t>CrimeanTatar</t>
  </si>
  <si>
    <t>Afrikaans</t>
  </si>
  <si>
    <t>Serbo</t>
  </si>
  <si>
    <t>Urdu</t>
  </si>
  <si>
    <t>Inuktitut</t>
  </si>
  <si>
    <t>Berbero</t>
  </si>
  <si>
    <t>Gullah</t>
  </si>
  <si>
    <t>TaiwaneseChinese</t>
  </si>
  <si>
    <t>Basco</t>
  </si>
  <si>
    <t>Marshallese</t>
  </si>
  <si>
    <t>Hawaiano</t>
  </si>
  <si>
    <t>Cheyenne</t>
  </si>
  <si>
    <t>multiple_languages</t>
  </si>
  <si>
    <t>kubo</t>
  </si>
  <si>
    <t>nigerian_pidgin</t>
  </si>
  <si>
    <t>item_name</t>
  </si>
  <si>
    <t>item_sku</t>
  </si>
  <si>
    <t>color_name</t>
  </si>
  <si>
    <t>main_image_url</t>
  </si>
  <si>
    <t>fabric_type</t>
  </si>
  <si>
    <t>external_product_id</t>
  </si>
  <si>
    <t>pattern_type</t>
  </si>
  <si>
    <t>size_name</t>
  </si>
  <si>
    <t>platinum_keywords4</t>
  </si>
  <si>
    <t>supplier_declared_material_regulation2</t>
  </si>
  <si>
    <t>other_image_url7</t>
  </si>
  <si>
    <t>number_of_lithium_ion_cells</t>
  </si>
  <si>
    <t>other_image_url_ps06</t>
  </si>
  <si>
    <t>national_stock_number</t>
  </si>
  <si>
    <t>package_weight</t>
  </si>
  <si>
    <t>quantity_price4</t>
  </si>
  <si>
    <t>package_length</t>
  </si>
  <si>
    <t>model_name</t>
  </si>
  <si>
    <t>progressive_discount_value3</t>
  </si>
  <si>
    <t>item_package_quantity</t>
  </si>
  <si>
    <t>supplier_declared_material_regulation3</t>
  </si>
  <si>
    <t>restock_date</t>
  </si>
  <si>
    <t>model</t>
  </si>
  <si>
    <t>package_contains_quantity</t>
  </si>
  <si>
    <t>item_weight</t>
  </si>
  <si>
    <t>platinum_keywords3</t>
  </si>
  <si>
    <t>business_price</t>
  </si>
  <si>
    <t>fc_shelf_life</t>
  </si>
  <si>
    <t>number_of_items</t>
  </si>
  <si>
    <t>sale_from_date</t>
  </si>
  <si>
    <t>max_order_quantity</t>
  </si>
  <si>
    <t>language_value5</t>
  </si>
  <si>
    <t>other_image_url2</t>
  </si>
  <si>
    <t>lithium_battery_energy_content</t>
  </si>
  <si>
    <t>product_description</t>
  </si>
  <si>
    <t>item_volume</t>
  </si>
  <si>
    <t>number_of_lithium_metal_cells</t>
  </si>
  <si>
    <t>fulfillment_latency</t>
  </si>
  <si>
    <t>battery_weight</t>
  </si>
  <si>
    <t>generic_keywords</t>
  </si>
  <si>
    <t>dsa_responsible_party_address</t>
  </si>
  <si>
    <t>standard_price</t>
  </si>
  <si>
    <t>other_image_url_ps02</t>
  </si>
  <si>
    <t>platinum_keywords1</t>
  </si>
  <si>
    <t>other_image_url8</t>
  </si>
  <si>
    <t>other_image_url5</t>
  </si>
  <si>
    <t>package_height</t>
  </si>
  <si>
    <t>bullet_point2</t>
  </si>
  <si>
    <t>flash_point</t>
  </si>
  <si>
    <t>inner_material_type</t>
  </si>
  <si>
    <t>battery_type2</t>
  </si>
  <si>
    <t>quantity_price2</t>
  </si>
  <si>
    <t>website_shipping_weight</t>
  </si>
  <si>
    <t>safety_data_sheet_url</t>
  </si>
  <si>
    <t>progressive_discount_lower_bound3</t>
  </si>
  <si>
    <t>bullet_point5</t>
  </si>
  <si>
    <t>product_site_launch_date</t>
  </si>
  <si>
    <t>supplier_declared_dg_hz_regulation4</t>
  </si>
  <si>
    <t>parent_sku</t>
  </si>
  <si>
    <t>condition_note</t>
  </si>
  <si>
    <t>offering_end_date</t>
  </si>
  <si>
    <t>sale_price</t>
  </si>
  <si>
    <t>quantity_lower_bound3</t>
  </si>
  <si>
    <t>quantity</t>
  </si>
  <si>
    <t>other_image_url_ps05</t>
  </si>
  <si>
    <t>delivery_schedule_group_id</t>
  </si>
  <si>
    <t>number_of_batteries2</t>
  </si>
  <si>
    <t>language_value3</t>
  </si>
  <si>
    <t>other_image_url6</t>
  </si>
  <si>
    <t>quantity_lower_bound2</t>
  </si>
  <si>
    <t>ghs_classification_class2</t>
  </si>
  <si>
    <t>quantity_price5</t>
  </si>
  <si>
    <t>progressive_discount_value1</t>
  </si>
  <si>
    <t>other_image_url1</t>
  </si>
  <si>
    <t>hazmat_united_nations_regulatory_id</t>
  </si>
  <si>
    <t>other_image_url_ps03</t>
  </si>
  <si>
    <t>athlete</t>
  </si>
  <si>
    <t>shaft_style_type</t>
  </si>
  <si>
    <t>package_width</t>
  </si>
  <si>
    <t>merchant_release_date</t>
  </si>
  <si>
    <t>bullet_point3</t>
  </si>
  <si>
    <t>ghs_classification_class3</t>
  </si>
  <si>
    <t>progressive_discount_lower_bound1</t>
  </si>
  <si>
    <t>other_image_url4</t>
  </si>
  <si>
    <t>item_booking_date</t>
  </si>
  <si>
    <t>package_contains_identifier</t>
  </si>
  <si>
    <t>supplier_declared_dg_hz_regulation3</t>
  </si>
  <si>
    <t>item_shape</t>
  </si>
  <si>
    <t>language_value2</t>
  </si>
  <si>
    <t>number_of_batteries1</t>
  </si>
  <si>
    <t>part_number</t>
  </si>
  <si>
    <t>other_image_url_ps01</t>
  </si>
  <si>
    <t>other_image_url3</t>
  </si>
  <si>
    <t>lithium_battery_weight</t>
  </si>
  <si>
    <t>quantity_price1</t>
  </si>
  <si>
    <t>progressive_discount_lower_bound2</t>
  </si>
  <si>
    <t>bullet_point1</t>
  </si>
  <si>
    <t>battery_type3</t>
  </si>
  <si>
    <t>bullet_point4</t>
  </si>
  <si>
    <t>progressive_discount_value2</t>
  </si>
  <si>
    <t>supplier_declared_dg_hz_regulation2</t>
  </si>
  <si>
    <t>platinum_keywords2</t>
  </si>
  <si>
    <t>quantity_lower_bound1</t>
  </si>
  <si>
    <t>unspsc_code</t>
  </si>
  <si>
    <t>other_image_url_ps04</t>
  </si>
  <si>
    <t>quantity_lower_bound5</t>
  </si>
  <si>
    <t>quantity_price3</t>
  </si>
  <si>
    <t>material_type</t>
  </si>
  <si>
    <t>number_of_batteries3</t>
  </si>
  <si>
    <t>platinum_keywords5</t>
  </si>
  <si>
    <t>supplier_declared_dg_hz_regulation5</t>
  </si>
  <si>
    <t>quantity_lower_bound4</t>
  </si>
  <si>
    <t>language_value4</t>
  </si>
  <si>
    <t>max_aggregate_ship_quantity</t>
  </si>
  <si>
    <t>sale_end_date</t>
  </si>
  <si>
    <t>offering_start_date</t>
  </si>
  <si>
    <t>TemplateType=fptcustom</t>
  </si>
  <si>
    <t>Version=2023.1121</t>
  </si>
  <si>
    <t>TemplateSignature=RFJFU1M=</t>
  </si>
  <si>
    <t xml:space="preserve">     Compila questo modello in ITALIANO.NON modificare o eliminare le righe colorate dell'intestazione. Per espandere tutte le colonne opzionali, fai clic sul pulsante “2” in alto a sinistra.</t>
  </si>
  <si>
    <t>Immagini</t>
  </si>
  <si>
    <t>Varianti</t>
  </si>
  <si>
    <t>settings=attributeRow=3&amp;contentLanguageTag=it_IT&amp;dataRow=4&amp;feedType=113&amp;headerLanguageTag=it_IT&amp;isEdit=false&amp;isExpose=false&amp;isProcessingSummary=false&amp;labelRow=2&amp;metadataVersion=MatprodVkxBUHJvZC0xMTQ0&amp;primaryMarketplaceId=amzn1.mp.o.APJ6JRA9NG5V4&amp;ptds=RFJFU1M%3D&amp;reportProvenance=false&amp;templateIdentifier=1f74d8c2-7651-41a1-ad74-a5b9a97ce9cc&amp;timestamp=2023-11-21T07%3A26%3A54.305Z</t>
  </si>
  <si>
    <t>Scoperta</t>
  </si>
  <si>
    <t>Arricchimento del prodotto</t>
  </si>
  <si>
    <t>Dimensioni</t>
  </si>
  <si>
    <t>Metodo di gestione</t>
  </si>
  <si>
    <t>Conformità</t>
  </si>
  <si>
    <t>Offerta</t>
  </si>
  <si>
    <t>b2b</t>
  </si>
  <si>
    <t>Tipo di prodotto</t>
  </si>
  <si>
    <t>SKU venditore</t>
  </si>
  <si>
    <t>Marca</t>
  </si>
  <si>
    <t>Codice prodotto standard</t>
  </si>
  <si>
    <t>Tipo codice prodotto</t>
  </si>
  <si>
    <t>Titolo articolo</t>
  </si>
  <si>
    <t>Descrizione articolo</t>
  </si>
  <si>
    <t>Numero di modello</t>
  </si>
  <si>
    <t>Nodo di navigazione raccomandato</t>
  </si>
  <si>
    <t>Materiale esterno</t>
  </si>
  <si>
    <t>Materiale interno</t>
  </si>
  <si>
    <t>Istruzioni per la cura del prodotto</t>
  </si>
  <si>
    <t>Nome del modello</t>
  </si>
  <si>
    <t>Indice di temperatura</t>
  </si>
  <si>
    <t>Lingua</t>
  </si>
  <si>
    <t>Prezzo articolo</t>
  </si>
  <si>
    <t>Quantità</t>
  </si>
  <si>
    <t>Sesso</t>
  </si>
  <si>
    <t>Descrizione fascia d'étà</t>
  </si>
  <si>
    <t>Sistema delle taglie di abbigliamento</t>
  </si>
  <si>
    <t>Formato delle taglie di abbigliamento</t>
  </si>
  <si>
    <t>Taglia abbigliamento</t>
  </si>
  <si>
    <t>Limite superiore dell'intervallo di taglia</t>
  </si>
  <si>
    <t>Tipo di corporatura</t>
  </si>
  <si>
    <t>Altezza</t>
  </si>
  <si>
    <t>URL immagine principale</t>
  </si>
  <si>
    <t>URL altre immagini1</t>
  </si>
  <si>
    <t>URL altre immagini2</t>
  </si>
  <si>
    <t>URL altre immagini3</t>
  </si>
  <si>
    <t>URL altre immagini4</t>
  </si>
  <si>
    <t>URL altre immagini5</t>
  </si>
  <si>
    <t>URL altre immagini6</t>
  </si>
  <si>
    <t>URL altre immagini7</t>
  </si>
  <si>
    <t>URL altre immagini8</t>
  </si>
  <si>
    <t>URL altra immagine ps01</t>
  </si>
  <si>
    <t>URL altra immagine ps02</t>
  </si>
  <si>
    <t>URL altra immagine ps03</t>
  </si>
  <si>
    <t>URL altra immagine ps04</t>
  </si>
  <si>
    <t>URL altra immagine ps05</t>
  </si>
  <si>
    <t>URL altra immagine ps06</t>
  </si>
  <si>
    <t>Parentela</t>
  </si>
  <si>
    <t>SKU "parent"</t>
  </si>
  <si>
    <t>Tipologia di relazione con l'articolo Child (variante)</t>
  </si>
  <si>
    <t>Tema variante</t>
  </si>
  <si>
    <t>Livello di aggregazione</t>
  </si>
  <si>
    <t>Mappatura colore</t>
  </si>
  <si>
    <t>Taglia</t>
  </si>
  <si>
    <t>Aggiornamento - Eliminazione</t>
  </si>
  <si>
    <t>Numero di elementi nel livello di aggregazione</t>
  </si>
  <si>
    <t>La confezione contiene la quantità</t>
  </si>
  <si>
    <t>Termini di ricerca</t>
  </si>
  <si>
    <t>Elenco Puntato</t>
  </si>
  <si>
    <t>Stagione e anno della collezione</t>
  </si>
  <si>
    <t>pattern-style</t>
  </si>
  <si>
    <t>Occasione</t>
  </si>
  <si>
    <t>Stile</t>
  </si>
  <si>
    <t>Reparto</t>
  </si>
  <si>
    <t>Modificatore di dimensioni</t>
  </si>
  <si>
    <t>Autografato</t>
  </si>
  <si>
    <t>Stagione</t>
  </si>
  <si>
    <t>Tipo di shaft</t>
  </si>
  <si>
    <t>Tipo di fornitura del ciclo di vita del prodotto</t>
  </si>
  <si>
    <t>Data di prenotazione articolo</t>
  </si>
  <si>
    <t>Tipo di manica</t>
  </si>
  <si>
    <t>Canale di vendita di dispositivi medici</t>
  </si>
  <si>
    <t>Unità di misura del periodo di validità FC</t>
  </si>
  <si>
    <t>Peso di spedizione</t>
  </si>
  <si>
    <t>Unità di misura peso di spedizione</t>
  </si>
  <si>
    <t>Mappatura taglia</t>
  </si>
  <si>
    <t>Lunghezza dell'articolo</t>
  </si>
  <si>
    <t>Numero centro di distribuzione</t>
  </si>
  <si>
    <t>Lunghezza pacco</t>
  </si>
  <si>
    <t>Larghezza pacco</t>
  </si>
  <si>
    <t>Altezza pacco</t>
  </si>
  <si>
    <t>Unità di misura lunghezza del pacco</t>
  </si>
  <si>
    <t>Peso pacco</t>
  </si>
  <si>
    <t>Unità di misura peso collo</t>
  </si>
  <si>
    <t>Unità di misura delle dimensioni del collo</t>
  </si>
  <si>
    <t>Unità di misura larghezza collo</t>
  </si>
  <si>
    <t>Paese/Regione di origine</t>
  </si>
  <si>
    <t>Il prodotto è una batteria o utilizza batterie?</t>
  </si>
  <si>
    <t>Batterie incluse?</t>
  </si>
  <si>
    <t>Composizione della batteria</t>
  </si>
  <si>
    <t>Tipo/dimensione batteria</t>
  </si>
  <si>
    <t>Numero di batterie</t>
  </si>
  <si>
    <t>Peso batteria</t>
  </si>
  <si>
    <t>Numero di celle di litio (metallo)</t>
  </si>
  <si>
    <t>Nume celle di litio (ioni)</t>
  </si>
  <si>
    <t>Confezione batteria al litio</t>
  </si>
  <si>
    <t>Wattora per batteria</t>
  </si>
  <si>
    <t>Contenuto di litio (grammi)</t>
  </si>
  <si>
    <t>Regolamenti relativi a merci pericolose applicabili</t>
  </si>
  <si>
    <t>Numero ONU</t>
  </si>
  <si>
    <t>URL scheda di dati di sicurezza (SDS)</t>
  </si>
  <si>
    <t>Peso Articolo</t>
  </si>
  <si>
    <t>Volume</t>
  </si>
  <si>
    <t>Unità di misura volume del prodotto</t>
  </si>
  <si>
    <t>Indirizzo del responsabile DSA</t>
  </si>
  <si>
    <t>Punto di infiammabilità (°C)?</t>
  </si>
  <si>
    <t>Direttiva UE sulla sicurezza dei giocattoli avvertimento non relativo alla fascia detà</t>
  </si>
  <si>
    <t>Regolamentazione del materiale dichiarata dal fornitore</t>
  </si>
  <si>
    <t>Classificazione/pittogrammi GHS (seleziona tutti quelli applicabili)</t>
  </si>
  <si>
    <t>Valuta</t>
  </si>
  <si>
    <t>tempo di gestione</t>
  </si>
  <si>
    <t>Prezzo scontato</t>
  </si>
  <si>
    <t>Data inizio sconto</t>
  </si>
  <si>
    <t>Data fine sconto</t>
  </si>
  <si>
    <t>Numero massimo prodotti aggregabili</t>
  </si>
  <si>
    <t>Quantità prodotti per ordine</t>
  </si>
  <si>
    <t>Numero di articoli.</t>
  </si>
  <si>
    <t>Disponibilità messaggio auguri</t>
  </si>
  <si>
    <t>Disponibilità confezione regalo</t>
  </si>
  <si>
    <t>Produzione interrotta</t>
  </si>
  <si>
    <t>Data di lancio sul sito</t>
  </si>
  <si>
    <t>Data di riassortimento</t>
  </si>
  <si>
    <t>Prodotto soggetto a scadenza</t>
  </si>
  <si>
    <t>Data di rilascio</t>
  </si>
  <si>
    <t>Tipo di scadenza del prodotto</t>
  </si>
  <si>
    <t>Prezzo di listino con tasse</t>
  </si>
  <si>
    <t>Durata di conservazione all'interno del Centro Logistico di Amazon</t>
  </si>
  <si>
    <t>Data di fine dell'offerta</t>
  </si>
  <si>
    <t>Massima Quantità Ordinabile</t>
  </si>
  <si>
    <t>Groopo spedizione venditore</t>
  </si>
  <si>
    <t>Data di inizio dell'offerta</t>
  </si>
  <si>
    <t>Codice fiscale prodotto</t>
  </si>
  <si>
    <t>Tipo condizioni offerta</t>
  </si>
  <si>
    <t>Prezzo per clienti aziendali </t>
  </si>
  <si>
    <t>Tipo prezzo per quantità</t>
  </si>
  <si>
    <t>Limite inferiore quantità 1</t>
  </si>
  <si>
    <t>Prezzo sulla quantità 1</t>
  </si>
  <si>
    <t>Limite inferiore quantità 2</t>
  </si>
  <si>
    <t>Prezzo sulla quantità 2</t>
  </si>
  <si>
    <t>Limite inferiore quantità 3</t>
  </si>
  <si>
    <t>Prezzo sulla quantità 3</t>
  </si>
  <si>
    <t>Limite inferiore quantità 4</t>
  </si>
  <si>
    <t>Prezzo sulla quantità 4</t>
  </si>
  <si>
    <t>Limite inferiore quantità 5</t>
  </si>
  <si>
    <t>Prezzo sulla quantità 5</t>
  </si>
  <si>
    <t>Tipologia di sconto progressivo</t>
  </si>
  <si>
    <t>Quantità minima dello sconto progressivo 1</t>
  </si>
  <si>
    <t>Valore dello sconto progressivo 1</t>
  </si>
  <si>
    <t>Quantità minima dello sconto progressivo 2</t>
  </si>
  <si>
    <t>Valore dello sconto progressivo 2</t>
  </si>
  <si>
    <t>Quantità minima dello sconto progressivo 3</t>
  </si>
  <si>
    <t>Valore dello sconto progressivo 3</t>
  </si>
  <si>
    <t>National Stock Number</t>
  </si>
  <si>
    <t>United Nations Standard Products and Services Code</t>
  </si>
  <si>
    <t>Azione relativa al prezzo</t>
  </si>
  <si>
    <t>list_price_with_tax</t>
  </si>
  <si>
    <t>EG01756</t>
  </si>
  <si>
    <t>B0BYDP2PSG</t>
  </si>
  <si>
    <t>Ever-Pretty Vestito da Sera Donna Midi Linea ad A Maniche Corte Scollo a V Elegante Abito da Sera EG1756</t>
  </si>
  <si>
    <t>EG01756MG04</t>
  </si>
  <si>
    <t>B0DS1SSHJY</t>
  </si>
  <si>
    <t>&lt;p&gt;&lt;b&gt;Ever-Pretty FASHION CORPORATION&lt;/b&gt;. è leader nel mondo della moda con oltre 14 anni di esperienza e competenza, abbiamo la capacità di identificare le esigenze di ogni donna. Il nostro obiettivo è offrirti una moda elegante e conveniente a portata di mano. Che si tratti di abiti da damigella d'onore per il grande giorno o l'abito perfetto per il tuo nuovo evento, possiamo assicurarti che troverai qualcosa che ami qui a Ever-Pretty.&lt;/p&gt;&lt;p&gt;&lt;/p&gt;&lt;p&gt;&lt;b&gt;Tabella di formato&lt;/b&gt;&lt;/p&gt;&lt;p&gt;&lt;/p&gt;&lt;p&gt;I nostri vestiti hanno misure di taglia diverse e potrebbero non coincidere con la tua taglia normale. Prima dell'acquisto, controlla la TABELLA TAGLIE nelle immagini per scoprire qual è la tua taglia corretta.&lt;/p&gt;&lt;p&gt;&lt;/p&gt;&lt;p&gt;&lt;b&gt;Politica di ritorno&lt;/b&gt;&lt;/p&gt;&lt;p&gt;&lt;/p&gt;&lt;p&gt;1. Puoi restituire il tuo articolo entro 30 giorni dalla ricezione, indipendentemente dal motivo.&lt;/p&gt;&lt;p&gt;&lt;/p&gt;&lt;p&gt;2. L'articolo restituito deve essere nelle sue condizioni originali. L'articolo non dovrebbe avere lacrime, odori e non avrebbe dovuto essere indossato. Tutti i tag originali devono essere ancora attaccati correttamente. L'articolo deve essere riconfezionato nella borsa originale. Queste sono condizioni vincolanti della politica di restituzione. Qualora l'articolo non soddisfi una delle condizioni sopra elencate, ci riserviamo il diritto di rifiutare il reso.&lt;/p&gt;&lt;p&gt;&lt;/p&gt;&lt;p&gt;&lt;b&gt;A proposito di aberrazione cromatica&lt;/b&gt;&lt;/p&gt;&lt;p&gt;&lt;/p&gt;&lt;p&gt;A causa delle inevitabili differenze nelle impostazioni del monitor, i colori mostrati nelle immagini potrebbero non coincidere al 243% con quelli degli articoli stessi, ma garantiamo che lo stile, il tessuto ei dettagli sono esattamente come mostrati nelle immagini.&lt;/p&gt;</t>
  </si>
  <si>
    <t>Cura del vestito: lavare a mano in acqua fredda.</t>
  </si>
  <si>
    <t xml:space="preserve">abito da sposa ever pretty abito lungo elegante da donna abiti da sposa per ospiti abito elegante donna cerimonia vestito festa di battesimo invitata vestito elegante donna abito elegante cerimonia abito galà chiffon vestito midi donna elegante </t>
  </si>
  <si>
    <r>
      <rPr>
        <sz val="10"/>
        <rFont val="宋体"/>
        <charset val="134"/>
      </rPr>
      <t>【</t>
    </r>
    <r>
      <rPr>
        <sz val="10"/>
        <rFont val="Arial"/>
        <charset val="134"/>
      </rPr>
      <t>NOTA</t>
    </r>
    <r>
      <rPr>
        <sz val="10"/>
        <rFont val="宋体"/>
        <charset val="134"/>
      </rPr>
      <t>】</t>
    </r>
    <r>
      <rPr>
        <sz val="10"/>
        <rFont val="Arial"/>
        <charset val="134"/>
      </rPr>
      <t>: La nostra taglia di base è La Taglia UE, si prega di scegliere la taglia UE che si adatta a voi, non La Taglia IT! Se avete una taglia intermedia, vi consigliamo di scegliere una taglia in meno.</t>
    </r>
  </si>
  <si>
    <t>Imballaggio: I nostri capi sono accuratamente piegati per garantire una spedizione sicura e veloce. Si prega di utilizzare il vapore per rimuovere eventuali pieghe all'arrivo.</t>
  </si>
  <si>
    <t>Elementi : Questo elegante abito da sera da donna presenta un profondo scollo a V sul davanti e sul retro, maniche arricciate e un orlo asimmetrico alto e basso, rivelando le curve del corpo e mostrando eleganza mentre si balla. Inoltre, il morbido materiale in chiffon è molto confortevole e strutturato, il che lo rende perfetto per la primavera e l'estate.</t>
  </si>
  <si>
    <t>Occasione: Questo abito in chiffon è leggero e confortevole, adatto a varie attività della vita quotidiana.Può essere indossato con tacchi alti per partecipare a matrimoni, fidanzamenti, feste di inaugurazione della casa, lauree, matrimoni, banchetti e qualsiasi altra occasione formale.È elegante e generoso, ma anche molto semplice e alla moda.</t>
  </si>
  <si>
    <t>Ever-Pretty offre bellissimi abiti per ogni occasione, dal ballo di fine anno alla riunione, matrimonio, cocktail party, gala e tutto il resto! Vogliamo che tu appaia e ti senta al meglio in ogni momento della tua vita indossando l'abito perfetto</t>
  </si>
  <si>
    <t>Linea A</t>
  </si>
  <si>
    <t>100%Polyester</t>
  </si>
  <si>
    <t>Chiffon</t>
  </si>
  <si>
    <t>62.99</t>
  </si>
  <si>
    <t>EG01756MG06</t>
  </si>
  <si>
    <t>B0DS1STFMK</t>
  </si>
  <si>
    <t>CONDITION_LIST_0</t>
  </si>
  <si>
    <t>CONDITION_LIST_1</t>
  </si>
  <si>
    <t>CONDITION_LIST_2</t>
  </si>
  <si>
    <t>CONDITION_LIST_3</t>
  </si>
  <si>
    <t>Litio</t>
  </si>
  <si>
    <t>Litio aria</t>
  </si>
  <si>
    <t>Litio cobalto</t>
  </si>
  <si>
    <t>Ioni di litio</t>
  </si>
  <si>
    <t>Alluminio al cobalto e al nichel (NCA)</t>
  </si>
  <si>
    <t>Cobalto di manganese al nichel-nickel (NMC)</t>
  </si>
  <si>
    <t>Litio fosfato</t>
  </si>
  <si>
    <t>Polimero di litio</t>
  </si>
  <si>
    <t>Cloruro di litio-tionile (Li-SOCL2)</t>
  </si>
  <si>
    <t>Litio titanato</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</si>
</sst>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31">
    <font>
      <sz val="11"/>
      <color indexed="8"/>
      <name val="DengXian"/>
      <charset val="134"/>
      <scheme val="minor"/>
    </font>
    <font>
      <sz val="10"/>
      <name val="Arial"/>
      <charset val="134"/>
    </font>
    <font>
      <b/>
      <sz val="11"/>
      <color rgb="FF808080"/>
      <name val="Calibri"/>
      <charset val="134"/>
    </font>
    <font>
      <b/>
      <sz val="11"/>
      <color rgb="FF000000"/>
      <name val="Calibri"/>
      <charset val="134"/>
    </font>
    <font>
      <sz val="11"/>
      <color rgb="FF000000"/>
      <name val="Calibri"/>
      <charset val="134"/>
    </font>
    <font>
      <sz val="10"/>
      <color rgb="FF000000"/>
      <name val="Arial"/>
      <charset val="134"/>
    </font>
    <font>
      <sz val="10"/>
      <color rgb="FF0F1111"/>
      <name val="Arial"/>
      <charset val="134"/>
    </font>
    <font>
      <sz val="10"/>
      <color theme="1"/>
      <name val="Arial"/>
      <charset val="134"/>
    </font>
    <font>
      <sz val="12"/>
      <name val="宋体"/>
      <charset val="134"/>
    </font>
    <font>
      <u/>
      <sz val="11"/>
      <color rgb="FF0000FF"/>
      <name val="DengXian"/>
      <charset val="0"/>
      <scheme val="minor"/>
    </font>
    <font>
      <sz val="10"/>
      <name val="宋体"/>
      <charset val="134"/>
    </font>
    <font>
      <sz val="11"/>
      <color theme="1"/>
      <name val="DengXian"/>
      <charset val="134"/>
      <scheme val="minor"/>
    </font>
    <font>
      <u/>
      <sz val="11"/>
      <color rgb="FF800080"/>
      <name val="DengXian"/>
      <charset val="0"/>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theme="3"/>
      <name val="DengXian"/>
      <charset val="134"/>
      <scheme val="minor"/>
    </font>
    <font>
      <sz val="11"/>
      <color rgb="FF3F3F76"/>
      <name val="DengXian"/>
      <charset val="0"/>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0006"/>
      <name val="DengXian"/>
      <charset val="0"/>
      <scheme val="minor"/>
    </font>
    <font>
      <sz val="11"/>
      <color rgb="FF9C6500"/>
      <name val="DengXian"/>
      <charset val="0"/>
      <scheme val="minor"/>
    </font>
    <font>
      <sz val="11"/>
      <color theme="0"/>
      <name val="DengXian"/>
      <charset val="0"/>
      <scheme val="minor"/>
    </font>
    <font>
      <sz val="11"/>
      <color theme="1"/>
      <name val="DengXian"/>
      <charset val="0"/>
      <scheme val="minor"/>
    </font>
    <font>
      <sz val="10"/>
      <name val="Verdana"/>
      <charset val="134"/>
    </font>
  </fonts>
  <fills count="44">
    <fill>
      <patternFill patternType="none"/>
    </fill>
    <fill>
      <patternFill patternType="gray125"/>
    </fill>
    <fill>
      <patternFill patternType="solid">
        <fgColor rgb="FFFFFF00"/>
        <bgColor indexed="64"/>
      </patternFill>
    </fill>
    <fill>
      <patternFill patternType="solid">
        <fgColor rgb="FFF8A45E"/>
        <bgColor indexed="64"/>
      </patternFill>
    </fill>
    <fill>
      <patternFill patternType="solid">
        <fgColor rgb="FFFF8080"/>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theme="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0">
    <border>
      <left/>
      <right/>
      <top/>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7">
    <xf numFmtId="0" fontId="0" fillId="0" borderId="0">
      <alignment vertical="center"/>
    </xf>
    <xf numFmtId="43" fontId="11" fillId="0" borderId="0" applyFont="0" applyFill="0" applyBorder="0" applyAlignment="0" applyProtection="0">
      <alignment vertical="center"/>
    </xf>
    <xf numFmtId="44" fontId="11" fillId="0" borderId="0" applyFont="0" applyFill="0" applyBorder="0" applyAlignment="0" applyProtection="0">
      <alignment vertical="center"/>
    </xf>
    <xf numFmtId="9" fontId="11" fillId="0" borderId="0" applyFont="0" applyFill="0" applyBorder="0" applyAlignment="0" applyProtection="0">
      <alignment vertical="center"/>
    </xf>
    <xf numFmtId="41" fontId="11" fillId="0" borderId="0" applyFont="0" applyFill="0" applyBorder="0" applyAlignment="0" applyProtection="0">
      <alignment vertical="center"/>
    </xf>
    <xf numFmtId="42" fontId="11" fillId="0" borderId="0" applyFont="0" applyFill="0" applyBorder="0" applyAlignment="0" applyProtection="0">
      <alignment vertical="center"/>
    </xf>
    <xf numFmtId="0" fontId="9"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1" fillId="13" borderId="2"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3" applyNumberFormat="0" applyFill="0" applyAlignment="0" applyProtection="0">
      <alignment vertical="center"/>
    </xf>
    <xf numFmtId="0" fontId="17" fillId="0" borderId="3" applyNumberFormat="0" applyFill="0" applyAlignment="0" applyProtection="0">
      <alignment vertical="center"/>
    </xf>
    <xf numFmtId="0" fontId="18" fillId="0" borderId="4" applyNumberFormat="0" applyFill="0" applyAlignment="0" applyProtection="0">
      <alignment vertical="center"/>
    </xf>
    <xf numFmtId="0" fontId="18" fillId="0" borderId="0" applyNumberFormat="0" applyFill="0" applyBorder="0" applyAlignment="0" applyProtection="0">
      <alignment vertical="center"/>
    </xf>
    <xf numFmtId="0" fontId="19" fillId="14" borderId="5" applyNumberFormat="0" applyAlignment="0" applyProtection="0">
      <alignment vertical="center"/>
    </xf>
    <xf numFmtId="0" fontId="20" fillId="15" borderId="6" applyNumberFormat="0" applyAlignment="0" applyProtection="0">
      <alignment vertical="center"/>
    </xf>
    <xf numFmtId="0" fontId="21" fillId="15" borderId="5" applyNumberFormat="0" applyAlignment="0" applyProtection="0">
      <alignment vertical="center"/>
    </xf>
    <xf numFmtId="0" fontId="22" fillId="16" borderId="7" applyNumberFormat="0" applyAlignment="0" applyProtection="0">
      <alignment vertical="center"/>
    </xf>
    <xf numFmtId="0" fontId="23" fillId="0" borderId="8" applyNumberFormat="0" applyFill="0" applyAlignment="0" applyProtection="0">
      <alignment vertical="center"/>
    </xf>
    <xf numFmtId="0" fontId="24" fillId="0" borderId="9" applyNumberFormat="0" applyFill="0" applyAlignment="0" applyProtection="0">
      <alignment vertical="center"/>
    </xf>
    <xf numFmtId="0" fontId="25" fillId="17" borderId="0" applyNumberFormat="0" applyBorder="0" applyAlignment="0" applyProtection="0">
      <alignment vertical="center"/>
    </xf>
    <xf numFmtId="0" fontId="26" fillId="18" borderId="0" applyNumberFormat="0" applyBorder="0" applyAlignment="0" applyProtection="0">
      <alignment vertical="center"/>
    </xf>
    <xf numFmtId="0" fontId="27" fillId="19" borderId="0" applyNumberFormat="0" applyBorder="0" applyAlignment="0" applyProtection="0">
      <alignment vertical="center"/>
    </xf>
    <xf numFmtId="0" fontId="28" fillId="20" borderId="0" applyNumberFormat="0" applyBorder="0" applyAlignment="0" applyProtection="0">
      <alignment vertical="center"/>
    </xf>
    <xf numFmtId="0" fontId="29" fillId="21" borderId="0" applyNumberFormat="0" applyBorder="0" applyAlignment="0" applyProtection="0">
      <alignment vertical="center"/>
    </xf>
    <xf numFmtId="0" fontId="29"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9" fillId="25" borderId="0" applyNumberFormat="0" applyBorder="0" applyAlignment="0" applyProtection="0">
      <alignment vertical="center"/>
    </xf>
    <xf numFmtId="0" fontId="29"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9" fillId="29" borderId="0" applyNumberFormat="0" applyBorder="0" applyAlignment="0" applyProtection="0">
      <alignment vertical="center"/>
    </xf>
    <xf numFmtId="0" fontId="29"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9" fillId="33" borderId="0" applyNumberFormat="0" applyBorder="0" applyAlignment="0" applyProtection="0">
      <alignment vertical="center"/>
    </xf>
    <xf numFmtId="0" fontId="29" fillId="34" borderId="0" applyNumberFormat="0" applyBorder="0" applyAlignment="0" applyProtection="0">
      <alignment vertical="center"/>
    </xf>
    <xf numFmtId="0" fontId="28" fillId="35" borderId="0" applyNumberFormat="0" applyBorder="0" applyAlignment="0" applyProtection="0">
      <alignment vertical="center"/>
    </xf>
    <xf numFmtId="0" fontId="28" fillId="36" borderId="0" applyNumberFormat="0" applyBorder="0" applyAlignment="0" applyProtection="0">
      <alignment vertical="center"/>
    </xf>
    <xf numFmtId="0" fontId="29" fillId="37" borderId="0" applyNumberFormat="0" applyBorder="0" applyAlignment="0" applyProtection="0">
      <alignment vertical="center"/>
    </xf>
    <xf numFmtId="0" fontId="29" fillId="38" borderId="0" applyNumberFormat="0" applyBorder="0" applyAlignment="0" applyProtection="0">
      <alignment vertical="center"/>
    </xf>
    <xf numFmtId="0" fontId="28" fillId="39" borderId="0" applyNumberFormat="0" applyBorder="0" applyAlignment="0" applyProtection="0">
      <alignment vertical="center"/>
    </xf>
    <xf numFmtId="0" fontId="28" fillId="40" borderId="0" applyNumberFormat="0" applyBorder="0" applyAlignment="0" applyProtection="0">
      <alignment vertical="center"/>
    </xf>
    <xf numFmtId="0" fontId="29" fillId="41" borderId="0" applyNumberFormat="0" applyBorder="0" applyAlignment="0" applyProtection="0">
      <alignment vertical="center"/>
    </xf>
    <xf numFmtId="0" fontId="29" fillId="42" borderId="0" applyNumberFormat="0" applyBorder="0" applyAlignment="0" applyProtection="0">
      <alignment vertical="center"/>
    </xf>
    <xf numFmtId="0" fontId="28" fillId="43" borderId="0" applyNumberFormat="0" applyBorder="0" applyAlignment="0" applyProtection="0">
      <alignment vertical="center"/>
    </xf>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0" fillId="0" borderId="0"/>
    <xf numFmtId="0" fontId="11" fillId="0" borderId="0"/>
    <xf numFmtId="0" fontId="30" fillId="0" borderId="0"/>
    <xf numFmtId="0" fontId="30" fillId="0" borderId="0"/>
    <xf numFmtId="0" fontId="11" fillId="0" borderId="0"/>
    <xf numFmtId="0" fontId="11" fillId="0" borderId="0"/>
    <xf numFmtId="0" fontId="0" fillId="0" borderId="0"/>
    <xf numFmtId="0" fontId="11" fillId="0" borderId="0"/>
  </cellStyleXfs>
  <cellXfs count="90">
    <xf numFmtId="0" fontId="0" fillId="0" borderId="0" xfId="49"/>
    <xf numFmtId="0" fontId="1" fillId="0" borderId="0" xfId="49" applyFont="1"/>
    <xf numFmtId="0" fontId="1" fillId="2" borderId="0" xfId="49" applyFont="1" applyFill="1" applyProtection="1">
      <protection locked="0"/>
    </xf>
    <xf numFmtId="0" fontId="0" fillId="2" borderId="0" xfId="49" applyFill="1"/>
    <xf numFmtId="0" fontId="0" fillId="0" borderId="0" xfId="49" applyFill="1"/>
    <xf numFmtId="49" fontId="1" fillId="0" borderId="0" xfId="49" applyNumberFormat="1" applyFont="1" applyProtection="1">
      <protection locked="0"/>
    </xf>
    <xf numFmtId="2" fontId="1" fillId="0" borderId="0" xfId="49" applyNumberFormat="1" applyFont="1" applyProtection="1">
      <protection locked="0"/>
    </xf>
    <xf numFmtId="1" fontId="1" fillId="0" borderId="0" xfId="49" applyNumberFormat="1" applyFont="1" applyProtection="1">
      <protection locked="0"/>
    </xf>
    <xf numFmtId="49" fontId="1" fillId="2" borderId="0" xfId="49" applyNumberFormat="1" applyFont="1" applyFill="1" applyProtection="1">
      <protection locked="0"/>
    </xf>
    <xf numFmtId="14" fontId="1" fillId="0" borderId="0" xfId="49" applyNumberFormat="1" applyFont="1" applyProtection="1">
      <protection locked="0"/>
    </xf>
    <xf numFmtId="0" fontId="1" fillId="0" borderId="0" xfId="49" applyFont="1" applyProtection="1">
      <protection locked="0"/>
    </xf>
    <xf numFmtId="49" fontId="2" fillId="3" borderId="0" xfId="49" applyNumberFormat="1" applyFont="1" applyFill="1" applyBorder="1" applyAlignment="1">
      <alignment horizontal="left" vertical="center"/>
    </xf>
    <xf numFmtId="49" fontId="3" fillId="3" borderId="0" xfId="49" applyNumberFormat="1" applyFont="1" applyFill="1" applyBorder="1" applyAlignment="1">
      <alignment horizontal="left" vertical="center"/>
    </xf>
    <xf numFmtId="2" fontId="3" fillId="3" borderId="0" xfId="49" applyNumberFormat="1" applyFont="1" applyFill="1" applyBorder="1" applyAlignment="1">
      <alignment horizontal="left" vertical="center"/>
    </xf>
    <xf numFmtId="1" fontId="3" fillId="3" borderId="0" xfId="49" applyNumberFormat="1" applyFont="1" applyFill="1" applyBorder="1" applyAlignment="1">
      <alignment horizontal="left" vertical="center"/>
    </xf>
    <xf numFmtId="49" fontId="3" fillId="2"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49" fontId="3" fillId="5" borderId="0" xfId="49" applyNumberFormat="1" applyFont="1" applyFill="1" applyBorder="1" applyAlignment="1">
      <alignment horizontal="left" vertical="center"/>
    </xf>
    <xf numFmtId="49" fontId="4" fillId="5" borderId="1"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4" fontId="3" fillId="5" borderId="0" xfId="49" applyNumberFormat="1" applyFont="1" applyFill="1" applyBorder="1" applyAlignment="1">
      <alignment horizontal="left" vertical="center"/>
    </xf>
    <xf numFmtId="49" fontId="3" fillId="6" borderId="0" xfId="49" applyNumberFormat="1" applyFont="1" applyFill="1" applyBorder="1" applyAlignment="1">
      <alignment horizontal="left" vertical="center"/>
    </xf>
    <xf numFmtId="2" fontId="3" fillId="7" borderId="0" xfId="49" applyNumberFormat="1" applyFont="1" applyFill="1" applyBorder="1" applyAlignment="1">
      <alignment horizontal="left" vertical="center"/>
    </xf>
    <xf numFmtId="49" fontId="3" fillId="7" borderId="0" xfId="49" applyNumberFormat="1" applyFont="1" applyFill="1" applyBorder="1" applyAlignment="1">
      <alignment horizontal="left" vertical="center"/>
    </xf>
    <xf numFmtId="49" fontId="3" fillId="8" borderId="0" xfId="49" applyNumberFormat="1" applyFont="1" applyFill="1" applyBorder="1" applyAlignment="1">
      <alignment horizontal="left" vertical="center"/>
    </xf>
    <xf numFmtId="2" fontId="3" fillId="8" borderId="0" xfId="49" applyNumberFormat="1" applyFont="1" applyFill="1" applyBorder="1" applyAlignment="1">
      <alignment horizontal="left" vertical="center"/>
    </xf>
    <xf numFmtId="49" fontId="3" fillId="9" borderId="0" xfId="49" applyNumberFormat="1" applyFont="1" applyFill="1" applyBorder="1" applyAlignment="1">
      <alignment horizontal="left" vertical="center"/>
    </xf>
    <xf numFmtId="1" fontId="3" fillId="9" borderId="0" xfId="49" applyNumberFormat="1" applyFont="1" applyFill="1" applyBorder="1" applyAlignment="1">
      <alignment horizontal="left" vertical="center"/>
    </xf>
    <xf numFmtId="2" fontId="3" fillId="9" borderId="0" xfId="49" applyNumberFormat="1" applyFont="1" applyFill="1" applyBorder="1" applyAlignment="1">
      <alignment horizontal="left" vertical="center"/>
    </xf>
    <xf numFmtId="49" fontId="3" fillId="10" borderId="0" xfId="49" applyNumberFormat="1" applyFont="1" applyFill="1" applyBorder="1" applyAlignment="1">
      <alignment horizontal="left" vertical="center"/>
    </xf>
    <xf numFmtId="1" fontId="3" fillId="10" borderId="0" xfId="49" applyNumberFormat="1" applyFont="1" applyFill="1" applyBorder="1" applyAlignment="1">
      <alignment horizontal="left" vertical="center"/>
    </xf>
    <xf numFmtId="2" fontId="3" fillId="10" borderId="0" xfId="49" applyNumberFormat="1" applyFont="1" applyFill="1" applyBorder="1" applyAlignment="1">
      <alignment horizontal="left" vertical="center"/>
    </xf>
    <xf numFmtId="14" fontId="3" fillId="10" borderId="0" xfId="49" applyNumberFormat="1" applyFont="1" applyFill="1" applyBorder="1" applyAlignment="1">
      <alignment horizontal="left" vertical="center"/>
    </xf>
    <xf numFmtId="176" fontId="3" fillId="10" borderId="0" xfId="49" applyNumberFormat="1" applyFont="1" applyFill="1" applyBorder="1" applyAlignment="1">
      <alignment horizontal="left" vertical="center"/>
    </xf>
    <xf numFmtId="2" fontId="3" fillId="11" borderId="0" xfId="49" applyNumberFormat="1" applyFont="1" applyFill="1" applyBorder="1" applyAlignment="1">
      <alignment horizontal="left" vertical="center"/>
    </xf>
    <xf numFmtId="49" fontId="3" fillId="11" borderId="0" xfId="49" applyNumberFormat="1" applyFont="1" applyFill="1" applyBorder="1" applyAlignment="1">
      <alignment horizontal="left" vertical="center"/>
    </xf>
    <xf numFmtId="1" fontId="3" fillId="11" borderId="0" xfId="49" applyNumberFormat="1" applyFont="1" applyFill="1" applyBorder="1" applyAlignment="1">
      <alignment horizontal="left" vertical="center"/>
    </xf>
    <xf numFmtId="49" fontId="4" fillId="3" borderId="1" xfId="49" applyNumberFormat="1" applyFont="1" applyFill="1" applyBorder="1" applyAlignment="1">
      <alignment horizontal="left" vertical="center"/>
    </xf>
    <xf numFmtId="2" fontId="4" fillId="3" borderId="1" xfId="49" applyNumberFormat="1" applyFont="1" applyFill="1" applyBorder="1" applyAlignment="1">
      <alignment horizontal="left" vertical="center"/>
    </xf>
    <xf numFmtId="1" fontId="4" fillId="3" borderId="1" xfId="49" applyNumberFormat="1" applyFont="1" applyFill="1" applyBorder="1" applyAlignment="1">
      <alignment horizontal="left" vertical="center"/>
    </xf>
    <xf numFmtId="49" fontId="4" fillId="2" borderId="1" xfId="49" applyNumberFormat="1" applyFont="1" applyFill="1" applyBorder="1" applyAlignment="1">
      <alignment horizontal="left" vertical="center"/>
    </xf>
    <xf numFmtId="49" fontId="4" fillId="4" borderId="1" xfId="49" applyNumberFormat="1" applyFont="1" applyFill="1" applyBorder="1" applyAlignment="1">
      <alignment horizontal="left" vertical="center"/>
    </xf>
    <xf numFmtId="1" fontId="4" fillId="4" borderId="1" xfId="49" applyNumberFormat="1" applyFont="1" applyFill="1" applyBorder="1" applyAlignment="1">
      <alignment horizontal="left" vertical="center"/>
    </xf>
    <xf numFmtId="14" fontId="4" fillId="5" borderId="1" xfId="49" applyNumberFormat="1" applyFont="1" applyFill="1" applyBorder="1" applyAlignment="1">
      <alignment horizontal="left" vertical="center"/>
    </xf>
    <xf numFmtId="49" fontId="4" fillId="6" borderId="1" xfId="49" applyNumberFormat="1" applyFont="1" applyFill="1" applyBorder="1" applyAlignment="1">
      <alignment horizontal="left" vertical="center"/>
    </xf>
    <xf numFmtId="2" fontId="4" fillId="7" borderId="1" xfId="49" applyNumberFormat="1" applyFont="1" applyFill="1" applyBorder="1" applyAlignment="1">
      <alignment horizontal="left" vertical="center"/>
    </xf>
    <xf numFmtId="49" fontId="4" fillId="7" borderId="1" xfId="49" applyNumberFormat="1" applyFont="1" applyFill="1" applyBorder="1" applyAlignment="1">
      <alignment horizontal="left" vertical="center"/>
    </xf>
    <xf numFmtId="49" fontId="4" fillId="8" borderId="1" xfId="49" applyNumberFormat="1" applyFont="1" applyFill="1" applyBorder="1" applyAlignment="1">
      <alignment horizontal="left" vertical="center"/>
    </xf>
    <xf numFmtId="2" fontId="4" fillId="8" borderId="1" xfId="49" applyNumberFormat="1" applyFont="1" applyFill="1" applyBorder="1" applyAlignment="1">
      <alignment horizontal="left" vertical="center"/>
    </xf>
    <xf numFmtId="49" fontId="4" fillId="9" borderId="1" xfId="49" applyNumberFormat="1" applyFont="1" applyFill="1" applyBorder="1" applyAlignment="1">
      <alignment horizontal="left" vertical="center"/>
    </xf>
    <xf numFmtId="1" fontId="4" fillId="9" borderId="1" xfId="49" applyNumberFormat="1" applyFont="1" applyFill="1" applyBorder="1" applyAlignment="1">
      <alignment horizontal="left" vertical="center"/>
    </xf>
    <xf numFmtId="2" fontId="4" fillId="9" borderId="1" xfId="49" applyNumberFormat="1" applyFont="1" applyFill="1" applyBorder="1" applyAlignment="1">
      <alignment horizontal="left" vertical="center"/>
    </xf>
    <xf numFmtId="49" fontId="4" fillId="10" borderId="1" xfId="49" applyNumberFormat="1" applyFont="1" applyFill="1" applyBorder="1" applyAlignment="1">
      <alignment horizontal="left" vertical="center"/>
    </xf>
    <xf numFmtId="1" fontId="4" fillId="10" borderId="1" xfId="49" applyNumberFormat="1" applyFont="1" applyFill="1" applyBorder="1" applyAlignment="1">
      <alignment horizontal="left" vertical="center"/>
    </xf>
    <xf numFmtId="2" fontId="4" fillId="10" borderId="1" xfId="49" applyNumberFormat="1" applyFont="1" applyFill="1" applyBorder="1" applyAlignment="1">
      <alignment horizontal="left" vertical="center"/>
    </xf>
    <xf numFmtId="14" fontId="4" fillId="10" borderId="1" xfId="49" applyNumberFormat="1" applyFont="1" applyFill="1" applyBorder="1" applyAlignment="1">
      <alignment horizontal="left" vertical="center"/>
    </xf>
    <xf numFmtId="176" fontId="4" fillId="10" borderId="1" xfId="49" applyNumberFormat="1" applyFont="1" applyFill="1" applyBorder="1" applyAlignment="1">
      <alignment horizontal="left" vertical="center"/>
    </xf>
    <xf numFmtId="2" fontId="4" fillId="11" borderId="1" xfId="49" applyNumberFormat="1" applyFont="1" applyFill="1" applyBorder="1" applyAlignment="1">
      <alignment horizontal="left" vertical="center"/>
    </xf>
    <xf numFmtId="49" fontId="4" fillId="11" borderId="1" xfId="49" applyNumberFormat="1" applyFont="1" applyFill="1" applyBorder="1" applyAlignment="1">
      <alignment horizontal="left" vertical="center"/>
    </xf>
    <xf numFmtId="1" fontId="4" fillId="11" borderId="1" xfId="49" applyNumberFormat="1" applyFont="1" applyFill="1" applyBorder="1" applyAlignment="1">
      <alignment horizontal="left" vertical="center"/>
    </xf>
    <xf numFmtId="49" fontId="5" fillId="0" borderId="0" xfId="49" applyNumberFormat="1" applyFont="1" applyFill="1" applyProtection="1">
      <protection locked="0"/>
    </xf>
    <xf numFmtId="0" fontId="0" fillId="0" borderId="0" xfId="0">
      <alignment vertical="center"/>
    </xf>
    <xf numFmtId="49" fontId="6" fillId="0" borderId="0" xfId="49" applyNumberFormat="1" applyFont="1" applyFill="1" applyAlignment="1" applyProtection="1">
      <protection locked="0"/>
    </xf>
    <xf numFmtId="49" fontId="1" fillId="0" borderId="0" xfId="49" applyNumberFormat="1" applyFont="1" applyFill="1" applyProtection="1">
      <protection locked="0"/>
    </xf>
    <xf numFmtId="0" fontId="7" fillId="0" borderId="0" xfId="0" applyFont="1" applyFill="1" applyAlignment="1"/>
    <xf numFmtId="0" fontId="8" fillId="0" borderId="0" xfId="0" applyFont="1" applyFill="1" applyBorder="1" applyAlignment="1">
      <alignment vertical="center"/>
    </xf>
    <xf numFmtId="0" fontId="6" fillId="0" borderId="0" xfId="49" applyNumberFormat="1" applyFont="1" applyFill="1" applyAlignment="1" applyProtection="1">
      <protection locked="0"/>
    </xf>
    <xf numFmtId="49" fontId="1" fillId="12" borderId="0" xfId="49" applyNumberFormat="1" applyFont="1" applyFill="1" applyProtection="1">
      <protection locked="0"/>
    </xf>
    <xf numFmtId="2" fontId="1" fillId="0" borderId="0" xfId="49" applyNumberFormat="1" applyFont="1" applyFill="1" applyProtection="1">
      <protection locked="0"/>
    </xf>
    <xf numFmtId="0" fontId="1" fillId="0" borderId="0" xfId="49" applyFont="1" applyFill="1" applyProtection="1">
      <protection locked="0"/>
    </xf>
    <xf numFmtId="49" fontId="9" fillId="0" borderId="0" xfId="6" applyNumberFormat="1" applyFill="1" applyAlignment="1" applyProtection="1">
      <protection locked="0"/>
    </xf>
    <xf numFmtId="49" fontId="1" fillId="0" borderId="0" xfId="49" applyNumberFormat="1" applyFont="1" applyFill="1" applyAlignment="1" applyProtection="1">
      <protection locked="0"/>
    </xf>
    <xf numFmtId="49" fontId="10" fillId="12" borderId="0" xfId="49" applyNumberFormat="1" applyFont="1" applyFill="1" applyProtection="1">
      <protection locked="0"/>
    </xf>
    <xf numFmtId="2" fontId="1" fillId="12" borderId="0" xfId="49" applyNumberFormat="1" applyFont="1" applyFill="1" applyProtection="1">
      <protection locked="0"/>
    </xf>
    <xf numFmtId="0" fontId="11" fillId="0" borderId="0" xfId="49" applyFont="1" applyFill="1" applyAlignment="1"/>
    <xf numFmtId="0" fontId="9" fillId="0" borderId="0" xfId="6" applyNumberFormat="1" applyFill="1" applyBorder="1" applyAlignment="1" applyProtection="1">
      <alignment vertical="center"/>
    </xf>
    <xf numFmtId="0" fontId="7" fillId="2" borderId="0" xfId="0" applyFont="1" applyFill="1" applyAlignment="1"/>
    <xf numFmtId="0" fontId="0" fillId="2" borderId="0" xfId="0" applyFill="1">
      <alignment vertical="center"/>
    </xf>
    <xf numFmtId="1" fontId="1" fillId="2" borderId="0" xfId="49" applyNumberFormat="1" applyFont="1" applyFill="1" applyProtection="1">
      <protection locked="0"/>
    </xf>
    <xf numFmtId="0" fontId="9" fillId="2" borderId="0" xfId="6" applyNumberFormat="1" applyFill="1" applyBorder="1" applyAlignment="1" applyProtection="1">
      <alignment vertical="center"/>
    </xf>
    <xf numFmtId="49" fontId="9" fillId="2" borderId="0" xfId="6" applyNumberFormat="1" applyFill="1" applyAlignment="1" applyProtection="1">
      <protection locked="0"/>
    </xf>
    <xf numFmtId="2" fontId="1" fillId="2" borderId="0" xfId="49" applyNumberFormat="1" applyFont="1" applyFill="1" applyProtection="1">
      <protection locked="0"/>
    </xf>
    <xf numFmtId="14" fontId="1" fillId="2" borderId="0" xfId="49" applyNumberFormat="1" applyFont="1" applyFill="1" applyProtection="1">
      <protection locked="0"/>
    </xf>
    <xf numFmtId="0" fontId="0" fillId="0" borderId="0" xfId="0" applyFill="1">
      <alignment vertical="center"/>
    </xf>
    <xf numFmtId="1" fontId="1" fillId="0" borderId="0" xfId="49" applyNumberFormat="1" applyFont="1" applyFill="1" applyProtection="1">
      <protection locked="0"/>
    </xf>
    <xf numFmtId="49" fontId="6" fillId="2" borderId="0" xfId="49" applyNumberFormat="1" applyFont="1" applyFill="1" applyAlignment="1" applyProtection="1">
      <protection locked="0"/>
    </xf>
    <xf numFmtId="49" fontId="1" fillId="2" borderId="0" xfId="49" applyNumberFormat="1" applyFont="1" applyFill="1" applyAlignment="1" applyProtection="1">
      <protection locked="0"/>
    </xf>
    <xf numFmtId="0" fontId="11" fillId="2" borderId="0" xfId="49" applyFont="1" applyFill="1" applyAlignment="1"/>
    <xf numFmtId="0" fontId="7" fillId="0" borderId="0" xfId="0" applyFont="1" applyAlignment="1"/>
    <xf numFmtId="14" fontId="1" fillId="0" borderId="0" xfId="49" applyNumberFormat="1" applyFont="1" applyFill="1" applyProtection="1">
      <protection locked="0"/>
    </xf>
  </cellXfs>
  <cellStyles count="67">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2" xfId="55"/>
    <cellStyle name="Normal 2 3" xfId="56"/>
    <cellStyle name="Normal 10 2" xfId="57"/>
    <cellStyle name="Normal 2 2" xfId="58"/>
    <cellStyle name="Normal 7" xfId="59"/>
    <cellStyle name="Normal 2 3 10" xfId="60"/>
    <cellStyle name="Normal 37" xfId="61"/>
    <cellStyle name="Normal 40" xfId="62"/>
    <cellStyle name="Normal 3" xfId="63"/>
    <cellStyle name="Normal 5 2" xfId="64"/>
    <cellStyle name="Normal 4" xfId="65"/>
    <cellStyle name="Normal 3 2" xfId="66"/>
  </cellStyles>
  <dxfs count="5">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haredStrings" Target="sharedStrings.xml"/><Relationship Id="rId8" Type="http://schemas.openxmlformats.org/officeDocument/2006/relationships/theme" Target="theme/theme1.xml"/><Relationship Id="rId7" Type="http://schemas.openxmlformats.org/officeDocument/2006/relationships/externalLink" Target="externalLinks/externalLink3.xml"/><Relationship Id="rId6" Type="http://schemas.openxmlformats.org/officeDocument/2006/relationships/externalLink" Target="externalLinks/externalLink2.xml"/><Relationship Id="rId5" Type="http://schemas.openxmlformats.org/officeDocument/2006/relationships/externalLink" Target="externalLinks/externalLink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melodylu/Downloads///192.168.0.220/Amazon&#37096;/3.BU5/&#21508;&#31449;&#28857;&#39068;&#33394;&#19982;&#19978;&#26032;&#34920;&#26684;&#30041;&#23384;/IT/IT%20Color&#21644;Size&#35268;&#33539;&#3492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melodylu/Downloads//Users/Everpretty/Desktop/PZIT&#19978;&#26032;/IT%20Color&#21644;Size&#35268;&#33539;&#34920;.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melodylu/Downloads//Users/Everpretty/Desktop/EPIT/EG02093FR&#25913;&#21518;.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heet1"/>
    </sheetNames>
    <sheetDataSet>
      <sheetData sheetId="0">
        <row r="1">
          <cell r="A1" t="str">
            <v>颜色</v>
          </cell>
          <cell r="B1" t="str">
            <v>colorname</v>
          </cell>
          <cell r="C1" t="str">
            <v>colormap</v>
          </cell>
        </row>
        <row r="1">
          <cell r="G1" t="str">
            <v>尺码数字</v>
          </cell>
          <cell r="H1" t="str">
            <v>IT Size name</v>
          </cell>
          <cell r="I1" t="str">
            <v>IT Size map</v>
          </cell>
        </row>
        <row r="2">
          <cell r="A2" t="str">
            <v>BK</v>
          </cell>
          <cell r="B2" t="str">
            <v>Nero</v>
          </cell>
          <cell r="C2" t="str">
            <v>nero</v>
          </cell>
        </row>
        <row r="2">
          <cell r="G2" t="str">
            <v>04</v>
          </cell>
          <cell r="H2">
            <v>36</v>
          </cell>
          <cell r="I2">
            <v>36</v>
          </cell>
        </row>
        <row r="3">
          <cell r="A3" t="str">
            <v>BD</v>
          </cell>
          <cell r="B3" t="str">
            <v>Borgogna</v>
          </cell>
          <cell r="C3" t="str">
            <v>rosso</v>
          </cell>
        </row>
        <row r="3">
          <cell r="G3" t="str">
            <v>06</v>
          </cell>
          <cell r="H3">
            <v>38</v>
          </cell>
          <cell r="I3">
            <v>38</v>
          </cell>
        </row>
        <row r="4">
          <cell r="A4" t="str">
            <v>PK</v>
          </cell>
          <cell r="B4" t="str">
            <v>Rosa</v>
          </cell>
          <cell r="C4" t="str">
            <v>rosa</v>
          </cell>
        </row>
        <row r="4">
          <cell r="G4" t="str">
            <v>08</v>
          </cell>
          <cell r="H4">
            <v>40</v>
          </cell>
          <cell r="I4">
            <v>40</v>
          </cell>
        </row>
        <row r="5">
          <cell r="A5" t="str">
            <v>DG</v>
          </cell>
          <cell r="B5" t="str">
            <v>Verde Scuro</v>
          </cell>
          <cell r="C5" t="str">
            <v>verde</v>
          </cell>
        </row>
        <row r="5">
          <cell r="G5" t="str">
            <v>10</v>
          </cell>
          <cell r="H5">
            <v>42</v>
          </cell>
          <cell r="I5">
            <v>42</v>
          </cell>
        </row>
        <row r="6">
          <cell r="A6" t="str">
            <v>DP</v>
          </cell>
          <cell r="B6" t="str">
            <v>Viola Scuro</v>
          </cell>
          <cell r="C6" t="str">
            <v>viola</v>
          </cell>
        </row>
        <row r="6">
          <cell r="G6" t="str">
            <v>12</v>
          </cell>
          <cell r="H6">
            <v>44</v>
          </cell>
          <cell r="I6">
            <v>44</v>
          </cell>
        </row>
        <row r="7">
          <cell r="A7" t="str">
            <v>NB</v>
          </cell>
          <cell r="B7" t="str">
            <v>Blu Navy</v>
          </cell>
          <cell r="C7" t="str">
            <v>blu</v>
          </cell>
        </row>
        <row r="7">
          <cell r="G7" t="str">
            <v>14</v>
          </cell>
          <cell r="H7">
            <v>46</v>
          </cell>
          <cell r="I7">
            <v>46</v>
          </cell>
        </row>
        <row r="8">
          <cell r="A8" t="str">
            <v>DN</v>
          </cell>
          <cell r="B8" t="str">
            <v>Denim blu</v>
          </cell>
          <cell r="C8" t="str">
            <v>blu</v>
          </cell>
        </row>
        <row r="8">
          <cell r="G8" t="str">
            <v>16</v>
          </cell>
          <cell r="H8">
            <v>48</v>
          </cell>
          <cell r="I8">
            <v>48</v>
          </cell>
        </row>
        <row r="9">
          <cell r="A9" t="str">
            <v>GY</v>
          </cell>
          <cell r="B9" t="str">
            <v>Grigio</v>
          </cell>
          <cell r="C9" t="str">
            <v>grigio</v>
          </cell>
        </row>
        <row r="9">
          <cell r="G9" t="str">
            <v>18</v>
          </cell>
          <cell r="H9">
            <v>50</v>
          </cell>
          <cell r="I9">
            <v>50</v>
          </cell>
        </row>
        <row r="10">
          <cell r="A10" t="str">
            <v>CO</v>
          </cell>
          <cell r="B10" t="str">
            <v>Corallo</v>
          </cell>
          <cell r="C10" t="str">
            <v>rosa</v>
          </cell>
        </row>
        <row r="10">
          <cell r="G10" t="str">
            <v>20</v>
          </cell>
          <cell r="H10">
            <v>52</v>
          </cell>
          <cell r="I10">
            <v>52</v>
          </cell>
        </row>
        <row r="11">
          <cell r="A11" t="str">
            <v>TE</v>
          </cell>
          <cell r="B11" t="str">
            <v>Teal</v>
          </cell>
          <cell r="C11" t="str">
            <v>blu</v>
          </cell>
        </row>
        <row r="11">
          <cell r="G11" t="str">
            <v>22</v>
          </cell>
          <cell r="H11">
            <v>54</v>
          </cell>
          <cell r="I11">
            <v>54</v>
          </cell>
        </row>
        <row r="12">
          <cell r="A12" t="str">
            <v>WH</v>
          </cell>
          <cell r="B12" t="str">
            <v>Bianco</v>
          </cell>
          <cell r="C12" t="str">
            <v>bianco</v>
          </cell>
        </row>
        <row r="12">
          <cell r="G12" t="str">
            <v>24</v>
          </cell>
          <cell r="H12">
            <v>56</v>
          </cell>
          <cell r="I12">
            <v>56</v>
          </cell>
        </row>
        <row r="13">
          <cell r="A13" t="str">
            <v>SB</v>
          </cell>
          <cell r="B13" t="str">
            <v>Blu zaffiro</v>
          </cell>
          <cell r="C13" t="str">
            <v>blu</v>
          </cell>
        </row>
        <row r="13">
          <cell r="G13" t="str">
            <v>26</v>
          </cell>
          <cell r="H13">
            <v>58</v>
          </cell>
          <cell r="I13">
            <v>58</v>
          </cell>
        </row>
        <row r="14">
          <cell r="A14" t="str">
            <v>OD</v>
          </cell>
          <cell r="B14" t="str">
            <v>Orchidea</v>
          </cell>
          <cell r="C14" t="str">
            <v>rosa</v>
          </cell>
        </row>
        <row r="14">
          <cell r="G14" t="str">
            <v>尺码字母</v>
          </cell>
          <cell r="H14" t="str">
            <v>ES Size name</v>
          </cell>
          <cell r="I14" t="str">
            <v>ES Size map</v>
          </cell>
        </row>
        <row r="15">
          <cell r="A15" t="str">
            <v>DB</v>
          </cell>
          <cell r="B15" t="str">
            <v>Blu Polveroso</v>
          </cell>
          <cell r="C15" t="str">
            <v>blu</v>
          </cell>
        </row>
        <row r="15">
          <cell r="G15" t="str">
            <v>0S</v>
          </cell>
          <cell r="H15" t="str">
            <v>S</v>
          </cell>
          <cell r="I15" t="str">
            <v>small</v>
          </cell>
        </row>
        <row r="16">
          <cell r="A16" t="str">
            <v>GB</v>
          </cell>
          <cell r="B16" t="str">
            <v>Fagiolo Verde</v>
          </cell>
          <cell r="C16" t="str">
            <v>verde</v>
          </cell>
        </row>
        <row r="16">
          <cell r="G16" t="str">
            <v>0M</v>
          </cell>
          <cell r="H16" t="str">
            <v>M</v>
          </cell>
          <cell r="I16" t="str">
            <v>medium</v>
          </cell>
        </row>
        <row r="17">
          <cell r="A17" t="str">
            <v>MV</v>
          </cell>
          <cell r="B17" t="str">
            <v>Mauve</v>
          </cell>
          <cell r="C17" t="str">
            <v>rosa</v>
          </cell>
        </row>
        <row r="17">
          <cell r="G17" t="str">
            <v>0L</v>
          </cell>
          <cell r="H17" t="str">
            <v>L</v>
          </cell>
          <cell r="I17" t="str">
            <v>large</v>
          </cell>
        </row>
        <row r="18">
          <cell r="A18" t="str">
            <v>BH</v>
          </cell>
          <cell r="B18" t="str">
            <v>Arrossire</v>
          </cell>
          <cell r="C18" t="str">
            <v>rosa</v>
          </cell>
        </row>
        <row r="18">
          <cell r="G18" t="str">
            <v>1L</v>
          </cell>
          <cell r="H18" t="str">
            <v>XL</v>
          </cell>
          <cell r="I18" t="str">
            <v>x-large</v>
          </cell>
        </row>
        <row r="19">
          <cell r="A19" t="str">
            <v>HP</v>
          </cell>
          <cell r="B19" t="str">
            <v>Rosa Caldo</v>
          </cell>
          <cell r="C19" t="str">
            <v>rosa</v>
          </cell>
        </row>
        <row r="19">
          <cell r="G19" t="str">
            <v>2L</v>
          </cell>
          <cell r="H19" t="str">
            <v>XXL</v>
          </cell>
          <cell r="I19" t="str">
            <v>xx-large</v>
          </cell>
        </row>
        <row r="20">
          <cell r="A20" t="str">
            <v>RD</v>
          </cell>
          <cell r="B20" t="str">
            <v>Rosso</v>
          </cell>
          <cell r="C20" t="str">
            <v>rosso</v>
          </cell>
        </row>
        <row r="20">
          <cell r="G20" t="str">
            <v>3L</v>
          </cell>
          <cell r="H20" t="str">
            <v>3XL</v>
          </cell>
          <cell r="I20" t="str">
            <v>xxx-large</v>
          </cell>
        </row>
        <row r="21">
          <cell r="A21" t="str">
            <v>BL</v>
          </cell>
          <cell r="B21" t="str">
            <v>Cielo Blu</v>
          </cell>
          <cell r="C21" t="str">
            <v>blu</v>
          </cell>
        </row>
        <row r="21">
          <cell r="G21" t="str">
            <v>4L</v>
          </cell>
          <cell r="H21" t="str">
            <v>4XL</v>
          </cell>
          <cell r="I21" t="str">
            <v>xxxx-large</v>
          </cell>
        </row>
        <row r="22">
          <cell r="A22" t="str">
            <v>AQ</v>
          </cell>
          <cell r="B22" t="str">
            <v>Acqua</v>
          </cell>
          <cell r="C22" t="str">
            <v>blu</v>
          </cell>
        </row>
        <row r="23">
          <cell r="A23" t="str">
            <v>MG</v>
          </cell>
          <cell r="B23" t="str">
            <v>Menta Verde</v>
          </cell>
          <cell r="C23" t="str">
            <v>verde</v>
          </cell>
        </row>
        <row r="24">
          <cell r="A24" t="str">
            <v>TQ</v>
          </cell>
          <cell r="B24" t="str">
            <v>Turchese</v>
          </cell>
          <cell r="C24" t="str">
            <v>turchese</v>
          </cell>
        </row>
        <row r="25">
          <cell r="A25" t="str">
            <v>LV </v>
          </cell>
          <cell r="B25" t="str">
            <v>Lavanda</v>
          </cell>
          <cell r="C25" t="str">
            <v>viola</v>
          </cell>
        </row>
        <row r="26">
          <cell r="A26" t="str">
            <v>LL</v>
          </cell>
          <cell r="B26" t="str">
            <v>Lilac</v>
          </cell>
          <cell r="C26" t="str">
            <v>viola</v>
          </cell>
        </row>
        <row r="27">
          <cell r="A27" t="str">
            <v>PW</v>
          </cell>
          <cell r="B27" t="str">
            <v>Pervinca</v>
          </cell>
          <cell r="C27" t="str">
            <v>viola</v>
          </cell>
        </row>
        <row r="28">
          <cell r="A28" t="str">
            <v>YL</v>
          </cell>
          <cell r="B28" t="str">
            <v>Giallo</v>
          </cell>
          <cell r="C28" t="str">
            <v>giallo</v>
          </cell>
        </row>
        <row r="29">
          <cell r="A29" t="str">
            <v>MR</v>
          </cell>
          <cell r="B29" t="str">
            <v>Cachi</v>
          </cell>
          <cell r="C29" t="str">
            <v>oro</v>
          </cell>
        </row>
        <row r="30">
          <cell r="A30" t="str">
            <v>DR</v>
          </cell>
          <cell r="B30" t="str">
            <v>Dusty Rose</v>
          </cell>
          <cell r="C30" t="str">
            <v>rosa</v>
          </cell>
        </row>
        <row r="31">
          <cell r="A31" t="str">
            <v>SV</v>
          </cell>
          <cell r="B31" t="str">
            <v>Argento</v>
          </cell>
          <cell r="C31" t="str">
            <v>argento</v>
          </cell>
        </row>
        <row r="32">
          <cell r="A32" t="str">
            <v>GD</v>
          </cell>
          <cell r="B32" t="str">
            <v>Oro</v>
          </cell>
          <cell r="C32" t="str">
            <v>oro</v>
          </cell>
        </row>
        <row r="33">
          <cell r="A33" t="str">
            <v>PE</v>
          </cell>
          <cell r="B33" t="str">
            <v>Pesca</v>
          </cell>
          <cell r="C33" t="str">
            <v>rosa</v>
          </cell>
        </row>
        <row r="34">
          <cell r="A34" t="str">
            <v>RG</v>
          </cell>
          <cell r="B34" t="str">
            <v>Rose Gold</v>
          </cell>
          <cell r="C34" t="str">
            <v>oro</v>
          </cell>
        </row>
        <row r="35">
          <cell r="A35" t="str">
            <v>KD</v>
          </cell>
          <cell r="B35" t="str">
            <v>Rosso Mattone</v>
          </cell>
          <cell r="C35" t="str">
            <v>rosso</v>
          </cell>
        </row>
        <row r="36">
          <cell r="A36" t="str">
            <v>BO</v>
          </cell>
          <cell r="B36" t="str">
            <v>Arancione</v>
          </cell>
          <cell r="C36" t="str">
            <v>arancione</v>
          </cell>
        </row>
        <row r="37">
          <cell r="A37" t="str">
            <v>CH</v>
          </cell>
          <cell r="B37" t="str">
            <v>Champagne</v>
          </cell>
          <cell r="C37" t="str">
            <v>argento</v>
          </cell>
        </row>
        <row r="38">
          <cell r="A38" t="str">
            <v>CB</v>
          </cell>
          <cell r="B38" t="str">
            <v>Came Brown</v>
          </cell>
          <cell r="C38" t="str">
            <v>rosa </v>
          </cell>
        </row>
        <row r="39">
          <cell r="A39" t="str">
            <v>BP</v>
          </cell>
          <cell r="B39" t="str">
            <v>Black and printed</v>
          </cell>
          <cell r="C39" t="str">
            <v>nero</v>
          </cell>
        </row>
        <row r="40">
          <cell r="A40" t="str">
            <v>DE</v>
          </cell>
          <cell r="B40" t="str">
            <v>Haze Blue</v>
          </cell>
          <cell r="C40" t="str">
            <v>blu</v>
          </cell>
        </row>
        <row r="41">
          <cell r="A41" t="str">
            <v>BG</v>
          </cell>
          <cell r="B41" t="str">
            <v>Beige</v>
          </cell>
          <cell r="C41" t="str">
            <v>rosso</v>
          </cell>
        </row>
        <row r="42">
          <cell r="A42" t="str">
            <v>CF</v>
          </cell>
          <cell r="B42" t="str">
            <v>Coffee</v>
          </cell>
          <cell r="C42" t="str">
            <v>marrone</v>
          </cell>
        </row>
        <row r="43">
          <cell r="A43" t="str">
            <v>CR</v>
          </cell>
          <cell r="B43" t="str">
            <v>Bianco Crema</v>
          </cell>
          <cell r="C43" t="str">
            <v>bianco</v>
          </cell>
        </row>
        <row r="44">
          <cell r="A44" t="str">
            <v>RB</v>
          </cell>
          <cell r="B44" t="str">
            <v>Dark Blue</v>
          </cell>
          <cell r="C44" t="str">
            <v>blu</v>
          </cell>
        </row>
        <row r="45">
          <cell r="A45" t="str">
            <v>MU</v>
          </cell>
          <cell r="B45" t="str">
            <v>Gelso</v>
          </cell>
          <cell r="C45" t="str">
            <v>rosso</v>
          </cell>
        </row>
        <row r="46">
          <cell r="A46" t="str">
            <v>ST</v>
          </cell>
          <cell r="B46" t="str">
            <v>Blu Tempesta</v>
          </cell>
          <cell r="C46" t="str">
            <v>blu</v>
          </cell>
        </row>
      </sheetData>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Sheet1"/>
      <sheetName val="Sheet2"/>
    </sheetNames>
    <sheetDataSet>
      <sheetData sheetId="0" refreshError="1">
        <row r="1">
          <cell r="A1" t="str">
            <v>颜色</v>
          </cell>
          <cell r="B1" t="str">
            <v>colorname</v>
          </cell>
          <cell r="C1" t="str">
            <v>colormap</v>
          </cell>
        </row>
        <row r="2">
          <cell r="A2" t="str">
            <v>BK</v>
          </cell>
          <cell r="B2" t="str">
            <v>Nero</v>
          </cell>
          <cell r="C2" t="str">
            <v>nero</v>
          </cell>
        </row>
        <row r="3">
          <cell r="A3" t="str">
            <v>BD</v>
          </cell>
          <cell r="B3" t="str">
            <v>Borgogna</v>
          </cell>
          <cell r="C3" t="str">
            <v>rosso</v>
          </cell>
        </row>
        <row r="4">
          <cell r="A4" t="str">
            <v>PK</v>
          </cell>
          <cell r="B4" t="str">
            <v>Rosa</v>
          </cell>
          <cell r="C4" t="str">
            <v>rosa</v>
          </cell>
        </row>
        <row r="5">
          <cell r="A5" t="str">
            <v>DG</v>
          </cell>
          <cell r="B5" t="str">
            <v>Verde Scuro</v>
          </cell>
          <cell r="C5" t="str">
            <v>verde</v>
          </cell>
        </row>
        <row r="6">
          <cell r="A6" t="str">
            <v>DP</v>
          </cell>
          <cell r="B6" t="str">
            <v>Viola Scuro</v>
          </cell>
          <cell r="C6" t="str">
            <v>viola</v>
          </cell>
        </row>
        <row r="7">
          <cell r="A7" t="str">
            <v>NB</v>
          </cell>
          <cell r="B7" t="str">
            <v>Blu Navy</v>
          </cell>
          <cell r="C7" t="str">
            <v>blu</v>
          </cell>
        </row>
        <row r="8">
          <cell r="A8" t="str">
            <v>DN</v>
          </cell>
          <cell r="B8" t="str">
            <v>Denim blu</v>
          </cell>
          <cell r="C8" t="str">
            <v>blu</v>
          </cell>
        </row>
        <row r="9">
          <cell r="A9" t="str">
            <v>GY</v>
          </cell>
          <cell r="B9" t="str">
            <v>Grigio</v>
          </cell>
          <cell r="C9" t="str">
            <v>grigio</v>
          </cell>
        </row>
        <row r="10">
          <cell r="A10" t="str">
            <v>CO</v>
          </cell>
          <cell r="B10" t="str">
            <v>Corallo</v>
          </cell>
          <cell r="C10" t="str">
            <v>rosa</v>
          </cell>
        </row>
        <row r="11">
          <cell r="A11" t="str">
            <v>TE</v>
          </cell>
          <cell r="B11" t="str">
            <v>Teal</v>
          </cell>
          <cell r="C11" t="str">
            <v>blu</v>
          </cell>
        </row>
        <row r="12">
          <cell r="A12" t="str">
            <v>WH</v>
          </cell>
          <cell r="B12" t="str">
            <v>Bianco</v>
          </cell>
          <cell r="C12" t="str">
            <v>bianco</v>
          </cell>
        </row>
        <row r="13">
          <cell r="A13" t="str">
            <v>SB</v>
          </cell>
          <cell r="B13" t="str">
            <v>Blu zaffiro</v>
          </cell>
          <cell r="C13" t="str">
            <v>blu</v>
          </cell>
        </row>
        <row r="14">
          <cell r="A14" t="str">
            <v>OD</v>
          </cell>
          <cell r="B14" t="str">
            <v>Orchidea</v>
          </cell>
          <cell r="C14" t="str">
            <v>rosa</v>
          </cell>
        </row>
        <row r="15">
          <cell r="A15" t="str">
            <v>DB</v>
          </cell>
          <cell r="B15" t="str">
            <v>Blu Polveroso</v>
          </cell>
          <cell r="C15" t="str">
            <v>blu</v>
          </cell>
        </row>
        <row r="16">
          <cell r="A16" t="str">
            <v>GB</v>
          </cell>
          <cell r="B16" t="str">
            <v>Fagiolo Verde</v>
          </cell>
          <cell r="C16" t="str">
            <v>verde</v>
          </cell>
        </row>
        <row r="17">
          <cell r="A17" t="str">
            <v>MV</v>
          </cell>
          <cell r="B17" t="str">
            <v>Mauve</v>
          </cell>
          <cell r="C17" t="str">
            <v>rosa</v>
          </cell>
        </row>
        <row r="18">
          <cell r="A18" t="str">
            <v>BH</v>
          </cell>
          <cell r="B18" t="str">
            <v>Arrossire</v>
          </cell>
          <cell r="C18" t="str">
            <v>rosa</v>
          </cell>
        </row>
        <row r="19">
          <cell r="A19" t="str">
            <v>HP</v>
          </cell>
          <cell r="B19" t="str">
            <v>Rosa Caldo</v>
          </cell>
          <cell r="C19" t="str">
            <v>rosa</v>
          </cell>
        </row>
        <row r="20">
          <cell r="A20" t="str">
            <v>RD</v>
          </cell>
          <cell r="B20" t="str">
            <v>Rosso</v>
          </cell>
          <cell r="C20" t="str">
            <v>rosso</v>
          </cell>
        </row>
        <row r="21">
          <cell r="A21" t="str">
            <v>BL</v>
          </cell>
          <cell r="B21" t="str">
            <v>Cielo Blu</v>
          </cell>
          <cell r="C21" t="str">
            <v>blu</v>
          </cell>
        </row>
        <row r="22">
          <cell r="A22" t="str">
            <v>AQ</v>
          </cell>
          <cell r="B22" t="str">
            <v>Acqua</v>
          </cell>
          <cell r="C22" t="str">
            <v>blu</v>
          </cell>
        </row>
        <row r="23">
          <cell r="A23" t="str">
            <v>MG</v>
          </cell>
          <cell r="B23" t="str">
            <v>Menta Verde</v>
          </cell>
          <cell r="C23" t="str">
            <v>verde</v>
          </cell>
        </row>
        <row r="24">
          <cell r="A24" t="str">
            <v>TQ</v>
          </cell>
          <cell r="B24" t="str">
            <v>Turchese</v>
          </cell>
          <cell r="C24" t="str">
            <v>turchese</v>
          </cell>
        </row>
        <row r="25">
          <cell r="A25" t="str">
            <v>LV </v>
          </cell>
          <cell r="B25" t="str">
            <v>Lavanda</v>
          </cell>
          <cell r="C25" t="str">
            <v>viola</v>
          </cell>
        </row>
        <row r="26">
          <cell r="A26" t="str">
            <v>LL</v>
          </cell>
          <cell r="B26" t="str">
            <v>Lilac</v>
          </cell>
          <cell r="C26" t="str">
            <v>viola</v>
          </cell>
        </row>
        <row r="27">
          <cell r="A27" t="str">
            <v>PW</v>
          </cell>
          <cell r="B27" t="str">
            <v>Pervinca</v>
          </cell>
          <cell r="C27" t="str">
            <v>viola</v>
          </cell>
        </row>
        <row r="28">
          <cell r="A28" t="str">
            <v>YL</v>
          </cell>
          <cell r="B28" t="str">
            <v>Giallo</v>
          </cell>
          <cell r="C28" t="str">
            <v>giallo</v>
          </cell>
        </row>
        <row r="29">
          <cell r="A29" t="str">
            <v>MR</v>
          </cell>
          <cell r="B29" t="str">
            <v>Cachi</v>
          </cell>
          <cell r="C29" t="str">
            <v>oro</v>
          </cell>
        </row>
        <row r="30">
          <cell r="A30" t="str">
            <v>DR</v>
          </cell>
          <cell r="B30" t="str">
            <v>Dusty Rose</v>
          </cell>
          <cell r="C30" t="str">
            <v>rosa</v>
          </cell>
        </row>
        <row r="31">
          <cell r="A31" t="str">
            <v>SV</v>
          </cell>
          <cell r="B31" t="str">
            <v>Argento</v>
          </cell>
          <cell r="C31" t="str">
            <v>argento</v>
          </cell>
        </row>
        <row r="32">
          <cell r="A32" t="str">
            <v>GD</v>
          </cell>
          <cell r="B32" t="str">
            <v>Oro</v>
          </cell>
          <cell r="C32" t="str">
            <v>oro</v>
          </cell>
        </row>
        <row r="33">
          <cell r="A33" t="str">
            <v>PE</v>
          </cell>
          <cell r="B33" t="str">
            <v>Pesca</v>
          </cell>
          <cell r="C33" t="str">
            <v>rosa</v>
          </cell>
        </row>
        <row r="34">
          <cell r="A34" t="str">
            <v>RG</v>
          </cell>
          <cell r="B34" t="str">
            <v>Rose Gold</v>
          </cell>
          <cell r="C34" t="str">
            <v>oro</v>
          </cell>
        </row>
        <row r="35">
          <cell r="A35" t="str">
            <v>KD</v>
          </cell>
          <cell r="B35" t="str">
            <v>Rosso Mattone</v>
          </cell>
          <cell r="C35" t="str">
            <v>rosso</v>
          </cell>
        </row>
        <row r="36">
          <cell r="A36" t="str">
            <v>BO</v>
          </cell>
          <cell r="B36" t="str">
            <v>Arancione</v>
          </cell>
          <cell r="C36" t="str">
            <v>arancione</v>
          </cell>
        </row>
        <row r="37">
          <cell r="A37" t="str">
            <v>CH</v>
          </cell>
          <cell r="B37" t="str">
            <v>Champagne</v>
          </cell>
          <cell r="C37" t="str">
            <v>argento</v>
          </cell>
        </row>
        <row r="38">
          <cell r="A38" t="str">
            <v>CB</v>
          </cell>
          <cell r="B38" t="str">
            <v>Came Brown</v>
          </cell>
          <cell r="C38" t="str">
            <v>rosa </v>
          </cell>
        </row>
        <row r="39">
          <cell r="A39" t="str">
            <v>BP</v>
          </cell>
          <cell r="B39" t="str">
            <v>Black and printed</v>
          </cell>
          <cell r="C39" t="str">
            <v>nero</v>
          </cell>
        </row>
        <row r="40">
          <cell r="A40" t="str">
            <v>DE</v>
          </cell>
          <cell r="B40" t="str">
            <v>Haze Blue</v>
          </cell>
          <cell r="C40" t="str">
            <v>blu</v>
          </cell>
        </row>
        <row r="41">
          <cell r="A41" t="str">
            <v>BG</v>
          </cell>
          <cell r="B41" t="str">
            <v>Beige</v>
          </cell>
          <cell r="C41" t="str">
            <v>rosso</v>
          </cell>
        </row>
        <row r="42">
          <cell r="A42" t="str">
            <v>CF</v>
          </cell>
          <cell r="B42" t="str">
            <v>Coffee</v>
          </cell>
          <cell r="C42" t="str">
            <v>marrone</v>
          </cell>
        </row>
        <row r="43">
          <cell r="A43" t="str">
            <v>CR</v>
          </cell>
          <cell r="B43" t="str">
            <v>Bianco Crema</v>
          </cell>
          <cell r="C43" t="str">
            <v>bianco</v>
          </cell>
        </row>
        <row r="44">
          <cell r="A44" t="str">
            <v>RB</v>
          </cell>
          <cell r="B44" t="str">
            <v>Dark Blue</v>
          </cell>
          <cell r="C44" t="str">
            <v>blu</v>
          </cell>
        </row>
        <row r="45">
          <cell r="A45" t="str">
            <v>CP</v>
          </cell>
          <cell r="B45" t="str">
            <v>Crema Stampata</v>
          </cell>
          <cell r="C45" t="str">
            <v>bianco</v>
          </cell>
        </row>
        <row r="46">
          <cell r="A46" t="str">
            <v>MU</v>
          </cell>
          <cell r="B46" t="str">
            <v>Gelso</v>
          </cell>
          <cell r="C46" t="str">
            <v>viola</v>
          </cell>
        </row>
        <row r="47">
          <cell r="A47" t="str">
            <v>VE</v>
          </cell>
          <cell r="B47" t="str">
            <v>Vermiglio</v>
          </cell>
          <cell r="C47" t="str">
            <v>rosso</v>
          </cell>
        </row>
        <row r="48">
          <cell r="A48" t="str">
            <v>FU</v>
          </cell>
          <cell r="B48" t="str">
            <v>Rosso Purpureo</v>
          </cell>
          <cell r="C48" t="str">
            <v>Viola</v>
          </cell>
        </row>
        <row r="49">
          <cell r="A49" t="str">
            <v>ST</v>
          </cell>
          <cell r="B49" t="str">
            <v>Blu Tempesta</v>
          </cell>
          <cell r="C49" t="str">
            <v>Blu</v>
          </cell>
        </row>
      </sheetData>
      <sheetData sheetId="1"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Instructions"/>
      <sheetName val="icons"/>
      <sheetName val="International URLs"/>
      <sheetName val="International Settings"/>
      <sheetName val="DropdownSizer"/>
      <sheetName val="Guide d'ajout d'images"/>
      <sheetName val="International Translations"/>
      <sheetName val="Data Validation"/>
      <sheetName val="International Data"/>
      <sheetName val="Exemple"/>
      <sheetName val="Définition des intitulés"/>
      <sheetName val="Modèle"/>
      <sheetName val="Browse Data"/>
      <sheetName val="Valeurs Valides"/>
      <sheetName val="Sheet1"/>
      <sheetName val="Dropdown Lists"/>
      <sheetName val="AttributePTDMA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BW546"/>
  <sheetViews>
    <sheetView workbookViewId="0">
      <selection activeCell="A1" sqref="A1"/>
    </sheetView>
  </sheetViews>
  <sheetFormatPr defaultColWidth="9" defaultRowHeight="16.8"/>
  <sheetData>
    <row r="1" spans="1:75">
      <c r="A1" s="1" t="s">
        <v>0</v>
      </c>
      <c r="B1" s="1" t="s">
        <v>0</v>
      </c>
      <c r="C1" s="1" t="s">
        <v>0</v>
      </c>
      <c r="D1" s="1" t="s">
        <v>0</v>
      </c>
      <c r="E1" s="1" t="s">
        <v>0</v>
      </c>
      <c r="F1" s="1" t="s">
        <v>0</v>
      </c>
      <c r="G1" s="1" t="s">
        <v>0</v>
      </c>
      <c r="H1" s="1" t="s">
        <v>0</v>
      </c>
      <c r="I1" s="1" t="s">
        <v>0</v>
      </c>
      <c r="J1" s="1" t="s">
        <v>0</v>
      </c>
      <c r="K1" s="1" t="s">
        <v>0</v>
      </c>
      <c r="L1" s="1" t="s">
        <v>0</v>
      </c>
      <c r="M1" s="1" t="s">
        <v>0</v>
      </c>
      <c r="N1" s="1" t="s">
        <v>0</v>
      </c>
      <c r="O1" s="1" t="s">
        <v>0</v>
      </c>
      <c r="P1" s="1" t="s">
        <v>0</v>
      </c>
      <c r="Q1" s="1" t="s">
        <v>0</v>
      </c>
      <c r="R1" s="1" t="s">
        <v>0</v>
      </c>
      <c r="S1" s="1" t="s">
        <v>0</v>
      </c>
      <c r="T1" s="1" t="s">
        <v>0</v>
      </c>
      <c r="U1" s="1" t="s">
        <v>0</v>
      </c>
      <c r="V1" s="1" t="s">
        <v>0</v>
      </c>
      <c r="W1" s="1" t="s">
        <v>0</v>
      </c>
      <c r="X1" s="1" t="s">
        <v>0</v>
      </c>
      <c r="Y1" s="1" t="s">
        <v>0</v>
      </c>
      <c r="Z1" s="1" t="s">
        <v>0</v>
      </c>
      <c r="AA1" s="1" t="s">
        <v>0</v>
      </c>
      <c r="AB1" s="1" t="s">
        <v>0</v>
      </c>
      <c r="AC1" s="1" t="s">
        <v>0</v>
      </c>
      <c r="AD1" s="1" t="s">
        <v>0</v>
      </c>
      <c r="AE1" s="1" t="s">
        <v>0</v>
      </c>
      <c r="AF1" s="1" t="s">
        <v>0</v>
      </c>
      <c r="AG1" s="1" t="s">
        <v>0</v>
      </c>
      <c r="AH1" s="1" t="s">
        <v>0</v>
      </c>
      <c r="AI1" s="1" t="s">
        <v>0</v>
      </c>
      <c r="AJ1" s="1" t="s">
        <v>0</v>
      </c>
      <c r="AK1" s="1" t="s">
        <v>0</v>
      </c>
      <c r="AL1" s="1" t="s">
        <v>0</v>
      </c>
      <c r="AM1" s="1" t="s">
        <v>0</v>
      </c>
      <c r="AN1" s="1" t="s">
        <v>0</v>
      </c>
      <c r="AO1" s="1" t="s">
        <v>0</v>
      </c>
      <c r="AP1" s="1" t="s">
        <v>0</v>
      </c>
      <c r="AQ1" s="1" t="s">
        <v>0</v>
      </c>
      <c r="AR1" s="1" t="s">
        <v>0</v>
      </c>
      <c r="AS1" s="1" t="s">
        <v>0</v>
      </c>
      <c r="AT1" s="1" t="s">
        <v>0</v>
      </c>
      <c r="AU1" s="1" t="s">
        <v>0</v>
      </c>
      <c r="AV1" s="1" t="s">
        <v>0</v>
      </c>
      <c r="AW1" s="1" t="s">
        <v>0</v>
      </c>
      <c r="AX1" s="1" t="s">
        <v>0</v>
      </c>
      <c r="AY1" s="1" t="s">
        <v>0</v>
      </c>
      <c r="AZ1" s="1" t="s">
        <v>0</v>
      </c>
      <c r="BA1" s="1" t="s">
        <v>0</v>
      </c>
      <c r="BB1" s="1" t="s">
        <v>0</v>
      </c>
      <c r="BC1" s="1" t="s">
        <v>0</v>
      </c>
      <c r="BD1" s="1" t="s">
        <v>0</v>
      </c>
      <c r="BE1" s="1" t="s">
        <v>0</v>
      </c>
      <c r="BF1" s="1" t="s">
        <v>0</v>
      </c>
      <c r="BG1" s="1" t="s">
        <v>0</v>
      </c>
      <c r="BH1" s="1" t="s">
        <v>0</v>
      </c>
      <c r="BI1" s="1" t="s">
        <v>0</v>
      </c>
      <c r="BJ1" s="1" t="s">
        <v>0</v>
      </c>
      <c r="BK1" s="1" t="s">
        <v>0</v>
      </c>
      <c r="BL1" s="1" t="s">
        <v>0</v>
      </c>
      <c r="BM1" s="1" t="s">
        <v>0</v>
      </c>
      <c r="BN1" s="1" t="s">
        <v>0</v>
      </c>
      <c r="BO1" s="1" t="s">
        <v>0</v>
      </c>
      <c r="BP1" s="1" t="s">
        <v>0</v>
      </c>
      <c r="BQ1" s="1" t="s">
        <v>0</v>
      </c>
      <c r="BR1" s="1" t="s">
        <v>0</v>
      </c>
      <c r="BS1" s="1" t="s">
        <v>0</v>
      </c>
      <c r="BT1" s="1" t="s">
        <v>0</v>
      </c>
      <c r="BU1" s="1" t="s">
        <v>0</v>
      </c>
      <c r="BV1" s="1" t="s">
        <v>0</v>
      </c>
      <c r="BW1" s="1" t="s">
        <v>0</v>
      </c>
    </row>
    <row r="2" spans="1:75">
      <c r="A2" s="1"/>
      <c r="B2" s="1" t="s">
        <v>1</v>
      </c>
      <c r="C2" s="1" t="s">
        <v>1</v>
      </c>
      <c r="D2" s="1" t="s">
        <v>1</v>
      </c>
      <c r="E2" s="1" t="s">
        <v>1</v>
      </c>
      <c r="F2" s="1" t="s">
        <v>1</v>
      </c>
      <c r="G2" s="1" t="s">
        <v>1</v>
      </c>
      <c r="H2" s="1" t="s">
        <v>1</v>
      </c>
      <c r="I2" s="1" t="s">
        <v>1</v>
      </c>
      <c r="J2" s="1" t="s">
        <v>1</v>
      </c>
      <c r="K2" s="1" t="s">
        <v>1</v>
      </c>
      <c r="L2" s="1" t="s">
        <v>1</v>
      </c>
      <c r="M2" s="1" t="s">
        <v>1</v>
      </c>
      <c r="N2" s="1" t="s">
        <v>1</v>
      </c>
      <c r="O2" s="1" t="s">
        <v>1</v>
      </c>
      <c r="P2" s="1" t="s">
        <v>1</v>
      </c>
      <c r="Q2" s="1" t="s">
        <v>1</v>
      </c>
      <c r="R2" s="1" t="s">
        <v>1</v>
      </c>
      <c r="S2" s="1" t="s">
        <v>1</v>
      </c>
      <c r="T2" s="1" t="s">
        <v>1</v>
      </c>
      <c r="U2" s="1" t="s">
        <v>1</v>
      </c>
      <c r="V2" s="1" t="s">
        <v>1</v>
      </c>
      <c r="W2" s="1" t="s">
        <v>1</v>
      </c>
      <c r="X2" s="1" t="s">
        <v>1</v>
      </c>
      <c r="Y2" s="1" t="s">
        <v>1</v>
      </c>
      <c r="Z2" s="1" t="s">
        <v>1</v>
      </c>
      <c r="AA2" s="1" t="s">
        <v>1</v>
      </c>
      <c r="AB2" s="1" t="s">
        <v>1</v>
      </c>
      <c r="AC2" s="1" t="s">
        <v>1</v>
      </c>
      <c r="AD2" s="1" t="s">
        <v>1</v>
      </c>
      <c r="AE2" s="1" t="s">
        <v>1</v>
      </c>
      <c r="AF2" s="1" t="s">
        <v>1</v>
      </c>
      <c r="AG2" s="1" t="s">
        <v>1</v>
      </c>
      <c r="AH2" s="1" t="s">
        <v>1</v>
      </c>
      <c r="AI2" s="1" t="s">
        <v>1</v>
      </c>
      <c r="AJ2" s="1" t="s">
        <v>1</v>
      </c>
      <c r="AK2" s="1" t="s">
        <v>1</v>
      </c>
      <c r="AL2" s="1" t="s">
        <v>1</v>
      </c>
      <c r="AM2" s="1" t="s">
        <v>1</v>
      </c>
      <c r="AN2" s="1" t="s">
        <v>1</v>
      </c>
      <c r="AO2" s="1" t="s">
        <v>1</v>
      </c>
      <c r="AP2" s="1" t="s">
        <v>1</v>
      </c>
      <c r="AQ2" s="1" t="s">
        <v>1</v>
      </c>
      <c r="AR2" s="1" t="s">
        <v>1</v>
      </c>
      <c r="AS2" s="1" t="s">
        <v>1</v>
      </c>
      <c r="AT2" s="1" t="s">
        <v>1</v>
      </c>
      <c r="AU2" s="1" t="s">
        <v>1</v>
      </c>
      <c r="AV2" s="1" t="s">
        <v>1</v>
      </c>
      <c r="AW2" s="1" t="s">
        <v>1</v>
      </c>
      <c r="AX2" s="1" t="s">
        <v>1</v>
      </c>
      <c r="AY2" s="1" t="s">
        <v>1</v>
      </c>
      <c r="AZ2" s="1" t="s">
        <v>1</v>
      </c>
      <c r="BA2" s="1" t="s">
        <v>1</v>
      </c>
      <c r="BB2" s="1" t="s">
        <v>1</v>
      </c>
      <c r="BC2" s="1" t="s">
        <v>1</v>
      </c>
      <c r="BD2" s="1" t="s">
        <v>1</v>
      </c>
      <c r="BE2" s="1" t="s">
        <v>1</v>
      </c>
      <c r="BF2" s="1" t="s">
        <v>1</v>
      </c>
      <c r="BG2" s="1" t="s">
        <v>1</v>
      </c>
      <c r="BH2" s="1" t="s">
        <v>1</v>
      </c>
      <c r="BI2" s="1" t="s">
        <v>1</v>
      </c>
      <c r="BJ2" s="1" t="s">
        <v>1</v>
      </c>
      <c r="BK2" s="1" t="s">
        <v>1</v>
      </c>
      <c r="BL2" s="1" t="s">
        <v>1</v>
      </c>
      <c r="BM2" s="1" t="s">
        <v>1</v>
      </c>
      <c r="BN2" s="1" t="s">
        <v>1</v>
      </c>
      <c r="BO2" s="1" t="s">
        <v>1</v>
      </c>
      <c r="BP2" s="1" t="s">
        <v>1</v>
      </c>
      <c r="BQ2" s="1" t="s">
        <v>1</v>
      </c>
      <c r="BR2" s="1" t="s">
        <v>1</v>
      </c>
      <c r="BS2" s="1" t="s">
        <v>1</v>
      </c>
      <c r="BT2" s="1" t="s">
        <v>1</v>
      </c>
      <c r="BU2" s="1"/>
      <c r="BV2" s="1"/>
      <c r="BW2" s="1" t="s">
        <v>1</v>
      </c>
    </row>
    <row r="3" spans="1:75">
      <c r="A3" s="1" t="s">
        <v>2</v>
      </c>
      <c r="B3" s="1" t="s">
        <v>3</v>
      </c>
      <c r="C3" s="1" t="s">
        <v>4</v>
      </c>
      <c r="D3" s="1" t="s">
        <v>5</v>
      </c>
      <c r="E3" s="1" t="s">
        <v>6</v>
      </c>
      <c r="F3" s="1" t="s">
        <v>7</v>
      </c>
      <c r="G3" s="1" t="s">
        <v>8</v>
      </c>
      <c r="H3" s="1" t="s">
        <v>9</v>
      </c>
      <c r="I3" s="1" t="s">
        <v>10</v>
      </c>
      <c r="J3" s="1" t="s">
        <v>11</v>
      </c>
      <c r="K3" s="1" t="s">
        <v>12</v>
      </c>
      <c r="L3" s="1" t="s">
        <v>13</v>
      </c>
      <c r="M3" s="1" t="s">
        <v>14</v>
      </c>
      <c r="N3" s="1" t="s">
        <v>15</v>
      </c>
      <c r="O3" s="1" t="s">
        <v>16</v>
      </c>
      <c r="P3" s="1" t="s">
        <v>17</v>
      </c>
      <c r="Q3" s="1" t="s">
        <v>18</v>
      </c>
      <c r="R3" s="1" t="s">
        <v>19</v>
      </c>
      <c r="S3" s="1" t="s">
        <v>20</v>
      </c>
      <c r="T3" s="1" t="s">
        <v>21</v>
      </c>
      <c r="U3" s="1" t="s">
        <v>22</v>
      </c>
      <c r="V3" s="1" t="s">
        <v>23</v>
      </c>
      <c r="W3" s="1" t="s">
        <v>24</v>
      </c>
      <c r="X3" s="1" t="s">
        <v>25</v>
      </c>
      <c r="Y3" s="1" t="s">
        <v>26</v>
      </c>
      <c r="Z3" s="1" t="s">
        <v>27</v>
      </c>
      <c r="AA3" s="1" t="s">
        <v>28</v>
      </c>
      <c r="AB3" s="1" t="s">
        <v>29</v>
      </c>
      <c r="AC3" s="1" t="s">
        <v>30</v>
      </c>
      <c r="AD3" s="1" t="s">
        <v>31</v>
      </c>
      <c r="AE3" s="1" t="s">
        <v>32</v>
      </c>
      <c r="AF3" s="1" t="s">
        <v>33</v>
      </c>
      <c r="AG3" s="1" t="s">
        <v>34</v>
      </c>
      <c r="AH3" s="1" t="s">
        <v>35</v>
      </c>
      <c r="AI3" s="1" t="s">
        <v>36</v>
      </c>
      <c r="AJ3" s="1" t="s">
        <v>37</v>
      </c>
      <c r="AK3" s="1" t="s">
        <v>38</v>
      </c>
      <c r="AL3" s="1" t="s">
        <v>39</v>
      </c>
      <c r="AM3" s="1" t="s">
        <v>40</v>
      </c>
      <c r="AN3" s="1" t="s">
        <v>41</v>
      </c>
      <c r="AO3" s="1" t="s">
        <v>42</v>
      </c>
      <c r="AP3" s="1" t="s">
        <v>43</v>
      </c>
      <c r="AQ3" s="1" t="s">
        <v>44</v>
      </c>
      <c r="AR3" s="1" t="s">
        <v>45</v>
      </c>
      <c r="AS3" s="1" t="s">
        <v>46</v>
      </c>
      <c r="AT3" s="1" t="s">
        <v>47</v>
      </c>
      <c r="AU3" s="1" t="s">
        <v>48</v>
      </c>
      <c r="AV3" s="1" t="s">
        <v>49</v>
      </c>
      <c r="AW3" s="1" t="s">
        <v>50</v>
      </c>
      <c r="AX3" s="1" t="s">
        <v>51</v>
      </c>
      <c r="AY3" s="1" t="s">
        <v>52</v>
      </c>
      <c r="AZ3" s="1" t="s">
        <v>53</v>
      </c>
      <c r="BA3" s="1" t="s">
        <v>54</v>
      </c>
      <c r="BB3" s="1" t="s">
        <v>55</v>
      </c>
      <c r="BC3" s="1" t="s">
        <v>56</v>
      </c>
      <c r="BD3" s="1" t="s">
        <v>57</v>
      </c>
      <c r="BE3" s="1" t="s">
        <v>58</v>
      </c>
      <c r="BF3" s="1" t="s">
        <v>59</v>
      </c>
      <c r="BG3" s="1" t="s">
        <v>60</v>
      </c>
      <c r="BH3" s="1" t="s">
        <v>61</v>
      </c>
      <c r="BI3" s="1" t="s">
        <v>62</v>
      </c>
      <c r="BJ3" s="1" t="s">
        <v>63</v>
      </c>
      <c r="BK3" s="1" t="s">
        <v>64</v>
      </c>
      <c r="BL3" s="1" t="s">
        <v>65</v>
      </c>
      <c r="BM3" s="1" t="s">
        <v>66</v>
      </c>
      <c r="BN3" s="1" t="s">
        <v>67</v>
      </c>
      <c r="BO3" s="1" t="s">
        <v>68</v>
      </c>
      <c r="BP3" s="1" t="s">
        <v>69</v>
      </c>
      <c r="BQ3" s="1" t="s">
        <v>70</v>
      </c>
      <c r="BR3" s="1" t="s">
        <v>71</v>
      </c>
      <c r="BS3" s="1" t="s">
        <v>72</v>
      </c>
      <c r="BT3" s="1" t="s">
        <v>73</v>
      </c>
      <c r="BU3" s="1" t="s">
        <v>74</v>
      </c>
      <c r="BV3" s="1" t="s">
        <v>56</v>
      </c>
      <c r="BW3" s="1" t="s">
        <v>75</v>
      </c>
    </row>
    <row r="4" spans="1:75">
      <c r="A4" s="1" t="s">
        <v>1</v>
      </c>
      <c r="B4" s="1" t="s">
        <v>76</v>
      </c>
      <c r="C4" s="1" t="s">
        <v>77</v>
      </c>
      <c r="D4" s="1" t="s">
        <v>78</v>
      </c>
      <c r="E4" s="1" t="s">
        <v>78</v>
      </c>
      <c r="F4" s="1" t="s">
        <v>79</v>
      </c>
      <c r="G4" s="1" t="s">
        <v>80</v>
      </c>
      <c r="H4" s="1" t="s">
        <v>81</v>
      </c>
      <c r="I4" s="1" t="s">
        <v>82</v>
      </c>
      <c r="J4" s="1" t="s">
        <v>83</v>
      </c>
      <c r="K4" s="1" t="s">
        <v>84</v>
      </c>
      <c r="L4" s="1" t="s">
        <v>85</v>
      </c>
      <c r="M4" s="1" t="s">
        <v>86</v>
      </c>
      <c r="N4" s="1" t="s">
        <v>87</v>
      </c>
      <c r="O4" s="1" t="s">
        <v>88</v>
      </c>
      <c r="P4" s="1" t="s">
        <v>89</v>
      </c>
      <c r="Q4" s="1" t="s">
        <v>90</v>
      </c>
      <c r="R4" s="1" t="s">
        <v>91</v>
      </c>
      <c r="S4" s="1" t="s">
        <v>92</v>
      </c>
      <c r="T4" s="1" t="s">
        <v>93</v>
      </c>
      <c r="U4" s="1" t="s">
        <v>88</v>
      </c>
      <c r="V4" s="1" t="s">
        <v>94</v>
      </c>
      <c r="W4" s="1" t="s">
        <v>95</v>
      </c>
      <c r="X4" s="1" t="s">
        <v>96</v>
      </c>
      <c r="Y4" s="1" t="s">
        <v>97</v>
      </c>
      <c r="Z4" s="1" t="s">
        <v>98</v>
      </c>
      <c r="AA4" s="1" t="s">
        <v>99</v>
      </c>
      <c r="AB4" s="1" t="s">
        <v>100</v>
      </c>
      <c r="AC4" s="1" t="s">
        <v>90</v>
      </c>
      <c r="AD4" s="1" t="s">
        <v>101</v>
      </c>
      <c r="AE4" s="1" t="s">
        <v>102</v>
      </c>
      <c r="AF4" s="1" t="s">
        <v>90</v>
      </c>
      <c r="AG4" s="1" t="s">
        <v>103</v>
      </c>
      <c r="AH4" s="1" t="s">
        <v>104</v>
      </c>
      <c r="AI4" s="1" t="s">
        <v>105</v>
      </c>
      <c r="AJ4" s="1" t="s">
        <v>106</v>
      </c>
      <c r="AK4" s="1" t="s">
        <v>107</v>
      </c>
      <c r="AL4" s="1" t="s">
        <v>108</v>
      </c>
      <c r="AM4" s="1" t="s">
        <v>104</v>
      </c>
      <c r="AN4" s="1" t="s">
        <v>78</v>
      </c>
      <c r="AO4" s="1" t="s">
        <v>109</v>
      </c>
      <c r="AP4" s="1" t="s">
        <v>110</v>
      </c>
      <c r="AQ4" s="1" t="s">
        <v>111</v>
      </c>
      <c r="AR4" s="1" t="s">
        <v>112</v>
      </c>
      <c r="AS4" s="1" t="s">
        <v>113</v>
      </c>
      <c r="AT4" s="1" t="s">
        <v>114</v>
      </c>
      <c r="AU4" s="1" t="s">
        <v>115</v>
      </c>
      <c r="AV4" s="1" t="s">
        <v>116</v>
      </c>
      <c r="AW4" s="1" t="s">
        <v>117</v>
      </c>
      <c r="AX4" s="1" t="s">
        <v>118</v>
      </c>
      <c r="AY4" s="1" t="s">
        <v>119</v>
      </c>
      <c r="AZ4" s="1" t="s">
        <v>120</v>
      </c>
      <c r="BA4" s="1" t="s">
        <v>121</v>
      </c>
      <c r="BB4" s="1" t="s">
        <v>90</v>
      </c>
      <c r="BC4" s="1" t="s">
        <v>122</v>
      </c>
      <c r="BD4" s="1" t="s">
        <v>123</v>
      </c>
      <c r="BE4" s="1" t="s">
        <v>78</v>
      </c>
      <c r="BF4" s="1" t="s">
        <v>90</v>
      </c>
      <c r="BG4" s="1" t="s">
        <v>124</v>
      </c>
      <c r="BH4" s="1" t="s">
        <v>125</v>
      </c>
      <c r="BI4" s="1" t="s">
        <v>126</v>
      </c>
      <c r="BJ4" s="1" t="s">
        <v>127</v>
      </c>
      <c r="BK4" s="1" t="s">
        <v>128</v>
      </c>
      <c r="BL4" s="1" t="s">
        <v>129</v>
      </c>
      <c r="BM4" s="1" t="s">
        <v>104</v>
      </c>
      <c r="BN4" s="1" t="s">
        <v>130</v>
      </c>
      <c r="BO4" s="1" t="s">
        <v>102</v>
      </c>
      <c r="BP4" s="1" t="s">
        <v>131</v>
      </c>
      <c r="BQ4" s="1" t="s">
        <v>132</v>
      </c>
      <c r="BR4" s="1" t="s">
        <v>78</v>
      </c>
      <c r="BS4" s="1" t="s">
        <v>108</v>
      </c>
      <c r="BT4" s="1" t="s">
        <v>133</v>
      </c>
      <c r="BU4" s="1" t="s">
        <v>134</v>
      </c>
      <c r="BV4" s="1" t="s">
        <v>135</v>
      </c>
      <c r="BW4" s="1" t="s">
        <v>136</v>
      </c>
    </row>
    <row r="5" spans="1:75">
      <c r="B5" s="1" t="s">
        <v>137</v>
      </c>
      <c r="C5" s="1" t="s">
        <v>138</v>
      </c>
      <c r="D5" s="1" t="s">
        <v>139</v>
      </c>
      <c r="E5" s="1" t="s">
        <v>139</v>
      </c>
      <c r="F5" s="1" t="s">
        <v>140</v>
      </c>
      <c r="G5" s="1" t="s">
        <v>141</v>
      </c>
      <c r="H5" s="1" t="s">
        <v>142</v>
      </c>
      <c r="I5" s="1" t="s">
        <v>143</v>
      </c>
      <c r="J5" s="1" t="s">
        <v>144</v>
      </c>
      <c r="K5" s="1" t="s">
        <v>145</v>
      </c>
      <c r="L5" s="1" t="s">
        <v>146</v>
      </c>
      <c r="M5" s="1" t="s">
        <v>147</v>
      </c>
      <c r="N5" s="1" t="s">
        <v>148</v>
      </c>
      <c r="O5" s="1" t="s">
        <v>139</v>
      </c>
      <c r="P5" s="1" t="s">
        <v>149</v>
      </c>
      <c r="Q5" s="1" t="s">
        <v>150</v>
      </c>
      <c r="R5" s="1" t="s">
        <v>151</v>
      </c>
      <c r="S5" s="1" t="s">
        <v>152</v>
      </c>
      <c r="T5" s="1" t="s">
        <v>153</v>
      </c>
      <c r="U5" s="1" t="s">
        <v>139</v>
      </c>
      <c r="V5" s="1" t="s">
        <v>154</v>
      </c>
      <c r="W5" s="1" t="s">
        <v>155</v>
      </c>
      <c r="X5" s="1" t="s">
        <v>156</v>
      </c>
      <c r="Y5" s="1" t="s">
        <v>157</v>
      </c>
      <c r="AA5" s="1" t="s">
        <v>158</v>
      </c>
      <c r="AB5" s="1" t="s">
        <v>159</v>
      </c>
      <c r="AC5" s="1" t="s">
        <v>150</v>
      </c>
      <c r="AD5" s="1" t="s">
        <v>160</v>
      </c>
      <c r="AE5" s="1" t="s">
        <v>161</v>
      </c>
      <c r="AF5" s="1" t="s">
        <v>150</v>
      </c>
      <c r="AG5" s="1" t="s">
        <v>162</v>
      </c>
      <c r="AH5" s="1" t="s">
        <v>163</v>
      </c>
      <c r="AI5" s="1" t="s">
        <v>164</v>
      </c>
      <c r="AJ5" s="1" t="s">
        <v>165</v>
      </c>
      <c r="AK5" s="1" t="s">
        <v>166</v>
      </c>
      <c r="AL5" s="1" t="s">
        <v>167</v>
      </c>
      <c r="AM5" s="1" t="s">
        <v>163</v>
      </c>
      <c r="AN5" s="1" t="s">
        <v>139</v>
      </c>
      <c r="AO5" s="1" t="s">
        <v>168</v>
      </c>
      <c r="AP5" s="1" t="s">
        <v>169</v>
      </c>
      <c r="AQ5" s="1" t="s">
        <v>170</v>
      </c>
      <c r="AS5" s="1" t="s">
        <v>171</v>
      </c>
      <c r="AT5" s="1" t="s">
        <v>172</v>
      </c>
      <c r="AU5" s="1" t="s">
        <v>173</v>
      </c>
      <c r="AV5" s="1" t="s">
        <v>174</v>
      </c>
      <c r="AW5" s="1" t="s">
        <v>175</v>
      </c>
      <c r="AX5" s="1" t="s">
        <v>176</v>
      </c>
      <c r="AY5" s="1" t="s">
        <v>177</v>
      </c>
      <c r="AZ5" s="1" t="s">
        <v>178</v>
      </c>
      <c r="BA5" s="1" t="s">
        <v>179</v>
      </c>
      <c r="BB5" s="1" t="s">
        <v>150</v>
      </c>
      <c r="BD5" s="1" t="s">
        <v>180</v>
      </c>
      <c r="BE5" s="1" t="s">
        <v>139</v>
      </c>
      <c r="BF5" s="1" t="s">
        <v>150</v>
      </c>
      <c r="BG5" s="1" t="s">
        <v>181</v>
      </c>
      <c r="BH5" s="1" t="s">
        <v>182</v>
      </c>
      <c r="BI5" s="1" t="s">
        <v>183</v>
      </c>
      <c r="BJ5" s="1" t="s">
        <v>184</v>
      </c>
      <c r="BK5" s="1" t="s">
        <v>185</v>
      </c>
      <c r="BL5" s="1" t="s">
        <v>129</v>
      </c>
      <c r="BM5" s="1" t="s">
        <v>163</v>
      </c>
      <c r="BN5" s="1" t="s">
        <v>186</v>
      </c>
      <c r="BO5" s="1" t="s">
        <v>161</v>
      </c>
      <c r="BP5" s="1" t="s">
        <v>187</v>
      </c>
      <c r="BQ5" s="1" t="s">
        <v>188</v>
      </c>
      <c r="BR5" s="1" t="s">
        <v>139</v>
      </c>
      <c r="BS5" s="1" t="s">
        <v>167</v>
      </c>
      <c r="BT5" s="1" t="s">
        <v>189</v>
      </c>
      <c r="BU5" s="1" t="s">
        <v>190</v>
      </c>
    </row>
    <row r="6" spans="1:75">
      <c r="B6" s="1" t="s">
        <v>191</v>
      </c>
      <c r="C6" s="1" t="s">
        <v>192</v>
      </c>
      <c r="G6" s="1" t="s">
        <v>193</v>
      </c>
      <c r="H6" s="1" t="s">
        <v>194</v>
      </c>
      <c r="I6" s="1" t="s">
        <v>195</v>
      </c>
      <c r="J6" s="1" t="s">
        <v>196</v>
      </c>
      <c r="K6" s="1" t="s">
        <v>197</v>
      </c>
      <c r="L6" s="1" t="s">
        <v>198</v>
      </c>
      <c r="M6" s="1" t="s">
        <v>199</v>
      </c>
      <c r="N6" s="1" t="s">
        <v>200</v>
      </c>
      <c r="P6" s="1" t="s">
        <v>201</v>
      </c>
      <c r="Q6" s="1" t="s">
        <v>202</v>
      </c>
      <c r="R6" s="1" t="s">
        <v>203</v>
      </c>
      <c r="S6" s="1" t="s">
        <v>204</v>
      </c>
      <c r="T6" s="1" t="s">
        <v>205</v>
      </c>
      <c r="V6" s="1" t="s">
        <v>206</v>
      </c>
      <c r="W6" s="1" t="s">
        <v>207</v>
      </c>
      <c r="X6" s="1" t="s">
        <v>208</v>
      </c>
      <c r="AA6" s="1" t="s">
        <v>209</v>
      </c>
      <c r="AB6" s="1" t="s">
        <v>210</v>
      </c>
      <c r="AC6" s="1" t="s">
        <v>202</v>
      </c>
      <c r="AD6" s="1" t="s">
        <v>211</v>
      </c>
      <c r="AF6" s="1" t="s">
        <v>202</v>
      </c>
      <c r="AH6" s="1" t="s">
        <v>212</v>
      </c>
      <c r="AI6" s="1" t="s">
        <v>213</v>
      </c>
      <c r="AJ6" s="1" t="s">
        <v>214</v>
      </c>
      <c r="AK6" s="1" t="s">
        <v>215</v>
      </c>
      <c r="AL6" s="1" t="s">
        <v>216</v>
      </c>
      <c r="AM6" s="1" t="s">
        <v>212</v>
      </c>
      <c r="AO6" s="1" t="s">
        <v>217</v>
      </c>
      <c r="AP6" s="1" t="s">
        <v>218</v>
      </c>
      <c r="AQ6" s="1" t="s">
        <v>219</v>
      </c>
      <c r="AS6" s="1" t="s">
        <v>220</v>
      </c>
      <c r="AT6" s="1" t="s">
        <v>221</v>
      </c>
      <c r="AU6" s="1" t="s">
        <v>222</v>
      </c>
      <c r="AV6" s="1" t="s">
        <v>223</v>
      </c>
      <c r="AW6" s="1" t="s">
        <v>224</v>
      </c>
      <c r="AX6" s="1" t="s">
        <v>225</v>
      </c>
      <c r="AY6" s="1" t="s">
        <v>226</v>
      </c>
      <c r="AZ6" s="1" t="s">
        <v>227</v>
      </c>
      <c r="BA6" s="1" t="s">
        <v>152</v>
      </c>
      <c r="BB6" s="1" t="s">
        <v>202</v>
      </c>
      <c r="BF6" s="1" t="s">
        <v>202</v>
      </c>
      <c r="BG6" s="1" t="s">
        <v>228</v>
      </c>
      <c r="BH6" s="1" t="s">
        <v>229</v>
      </c>
      <c r="BI6" s="1" t="s">
        <v>230</v>
      </c>
      <c r="BJ6" s="1" t="s">
        <v>231</v>
      </c>
      <c r="BK6" s="1" t="s">
        <v>232</v>
      </c>
      <c r="BL6" s="1" t="s">
        <v>233</v>
      </c>
      <c r="BM6" s="1" t="s">
        <v>212</v>
      </c>
      <c r="BN6" s="1" t="s">
        <v>234</v>
      </c>
      <c r="BP6" s="1" t="s">
        <v>235</v>
      </c>
      <c r="BQ6" s="1" t="s">
        <v>236</v>
      </c>
      <c r="BS6" s="1" t="s">
        <v>216</v>
      </c>
      <c r="BT6" s="1" t="s">
        <v>237</v>
      </c>
      <c r="BU6" s="1" t="s">
        <v>238</v>
      </c>
    </row>
    <row r="7" spans="1:75">
      <c r="B7" s="1" t="s">
        <v>239</v>
      </c>
      <c r="C7" s="1" t="s">
        <v>240</v>
      </c>
      <c r="G7" s="1" t="s">
        <v>241</v>
      </c>
      <c r="I7" s="1" t="s">
        <v>242</v>
      </c>
      <c r="J7" s="1" t="s">
        <v>243</v>
      </c>
      <c r="L7" s="1" t="s">
        <v>244</v>
      </c>
      <c r="M7" s="1" t="s">
        <v>245</v>
      </c>
      <c r="N7" s="1" t="s">
        <v>246</v>
      </c>
      <c r="P7" s="1" t="s">
        <v>247</v>
      </c>
      <c r="Q7" s="1" t="s">
        <v>248</v>
      </c>
      <c r="S7" s="1" t="s">
        <v>249</v>
      </c>
      <c r="T7" s="1" t="s">
        <v>250</v>
      </c>
      <c r="V7" s="1" t="s">
        <v>251</v>
      </c>
      <c r="W7" s="1" t="s">
        <v>252</v>
      </c>
      <c r="X7" s="1" t="s">
        <v>253</v>
      </c>
      <c r="AA7" s="1" t="s">
        <v>254</v>
      </c>
      <c r="AB7" s="1" t="s">
        <v>255</v>
      </c>
      <c r="AC7" s="1" t="s">
        <v>248</v>
      </c>
      <c r="AD7" s="1" t="s">
        <v>256</v>
      </c>
      <c r="AF7" s="1" t="s">
        <v>248</v>
      </c>
      <c r="AH7" s="1" t="s">
        <v>257</v>
      </c>
      <c r="AI7" s="1" t="s">
        <v>258</v>
      </c>
      <c r="AJ7" s="1" t="s">
        <v>259</v>
      </c>
      <c r="AK7" s="1" t="s">
        <v>260</v>
      </c>
      <c r="AL7" s="1" t="s">
        <v>261</v>
      </c>
      <c r="AM7" s="1" t="s">
        <v>257</v>
      </c>
      <c r="AO7" s="1" t="s">
        <v>262</v>
      </c>
      <c r="AP7" s="1" t="s">
        <v>263</v>
      </c>
      <c r="AQ7" s="1" t="s">
        <v>264</v>
      </c>
      <c r="AU7" s="1" t="s">
        <v>265</v>
      </c>
      <c r="AW7" s="1" t="s">
        <v>266</v>
      </c>
      <c r="AX7" s="1" t="s">
        <v>267</v>
      </c>
      <c r="AY7" s="1" t="s">
        <v>268</v>
      </c>
      <c r="AZ7" s="1" t="s">
        <v>269</v>
      </c>
      <c r="BA7" s="1" t="s">
        <v>270</v>
      </c>
      <c r="BB7" s="1" t="s">
        <v>248</v>
      </c>
      <c r="BF7" s="1" t="s">
        <v>248</v>
      </c>
      <c r="BG7" s="1" t="s">
        <v>271</v>
      </c>
      <c r="BH7" s="1" t="s">
        <v>272</v>
      </c>
      <c r="BI7" s="1" t="s">
        <v>273</v>
      </c>
      <c r="BJ7" s="1" t="s">
        <v>274</v>
      </c>
      <c r="BL7" s="1" t="s">
        <v>233</v>
      </c>
      <c r="BM7" s="1" t="s">
        <v>257</v>
      </c>
      <c r="BN7" s="1" t="s">
        <v>275</v>
      </c>
      <c r="BP7" s="1" t="s">
        <v>276</v>
      </c>
      <c r="BS7" s="1" t="s">
        <v>261</v>
      </c>
      <c r="BT7" s="1" t="s">
        <v>277</v>
      </c>
      <c r="BU7" s="1" t="s">
        <v>278</v>
      </c>
    </row>
    <row r="8" spans="1:75">
      <c r="G8" s="1" t="s">
        <v>279</v>
      </c>
      <c r="I8" s="1" t="s">
        <v>280</v>
      </c>
      <c r="J8" s="1" t="s">
        <v>281</v>
      </c>
      <c r="L8" s="1" t="s">
        <v>282</v>
      </c>
      <c r="M8" s="1" t="s">
        <v>283</v>
      </c>
      <c r="N8" s="1" t="s">
        <v>284</v>
      </c>
      <c r="P8" s="1" t="s">
        <v>285</v>
      </c>
      <c r="Q8" s="1" t="s">
        <v>286</v>
      </c>
      <c r="S8" s="1" t="s">
        <v>287</v>
      </c>
      <c r="T8" s="1" t="s">
        <v>288</v>
      </c>
      <c r="V8" s="1" t="s">
        <v>289</v>
      </c>
      <c r="W8" s="1" t="s">
        <v>290</v>
      </c>
      <c r="AA8" s="1" t="s">
        <v>291</v>
      </c>
      <c r="AB8" s="1" t="s">
        <v>292</v>
      </c>
      <c r="AC8" s="1" t="s">
        <v>286</v>
      </c>
      <c r="AD8" s="1" t="s">
        <v>293</v>
      </c>
      <c r="AF8" s="1" t="s">
        <v>286</v>
      </c>
      <c r="AH8" s="1" t="s">
        <v>294</v>
      </c>
      <c r="AK8" s="1" t="s">
        <v>295</v>
      </c>
      <c r="AL8" s="1" t="s">
        <v>296</v>
      </c>
      <c r="AM8" s="1" t="s">
        <v>294</v>
      </c>
      <c r="AO8" s="1" t="s">
        <v>297</v>
      </c>
      <c r="AP8" s="1" t="s">
        <v>298</v>
      </c>
      <c r="AQ8" s="1" t="s">
        <v>299</v>
      </c>
      <c r="AU8" s="1" t="s">
        <v>300</v>
      </c>
      <c r="AW8" s="1" t="s">
        <v>301</v>
      </c>
      <c r="AX8" s="1" t="s">
        <v>302</v>
      </c>
      <c r="AY8" s="1" t="s">
        <v>303</v>
      </c>
      <c r="AZ8" s="1" t="s">
        <v>304</v>
      </c>
      <c r="BB8" s="1" t="s">
        <v>286</v>
      </c>
      <c r="BF8" s="1" t="s">
        <v>286</v>
      </c>
      <c r="BI8" s="1" t="s">
        <v>305</v>
      </c>
      <c r="BJ8" s="1" t="s">
        <v>306</v>
      </c>
      <c r="BM8" s="1" t="s">
        <v>294</v>
      </c>
      <c r="BP8" s="1" t="s">
        <v>307</v>
      </c>
      <c r="BS8" s="1" t="s">
        <v>296</v>
      </c>
      <c r="BT8" s="1" t="s">
        <v>308</v>
      </c>
      <c r="BU8" s="1" t="s">
        <v>309</v>
      </c>
    </row>
    <row r="9" spans="1:75">
      <c r="G9" s="1" t="s">
        <v>310</v>
      </c>
      <c r="J9" s="1" t="s">
        <v>311</v>
      </c>
      <c r="L9" s="1" t="s">
        <v>312</v>
      </c>
      <c r="M9" s="1" t="s">
        <v>313</v>
      </c>
      <c r="N9" s="1" t="s">
        <v>314</v>
      </c>
      <c r="P9" s="1" t="s">
        <v>315</v>
      </c>
      <c r="T9" s="1" t="s">
        <v>316</v>
      </c>
      <c r="W9" s="1" t="s">
        <v>317</v>
      </c>
      <c r="AA9" s="1" t="s">
        <v>318</v>
      </c>
      <c r="AB9" s="1" t="s">
        <v>319</v>
      </c>
      <c r="AD9" s="1" t="s">
        <v>320</v>
      </c>
      <c r="AH9" s="1" t="s">
        <v>321</v>
      </c>
      <c r="AK9" s="1" t="s">
        <v>322</v>
      </c>
      <c r="AL9" s="1" t="s">
        <v>323</v>
      </c>
      <c r="AM9" s="1" t="s">
        <v>321</v>
      </c>
      <c r="AO9" s="1" t="s">
        <v>324</v>
      </c>
      <c r="AP9" s="1" t="s">
        <v>325</v>
      </c>
      <c r="AQ9" s="1" t="s">
        <v>326</v>
      </c>
      <c r="AU9" s="1" t="s">
        <v>327</v>
      </c>
      <c r="AW9" s="1" t="s">
        <v>328</v>
      </c>
      <c r="AX9" s="1" t="s">
        <v>329</v>
      </c>
      <c r="AY9" s="1" t="s">
        <v>330</v>
      </c>
      <c r="AZ9" s="1" t="s">
        <v>331</v>
      </c>
      <c r="BI9" s="1" t="s">
        <v>332</v>
      </c>
      <c r="BJ9" s="1" t="s">
        <v>333</v>
      </c>
      <c r="BM9" s="1" t="s">
        <v>321</v>
      </c>
      <c r="BP9" s="1" t="s">
        <v>334</v>
      </c>
      <c r="BS9" s="1" t="s">
        <v>323</v>
      </c>
      <c r="BT9" s="1" t="s">
        <v>335</v>
      </c>
      <c r="BU9" s="1" t="s">
        <v>336</v>
      </c>
    </row>
    <row r="10" spans="1:75">
      <c r="G10" s="1" t="s">
        <v>337</v>
      </c>
      <c r="J10" s="1" t="s">
        <v>338</v>
      </c>
      <c r="L10" s="1" t="s">
        <v>339</v>
      </c>
      <c r="M10" s="1" t="s">
        <v>340</v>
      </c>
      <c r="N10" s="1" t="s">
        <v>341</v>
      </c>
      <c r="P10" s="1" t="s">
        <v>342</v>
      </c>
      <c r="T10" s="1" t="s">
        <v>343</v>
      </c>
      <c r="W10" s="1" t="s">
        <v>344</v>
      </c>
      <c r="AA10" s="1" t="s">
        <v>345</v>
      </c>
      <c r="AB10" s="1" t="s">
        <v>346</v>
      </c>
      <c r="AD10" s="1" t="s">
        <v>347</v>
      </c>
      <c r="AK10" s="1" t="s">
        <v>348</v>
      </c>
      <c r="AL10" s="1" t="s">
        <v>349</v>
      </c>
      <c r="AO10" s="1" t="s">
        <v>350</v>
      </c>
      <c r="AP10" s="1" t="s">
        <v>351</v>
      </c>
      <c r="AQ10" s="1" t="s">
        <v>352</v>
      </c>
      <c r="AU10" s="1" t="s">
        <v>353</v>
      </c>
      <c r="AW10" s="1" t="s">
        <v>354</v>
      </c>
      <c r="AY10" s="1" t="s">
        <v>355</v>
      </c>
      <c r="AZ10" s="1" t="s">
        <v>356</v>
      </c>
      <c r="BI10" s="1" t="s">
        <v>357</v>
      </c>
      <c r="BJ10" s="1" t="s">
        <v>358</v>
      </c>
      <c r="BP10" s="1" t="s">
        <v>359</v>
      </c>
      <c r="BS10" s="1" t="s">
        <v>349</v>
      </c>
      <c r="BT10" s="1" t="s">
        <v>360</v>
      </c>
      <c r="BU10" s="1" t="s">
        <v>361</v>
      </c>
    </row>
    <row r="11" spans="1:75">
      <c r="G11" s="1" t="s">
        <v>362</v>
      </c>
      <c r="J11" s="1" t="s">
        <v>363</v>
      </c>
      <c r="L11" s="1" t="s">
        <v>364</v>
      </c>
      <c r="M11" s="1" t="s">
        <v>365</v>
      </c>
      <c r="P11" s="1" t="s">
        <v>366</v>
      </c>
      <c r="T11" s="1" t="s">
        <v>367</v>
      </c>
      <c r="W11" s="1" t="s">
        <v>368</v>
      </c>
      <c r="AA11" s="1" t="s">
        <v>369</v>
      </c>
      <c r="AB11" s="1" t="s">
        <v>370</v>
      </c>
      <c r="AD11" s="1" t="s">
        <v>371</v>
      </c>
      <c r="AK11" s="1" t="s">
        <v>372</v>
      </c>
      <c r="AL11" s="1" t="s">
        <v>373</v>
      </c>
      <c r="AO11" s="1" t="s">
        <v>374</v>
      </c>
      <c r="AP11" s="1" t="s">
        <v>375</v>
      </c>
      <c r="AQ11" s="1" t="s">
        <v>376</v>
      </c>
      <c r="AU11" s="1" t="s">
        <v>377</v>
      </c>
      <c r="AY11" s="1" t="s">
        <v>378</v>
      </c>
      <c r="AZ11" s="1" t="s">
        <v>379</v>
      </c>
      <c r="BI11" s="1" t="s">
        <v>380</v>
      </c>
      <c r="BJ11" s="1" t="s">
        <v>381</v>
      </c>
      <c r="BP11" s="1" t="s">
        <v>382</v>
      </c>
      <c r="BS11" s="1" t="s">
        <v>373</v>
      </c>
      <c r="BT11" s="1" t="s">
        <v>383</v>
      </c>
      <c r="BU11" s="1" t="s">
        <v>384</v>
      </c>
    </row>
    <row r="12" spans="1:75">
      <c r="G12" s="1" t="s">
        <v>385</v>
      </c>
      <c r="J12" s="1" t="s">
        <v>386</v>
      </c>
      <c r="L12" s="1" t="s">
        <v>387</v>
      </c>
      <c r="P12" s="1" t="s">
        <v>388</v>
      </c>
      <c r="T12" s="1" t="s">
        <v>389</v>
      </c>
      <c r="W12" s="1" t="s">
        <v>390</v>
      </c>
      <c r="AA12" s="1" t="s">
        <v>391</v>
      </c>
      <c r="AD12" s="1" t="s">
        <v>392</v>
      </c>
      <c r="AK12" s="1" t="s">
        <v>393</v>
      </c>
      <c r="AL12" s="1" t="s">
        <v>394</v>
      </c>
      <c r="AP12" s="1" t="s">
        <v>395</v>
      </c>
      <c r="AQ12" s="1" t="s">
        <v>396</v>
      </c>
      <c r="AU12" s="1" t="s">
        <v>397</v>
      </c>
      <c r="AY12" s="1" t="s">
        <v>398</v>
      </c>
      <c r="AZ12" s="1" t="s">
        <v>399</v>
      </c>
      <c r="BI12" s="1" t="s">
        <v>400</v>
      </c>
      <c r="BJ12" s="1" t="s">
        <v>401</v>
      </c>
      <c r="BP12" s="1" t="s">
        <v>402</v>
      </c>
      <c r="BS12" s="1" t="s">
        <v>394</v>
      </c>
      <c r="BT12" s="1" t="s">
        <v>403</v>
      </c>
    </row>
    <row r="13" spans="1:75">
      <c r="G13" s="1" t="s">
        <v>404</v>
      </c>
      <c r="J13" s="1" t="s">
        <v>405</v>
      </c>
      <c r="L13" s="1" t="s">
        <v>406</v>
      </c>
      <c r="P13" s="1" t="s">
        <v>407</v>
      </c>
      <c r="T13" s="1" t="s">
        <v>408</v>
      </c>
      <c r="W13" s="1" t="s">
        <v>409</v>
      </c>
      <c r="AA13" s="1" t="s">
        <v>410</v>
      </c>
      <c r="AD13" s="1" t="s">
        <v>411</v>
      </c>
      <c r="AK13" s="1" t="s">
        <v>412</v>
      </c>
      <c r="AL13" s="1" t="s">
        <v>413</v>
      </c>
      <c r="AP13" s="1" t="s">
        <v>414</v>
      </c>
      <c r="AQ13" s="1" t="s">
        <v>415</v>
      </c>
      <c r="AY13" s="1" t="s">
        <v>416</v>
      </c>
      <c r="AZ13" s="1" t="s">
        <v>417</v>
      </c>
      <c r="BI13" s="1" t="s">
        <v>418</v>
      </c>
      <c r="BJ13" s="1" t="s">
        <v>419</v>
      </c>
      <c r="BP13" s="1" t="s">
        <v>420</v>
      </c>
      <c r="BS13" s="1" t="s">
        <v>413</v>
      </c>
      <c r="BT13" s="1" t="s">
        <v>421</v>
      </c>
    </row>
    <row r="14" spans="1:75">
      <c r="G14" s="1" t="s">
        <v>422</v>
      </c>
      <c r="J14" s="1" t="s">
        <v>423</v>
      </c>
      <c r="L14" s="1" t="s">
        <v>424</v>
      </c>
      <c r="P14" s="1" t="s">
        <v>425</v>
      </c>
      <c r="T14" s="1" t="s">
        <v>426</v>
      </c>
      <c r="W14" s="1" t="s">
        <v>427</v>
      </c>
      <c r="AA14" s="1" t="s">
        <v>428</v>
      </c>
      <c r="AD14" s="1" t="s">
        <v>429</v>
      </c>
      <c r="AL14" s="1" t="s">
        <v>430</v>
      </c>
      <c r="AP14" s="1" t="s">
        <v>431</v>
      </c>
      <c r="AQ14" s="1" t="s">
        <v>432</v>
      </c>
      <c r="AY14" s="1" t="s">
        <v>433</v>
      </c>
      <c r="BI14" s="1" t="s">
        <v>434</v>
      </c>
      <c r="BJ14" s="1" t="s">
        <v>435</v>
      </c>
      <c r="BP14" s="1" t="s">
        <v>436</v>
      </c>
      <c r="BS14" s="1" t="s">
        <v>430</v>
      </c>
      <c r="BT14" s="1" t="s">
        <v>437</v>
      </c>
    </row>
    <row r="15" spans="1:75">
      <c r="G15" s="1" t="s">
        <v>438</v>
      </c>
      <c r="J15" s="1" t="s">
        <v>439</v>
      </c>
      <c r="L15" s="1" t="s">
        <v>440</v>
      </c>
      <c r="P15" s="1" t="s">
        <v>441</v>
      </c>
      <c r="T15" s="1" t="s">
        <v>442</v>
      </c>
      <c r="W15" s="1" t="s">
        <v>443</v>
      </c>
      <c r="AA15" s="1" t="s">
        <v>444</v>
      </c>
      <c r="AD15" s="1" t="s">
        <v>445</v>
      </c>
      <c r="AL15" s="1" t="s">
        <v>446</v>
      </c>
      <c r="AP15" s="1" t="s">
        <v>447</v>
      </c>
      <c r="AQ15" s="1" t="s">
        <v>448</v>
      </c>
      <c r="AY15" s="1" t="s">
        <v>449</v>
      </c>
      <c r="BI15" s="1" t="s">
        <v>450</v>
      </c>
      <c r="BJ15" s="1" t="s">
        <v>451</v>
      </c>
      <c r="BP15" s="1" t="s">
        <v>452</v>
      </c>
      <c r="BS15" s="1" t="s">
        <v>446</v>
      </c>
      <c r="BT15" s="1" t="s">
        <v>453</v>
      </c>
    </row>
    <row r="16" spans="1:75">
      <c r="G16" s="1" t="s">
        <v>454</v>
      </c>
      <c r="J16" s="1" t="s">
        <v>455</v>
      </c>
      <c r="P16" s="1" t="s">
        <v>456</v>
      </c>
      <c r="T16" s="1" t="s">
        <v>457</v>
      </c>
      <c r="W16" s="1" t="s">
        <v>458</v>
      </c>
      <c r="AA16" s="1" t="s">
        <v>459</v>
      </c>
      <c r="AD16" s="1" t="s">
        <v>460</v>
      </c>
      <c r="AL16" s="1" t="s">
        <v>461</v>
      </c>
      <c r="AP16" s="1" t="s">
        <v>462</v>
      </c>
      <c r="AQ16" s="1" t="s">
        <v>463</v>
      </c>
      <c r="AY16" s="1" t="s">
        <v>464</v>
      </c>
      <c r="BI16" s="1" t="s">
        <v>465</v>
      </c>
      <c r="BJ16" s="1" t="s">
        <v>466</v>
      </c>
      <c r="BP16" s="1" t="s">
        <v>467</v>
      </c>
      <c r="BS16" s="1" t="s">
        <v>461</v>
      </c>
      <c r="BT16" s="1" t="s">
        <v>468</v>
      </c>
    </row>
    <row r="17" spans="7:72">
      <c r="G17" s="1" t="s">
        <v>469</v>
      </c>
      <c r="J17" s="1" t="s">
        <v>470</v>
      </c>
      <c r="P17" s="1" t="s">
        <v>471</v>
      </c>
      <c r="T17" s="1" t="s">
        <v>472</v>
      </c>
      <c r="W17" s="1" t="s">
        <v>473</v>
      </c>
      <c r="AA17" s="1" t="s">
        <v>474</v>
      </c>
      <c r="AD17" s="1" t="s">
        <v>475</v>
      </c>
      <c r="AL17" s="1" t="s">
        <v>476</v>
      </c>
      <c r="AP17" s="1" t="s">
        <v>477</v>
      </c>
      <c r="AQ17" s="1" t="s">
        <v>478</v>
      </c>
      <c r="AY17" s="1" t="s">
        <v>479</v>
      </c>
      <c r="BI17" s="1" t="s">
        <v>480</v>
      </c>
      <c r="BJ17" s="1" t="s">
        <v>481</v>
      </c>
      <c r="BP17" s="1" t="s">
        <v>482</v>
      </c>
      <c r="BS17" s="1" t="s">
        <v>476</v>
      </c>
      <c r="BT17" s="1" t="s">
        <v>483</v>
      </c>
    </row>
    <row r="18" spans="7:72">
      <c r="G18" s="1" t="s">
        <v>484</v>
      </c>
      <c r="J18" s="1" t="s">
        <v>485</v>
      </c>
      <c r="P18" s="1" t="s">
        <v>486</v>
      </c>
      <c r="T18" s="1" t="s">
        <v>487</v>
      </c>
      <c r="W18" s="1" t="s">
        <v>488</v>
      </c>
      <c r="AA18" s="1" t="s">
        <v>489</v>
      </c>
      <c r="AL18" s="1" t="s">
        <v>490</v>
      </c>
      <c r="AP18" s="1" t="s">
        <v>491</v>
      </c>
      <c r="AQ18" s="1" t="s">
        <v>492</v>
      </c>
      <c r="AY18" s="1" t="s">
        <v>493</v>
      </c>
      <c r="BI18" s="1" t="s">
        <v>494</v>
      </c>
      <c r="BJ18" s="1" t="s">
        <v>495</v>
      </c>
      <c r="BP18" s="1" t="s">
        <v>496</v>
      </c>
      <c r="BS18" s="1" t="s">
        <v>490</v>
      </c>
      <c r="BT18" s="1" t="s">
        <v>497</v>
      </c>
    </row>
    <row r="19" spans="7:72">
      <c r="G19" s="1" t="s">
        <v>498</v>
      </c>
      <c r="J19" s="1" t="s">
        <v>499</v>
      </c>
      <c r="P19" s="1" t="s">
        <v>500</v>
      </c>
      <c r="T19" s="1" t="s">
        <v>501</v>
      </c>
      <c r="W19" s="1" t="s">
        <v>502</v>
      </c>
      <c r="AA19" s="1" t="s">
        <v>503</v>
      </c>
      <c r="AL19" s="1" t="s">
        <v>504</v>
      </c>
      <c r="AP19" s="1" t="s">
        <v>505</v>
      </c>
      <c r="AQ19" s="1" t="s">
        <v>506</v>
      </c>
      <c r="AY19" s="1" t="s">
        <v>507</v>
      </c>
      <c r="BI19" s="1" t="s">
        <v>508</v>
      </c>
      <c r="BJ19" s="1" t="s">
        <v>509</v>
      </c>
      <c r="BP19" s="1" t="s">
        <v>510</v>
      </c>
      <c r="BS19" s="1" t="s">
        <v>504</v>
      </c>
      <c r="BT19" s="1" t="s">
        <v>511</v>
      </c>
    </row>
    <row r="20" spans="7:72">
      <c r="G20" s="1" t="s">
        <v>512</v>
      </c>
      <c r="J20" s="1" t="s">
        <v>513</v>
      </c>
      <c r="P20" s="1" t="s">
        <v>514</v>
      </c>
      <c r="T20" s="1" t="s">
        <v>515</v>
      </c>
      <c r="W20" s="1" t="s">
        <v>516</v>
      </c>
      <c r="AA20" s="1" t="s">
        <v>517</v>
      </c>
      <c r="AL20" s="1" t="s">
        <v>518</v>
      </c>
      <c r="AP20" s="1" t="s">
        <v>519</v>
      </c>
      <c r="AQ20" s="1" t="s">
        <v>520</v>
      </c>
      <c r="AY20" s="1" t="s">
        <v>521</v>
      </c>
      <c r="BI20" s="1" t="s">
        <v>522</v>
      </c>
      <c r="BJ20" s="1" t="s">
        <v>523</v>
      </c>
      <c r="BP20" s="1" t="s">
        <v>524</v>
      </c>
      <c r="BS20" s="1" t="s">
        <v>518</v>
      </c>
      <c r="BT20" s="1" t="s">
        <v>525</v>
      </c>
    </row>
    <row r="21" spans="7:72">
      <c r="G21" s="1" t="s">
        <v>526</v>
      </c>
      <c r="P21" s="1" t="s">
        <v>527</v>
      </c>
      <c r="T21" s="1" t="s">
        <v>528</v>
      </c>
      <c r="W21" s="1" t="s">
        <v>529</v>
      </c>
      <c r="AA21" s="1" t="s">
        <v>530</v>
      </c>
      <c r="AL21" s="1" t="s">
        <v>531</v>
      </c>
      <c r="AP21" s="1" t="s">
        <v>532</v>
      </c>
      <c r="AQ21" s="1" t="s">
        <v>533</v>
      </c>
      <c r="AY21" s="1" t="s">
        <v>534</v>
      </c>
      <c r="BI21" s="1" t="s">
        <v>535</v>
      </c>
      <c r="BJ21" s="1" t="s">
        <v>536</v>
      </c>
      <c r="BP21" s="1" t="s">
        <v>537</v>
      </c>
      <c r="BS21" s="1" t="s">
        <v>531</v>
      </c>
      <c r="BT21" s="1" t="s">
        <v>538</v>
      </c>
    </row>
    <row r="22" spans="7:72">
      <c r="G22" s="1" t="s">
        <v>539</v>
      </c>
      <c r="P22" s="1" t="s">
        <v>540</v>
      </c>
      <c r="W22" s="1" t="s">
        <v>541</v>
      </c>
      <c r="AA22" s="1" t="s">
        <v>542</v>
      </c>
      <c r="AL22" s="1" t="s">
        <v>543</v>
      </c>
      <c r="AP22" s="1" t="s">
        <v>544</v>
      </c>
      <c r="AQ22" s="1" t="s">
        <v>545</v>
      </c>
      <c r="AY22" s="1" t="s">
        <v>546</v>
      </c>
      <c r="BI22" s="1" t="s">
        <v>547</v>
      </c>
      <c r="BP22" s="1" t="s">
        <v>548</v>
      </c>
      <c r="BS22" s="1" t="s">
        <v>543</v>
      </c>
      <c r="BT22" s="1" t="s">
        <v>549</v>
      </c>
    </row>
    <row r="23" spans="7:72">
      <c r="G23" s="1" t="s">
        <v>550</v>
      </c>
      <c r="P23" s="1" t="s">
        <v>551</v>
      </c>
      <c r="W23" s="1" t="s">
        <v>552</v>
      </c>
      <c r="AA23" s="1" t="s">
        <v>553</v>
      </c>
      <c r="AL23" s="1" t="s">
        <v>488</v>
      </c>
      <c r="AQ23" s="1" t="s">
        <v>554</v>
      </c>
      <c r="AY23" s="1" t="s">
        <v>555</v>
      </c>
      <c r="BI23" s="1" t="s">
        <v>556</v>
      </c>
      <c r="BP23" s="1" t="s">
        <v>557</v>
      </c>
      <c r="BS23" s="1" t="s">
        <v>488</v>
      </c>
      <c r="BT23" s="1" t="s">
        <v>558</v>
      </c>
    </row>
    <row r="24" spans="7:72">
      <c r="G24" s="1" t="s">
        <v>559</v>
      </c>
      <c r="P24" s="1" t="s">
        <v>560</v>
      </c>
      <c r="W24" s="1" t="s">
        <v>561</v>
      </c>
      <c r="AA24" s="1" t="s">
        <v>562</v>
      </c>
      <c r="AL24" s="1" t="s">
        <v>563</v>
      </c>
      <c r="AY24" s="1" t="s">
        <v>564</v>
      </c>
      <c r="BI24" s="1" t="s">
        <v>565</v>
      </c>
      <c r="BP24" s="1" t="s">
        <v>566</v>
      </c>
      <c r="BS24" s="1" t="s">
        <v>563</v>
      </c>
      <c r="BT24" s="1" t="s">
        <v>567</v>
      </c>
    </row>
    <row r="25" spans="7:72">
      <c r="G25" s="1" t="s">
        <v>568</v>
      </c>
      <c r="P25" s="1" t="s">
        <v>569</v>
      </c>
      <c r="W25" s="1" t="s">
        <v>570</v>
      </c>
      <c r="AL25" s="1" t="s">
        <v>502</v>
      </c>
      <c r="AY25" s="1" t="s">
        <v>571</v>
      </c>
      <c r="BI25" s="1" t="s">
        <v>572</v>
      </c>
      <c r="BP25" s="1" t="s">
        <v>573</v>
      </c>
      <c r="BS25" s="1" t="s">
        <v>502</v>
      </c>
    </row>
    <row r="26" spans="7:72">
      <c r="G26" s="1" t="s">
        <v>574</v>
      </c>
      <c r="P26" s="1" t="s">
        <v>575</v>
      </c>
      <c r="W26" s="1" t="s">
        <v>576</v>
      </c>
      <c r="AL26" s="1" t="s">
        <v>577</v>
      </c>
      <c r="AY26" s="1" t="s">
        <v>578</v>
      </c>
      <c r="BI26" s="1" t="s">
        <v>579</v>
      </c>
      <c r="BP26" s="1" t="s">
        <v>580</v>
      </c>
      <c r="BS26" s="1" t="s">
        <v>577</v>
      </c>
    </row>
    <row r="27" spans="7:72">
      <c r="G27" s="1" t="s">
        <v>581</v>
      </c>
      <c r="P27" s="1" t="s">
        <v>582</v>
      </c>
      <c r="W27" s="1" t="s">
        <v>583</v>
      </c>
      <c r="AL27" s="1" t="s">
        <v>516</v>
      </c>
      <c r="AY27" s="1" t="s">
        <v>584</v>
      </c>
      <c r="BI27" s="1" t="s">
        <v>585</v>
      </c>
      <c r="BP27" s="1" t="s">
        <v>586</v>
      </c>
      <c r="BS27" s="1" t="s">
        <v>516</v>
      </c>
    </row>
    <row r="28" spans="7:72">
      <c r="G28" s="1" t="s">
        <v>587</v>
      </c>
      <c r="P28" s="1" t="s">
        <v>588</v>
      </c>
      <c r="W28" s="1" t="s">
        <v>589</v>
      </c>
      <c r="AL28" s="1" t="s">
        <v>590</v>
      </c>
      <c r="AY28" s="1" t="s">
        <v>591</v>
      </c>
      <c r="BI28" s="1" t="s">
        <v>592</v>
      </c>
      <c r="BP28" s="1" t="s">
        <v>593</v>
      </c>
      <c r="BS28" s="1" t="s">
        <v>590</v>
      </c>
    </row>
    <row r="29" spans="7:72">
      <c r="G29" s="1" t="s">
        <v>594</v>
      </c>
      <c r="P29" s="1" t="s">
        <v>595</v>
      </c>
      <c r="W29" s="1" t="s">
        <v>596</v>
      </c>
      <c r="AL29" s="1" t="s">
        <v>529</v>
      </c>
      <c r="AY29" s="1" t="s">
        <v>597</v>
      </c>
      <c r="BI29" s="1" t="s">
        <v>598</v>
      </c>
      <c r="BP29" s="1" t="s">
        <v>599</v>
      </c>
      <c r="BS29" s="1" t="s">
        <v>529</v>
      </c>
    </row>
    <row r="30" spans="7:72">
      <c r="G30" s="1" t="s">
        <v>600</v>
      </c>
      <c r="P30" s="1" t="s">
        <v>601</v>
      </c>
      <c r="W30" s="1" t="s">
        <v>602</v>
      </c>
      <c r="AL30" s="1" t="s">
        <v>603</v>
      </c>
      <c r="AY30" s="1" t="s">
        <v>604</v>
      </c>
      <c r="BI30" s="1" t="s">
        <v>605</v>
      </c>
      <c r="BP30" s="1" t="s">
        <v>606</v>
      </c>
      <c r="BS30" s="1" t="s">
        <v>603</v>
      </c>
    </row>
    <row r="31" spans="7:72">
      <c r="G31" s="1" t="s">
        <v>607</v>
      </c>
      <c r="P31" s="1" t="s">
        <v>608</v>
      </c>
      <c r="W31" s="1" t="s">
        <v>609</v>
      </c>
      <c r="AL31" s="1" t="s">
        <v>541</v>
      </c>
      <c r="AY31" s="1" t="s">
        <v>610</v>
      </c>
      <c r="BI31" s="1" t="s">
        <v>611</v>
      </c>
      <c r="BP31" s="1" t="s">
        <v>612</v>
      </c>
      <c r="BS31" s="1" t="s">
        <v>541</v>
      </c>
    </row>
    <row r="32" spans="7:72">
      <c r="G32" s="1" t="s">
        <v>613</v>
      </c>
      <c r="P32" s="1" t="s">
        <v>614</v>
      </c>
      <c r="W32" s="1" t="s">
        <v>615</v>
      </c>
      <c r="AL32" s="1" t="s">
        <v>616</v>
      </c>
      <c r="AY32" s="1" t="s">
        <v>617</v>
      </c>
      <c r="BI32" s="1" t="s">
        <v>618</v>
      </c>
      <c r="BP32" s="1" t="s">
        <v>619</v>
      </c>
      <c r="BS32" s="1" t="s">
        <v>616</v>
      </c>
    </row>
    <row r="33" spans="7:71">
      <c r="G33" s="1" t="s">
        <v>620</v>
      </c>
      <c r="P33" s="1" t="s">
        <v>621</v>
      </c>
      <c r="W33" s="1" t="s">
        <v>622</v>
      </c>
      <c r="AL33" s="1" t="s">
        <v>552</v>
      </c>
      <c r="AY33" s="1" t="s">
        <v>623</v>
      </c>
      <c r="BI33" s="1" t="s">
        <v>624</v>
      </c>
      <c r="BP33" s="1" t="s">
        <v>625</v>
      </c>
      <c r="BS33" s="1" t="s">
        <v>552</v>
      </c>
    </row>
    <row r="34" spans="7:71">
      <c r="G34" s="1" t="s">
        <v>626</v>
      </c>
      <c r="P34" s="1" t="s">
        <v>627</v>
      </c>
      <c r="W34" s="1" t="s">
        <v>628</v>
      </c>
      <c r="AL34" s="1" t="s">
        <v>629</v>
      </c>
      <c r="AY34" s="1" t="s">
        <v>630</v>
      </c>
      <c r="BI34" s="1" t="s">
        <v>631</v>
      </c>
      <c r="BP34" s="1" t="s">
        <v>632</v>
      </c>
      <c r="BS34" s="1" t="s">
        <v>629</v>
      </c>
    </row>
    <row r="35" spans="7:71">
      <c r="G35" s="1" t="s">
        <v>633</v>
      </c>
      <c r="P35" s="1" t="s">
        <v>634</v>
      </c>
      <c r="W35" s="1" t="s">
        <v>635</v>
      </c>
      <c r="AL35" s="1" t="s">
        <v>561</v>
      </c>
      <c r="AY35" s="1" t="s">
        <v>98</v>
      </c>
      <c r="BI35" s="1" t="s">
        <v>636</v>
      </c>
      <c r="BP35" s="1" t="s">
        <v>637</v>
      </c>
      <c r="BS35" s="1" t="s">
        <v>561</v>
      </c>
    </row>
    <row r="36" spans="7:71">
      <c r="G36" s="1" t="s">
        <v>638</v>
      </c>
      <c r="P36" s="1" t="s">
        <v>639</v>
      </c>
      <c r="W36" s="1" t="s">
        <v>640</v>
      </c>
      <c r="AL36" s="1" t="s">
        <v>641</v>
      </c>
      <c r="AY36" s="1" t="s">
        <v>642</v>
      </c>
      <c r="BI36" s="1" t="s">
        <v>643</v>
      </c>
      <c r="BP36" s="1" t="s">
        <v>644</v>
      </c>
      <c r="BS36" s="1" t="s">
        <v>641</v>
      </c>
    </row>
    <row r="37" spans="7:71">
      <c r="G37" s="1" t="s">
        <v>645</v>
      </c>
      <c r="W37" s="1" t="s">
        <v>646</v>
      </c>
      <c r="AL37" s="1" t="s">
        <v>570</v>
      </c>
      <c r="AY37" s="1" t="s">
        <v>647</v>
      </c>
      <c r="BI37" s="1" t="s">
        <v>648</v>
      </c>
      <c r="BP37" s="1" t="s">
        <v>649</v>
      </c>
      <c r="BS37" s="1" t="s">
        <v>570</v>
      </c>
    </row>
    <row r="38" spans="7:71">
      <c r="G38" s="1" t="s">
        <v>650</v>
      </c>
      <c r="W38" s="1" t="s">
        <v>651</v>
      </c>
      <c r="AL38" s="1" t="s">
        <v>652</v>
      </c>
      <c r="AY38" s="1" t="s">
        <v>653</v>
      </c>
      <c r="BI38" s="1" t="s">
        <v>654</v>
      </c>
      <c r="BP38" s="1" t="s">
        <v>655</v>
      </c>
      <c r="BS38" s="1" t="s">
        <v>652</v>
      </c>
    </row>
    <row r="39" spans="7:71">
      <c r="G39" s="1" t="s">
        <v>656</v>
      </c>
      <c r="W39" s="1" t="s">
        <v>657</v>
      </c>
      <c r="AL39" s="1" t="s">
        <v>576</v>
      </c>
      <c r="AY39" s="1" t="s">
        <v>658</v>
      </c>
      <c r="BI39" s="1" t="s">
        <v>659</v>
      </c>
      <c r="BP39" s="1" t="s">
        <v>660</v>
      </c>
      <c r="BS39" s="1" t="s">
        <v>576</v>
      </c>
    </row>
    <row r="40" spans="7:71">
      <c r="G40" s="1" t="s">
        <v>661</v>
      </c>
      <c r="W40" s="1" t="s">
        <v>662</v>
      </c>
      <c r="AL40" s="1" t="s">
        <v>663</v>
      </c>
      <c r="AY40" s="1" t="s">
        <v>664</v>
      </c>
      <c r="BI40" s="1" t="s">
        <v>665</v>
      </c>
      <c r="BP40" s="1" t="s">
        <v>666</v>
      </c>
      <c r="BS40" s="1" t="s">
        <v>663</v>
      </c>
    </row>
    <row r="41" spans="7:71">
      <c r="G41" s="1" t="s">
        <v>667</v>
      </c>
      <c r="W41" s="1" t="s">
        <v>668</v>
      </c>
      <c r="AL41" s="1" t="s">
        <v>583</v>
      </c>
      <c r="AY41" s="1" t="s">
        <v>669</v>
      </c>
      <c r="BI41" s="1" t="s">
        <v>670</v>
      </c>
      <c r="BP41" s="1" t="s">
        <v>671</v>
      </c>
      <c r="BS41" s="1" t="s">
        <v>583</v>
      </c>
    </row>
    <row r="42" spans="7:71">
      <c r="G42" s="1" t="s">
        <v>672</v>
      </c>
      <c r="W42" s="1" t="s">
        <v>673</v>
      </c>
      <c r="AL42" s="1" t="s">
        <v>589</v>
      </c>
      <c r="AY42" s="1" t="s">
        <v>674</v>
      </c>
      <c r="BI42" s="1" t="s">
        <v>675</v>
      </c>
      <c r="BP42" s="1" t="s">
        <v>676</v>
      </c>
      <c r="BS42" s="1" t="s">
        <v>589</v>
      </c>
    </row>
    <row r="43" spans="7:71">
      <c r="G43" s="1" t="s">
        <v>677</v>
      </c>
      <c r="W43" s="1" t="s">
        <v>678</v>
      </c>
      <c r="AL43" s="1" t="s">
        <v>596</v>
      </c>
      <c r="AY43" s="1" t="s">
        <v>679</v>
      </c>
      <c r="BI43" s="1" t="s">
        <v>680</v>
      </c>
      <c r="BP43" s="1" t="s">
        <v>681</v>
      </c>
      <c r="BS43" s="1" t="s">
        <v>596</v>
      </c>
    </row>
    <row r="44" spans="7:71">
      <c r="G44" s="1" t="s">
        <v>682</v>
      </c>
      <c r="W44" s="1" t="s">
        <v>683</v>
      </c>
      <c r="AL44" s="1" t="s">
        <v>602</v>
      </c>
      <c r="AY44" s="1" t="s">
        <v>684</v>
      </c>
      <c r="BI44" s="1" t="s">
        <v>685</v>
      </c>
      <c r="BP44" s="1" t="s">
        <v>686</v>
      </c>
      <c r="BS44" s="1" t="s">
        <v>602</v>
      </c>
    </row>
    <row r="45" spans="7:71">
      <c r="G45" s="1" t="s">
        <v>687</v>
      </c>
      <c r="W45" s="1" t="s">
        <v>688</v>
      </c>
      <c r="AL45" s="1" t="s">
        <v>689</v>
      </c>
      <c r="AY45" s="1" t="s">
        <v>690</v>
      </c>
      <c r="BI45" s="1" t="s">
        <v>691</v>
      </c>
      <c r="BP45" s="1" t="s">
        <v>692</v>
      </c>
      <c r="BS45" s="1" t="s">
        <v>689</v>
      </c>
    </row>
    <row r="46" spans="7:71">
      <c r="G46" s="1" t="s">
        <v>693</v>
      </c>
      <c r="W46" s="1" t="s">
        <v>694</v>
      </c>
      <c r="AL46" s="1" t="s">
        <v>609</v>
      </c>
      <c r="AY46" s="1" t="s">
        <v>695</v>
      </c>
      <c r="BI46" s="1" t="s">
        <v>696</v>
      </c>
      <c r="BP46" s="1" t="s">
        <v>697</v>
      </c>
      <c r="BS46" s="1" t="s">
        <v>609</v>
      </c>
    </row>
    <row r="47" spans="7:71">
      <c r="G47" s="1" t="s">
        <v>698</v>
      </c>
      <c r="W47" s="1" t="s">
        <v>699</v>
      </c>
      <c r="AL47" s="1" t="s">
        <v>700</v>
      </c>
      <c r="AY47" s="1" t="s">
        <v>701</v>
      </c>
      <c r="BI47" s="1" t="s">
        <v>702</v>
      </c>
      <c r="BP47" s="1" t="s">
        <v>703</v>
      </c>
      <c r="BS47" s="1" t="s">
        <v>700</v>
      </c>
    </row>
    <row r="48" spans="7:71">
      <c r="G48" s="1" t="s">
        <v>704</v>
      </c>
      <c r="W48" s="1" t="s">
        <v>705</v>
      </c>
      <c r="AL48" s="1" t="s">
        <v>706</v>
      </c>
      <c r="AY48" s="1" t="s">
        <v>707</v>
      </c>
      <c r="BI48" s="1" t="s">
        <v>708</v>
      </c>
      <c r="BP48" s="1" t="s">
        <v>709</v>
      </c>
      <c r="BS48" s="1" t="s">
        <v>706</v>
      </c>
    </row>
    <row r="49" spans="7:71">
      <c r="G49" s="1" t="s">
        <v>710</v>
      </c>
      <c r="W49" s="1" t="s">
        <v>711</v>
      </c>
      <c r="AL49" s="1" t="s">
        <v>615</v>
      </c>
      <c r="AY49" s="1" t="s">
        <v>712</v>
      </c>
      <c r="BI49" s="1" t="s">
        <v>713</v>
      </c>
      <c r="BP49" s="1" t="s">
        <v>714</v>
      </c>
      <c r="BS49" s="1" t="s">
        <v>615</v>
      </c>
    </row>
    <row r="50" spans="7:71">
      <c r="G50" s="1" t="s">
        <v>715</v>
      </c>
      <c r="W50" s="1" t="s">
        <v>716</v>
      </c>
      <c r="AL50" s="1" t="s">
        <v>717</v>
      </c>
      <c r="AY50" s="1" t="s">
        <v>718</v>
      </c>
      <c r="BI50" s="1" t="s">
        <v>719</v>
      </c>
      <c r="BP50" s="1" t="s">
        <v>720</v>
      </c>
      <c r="BS50" s="1" t="s">
        <v>717</v>
      </c>
    </row>
    <row r="51" spans="7:71">
      <c r="G51" s="1" t="s">
        <v>721</v>
      </c>
      <c r="W51" s="1" t="s">
        <v>722</v>
      </c>
      <c r="AL51" s="1" t="s">
        <v>723</v>
      </c>
      <c r="AY51" s="1" t="s">
        <v>724</v>
      </c>
      <c r="BI51" s="1" t="s">
        <v>725</v>
      </c>
      <c r="BP51" s="1" t="s">
        <v>726</v>
      </c>
      <c r="BS51" s="1" t="s">
        <v>723</v>
      </c>
    </row>
    <row r="52" spans="7:71">
      <c r="G52" s="1" t="s">
        <v>727</v>
      </c>
      <c r="AL52" s="1" t="s">
        <v>622</v>
      </c>
      <c r="BI52" s="1" t="s">
        <v>728</v>
      </c>
      <c r="BP52" s="1" t="s">
        <v>729</v>
      </c>
      <c r="BS52" s="1" t="s">
        <v>622</v>
      </c>
    </row>
    <row r="53" spans="7:71">
      <c r="G53" s="1" t="s">
        <v>730</v>
      </c>
      <c r="AL53" s="1" t="s">
        <v>731</v>
      </c>
      <c r="BI53" s="1" t="s">
        <v>732</v>
      </c>
      <c r="BP53" s="1" t="s">
        <v>733</v>
      </c>
      <c r="BS53" s="1" t="s">
        <v>731</v>
      </c>
    </row>
    <row r="54" spans="7:71">
      <c r="G54" s="1" t="s">
        <v>734</v>
      </c>
      <c r="AL54" s="1" t="s">
        <v>628</v>
      </c>
      <c r="BI54" s="1" t="s">
        <v>735</v>
      </c>
      <c r="BP54" s="1" t="s">
        <v>736</v>
      </c>
      <c r="BS54" s="1" t="s">
        <v>628</v>
      </c>
    </row>
    <row r="55" spans="7:71">
      <c r="G55" s="1" t="s">
        <v>737</v>
      </c>
      <c r="AL55" s="1" t="s">
        <v>635</v>
      </c>
      <c r="BI55" s="1" t="s">
        <v>738</v>
      </c>
      <c r="BP55" s="1" t="s">
        <v>739</v>
      </c>
      <c r="BS55" s="1" t="s">
        <v>635</v>
      </c>
    </row>
    <row r="56" spans="7:71">
      <c r="G56" s="1" t="s">
        <v>740</v>
      </c>
      <c r="AL56" s="1" t="s">
        <v>640</v>
      </c>
      <c r="BI56" s="1" t="s">
        <v>741</v>
      </c>
      <c r="BP56" s="1" t="s">
        <v>742</v>
      </c>
      <c r="BS56" s="1" t="s">
        <v>640</v>
      </c>
    </row>
    <row r="57" spans="7:71">
      <c r="G57" s="1" t="s">
        <v>743</v>
      </c>
      <c r="AL57" s="1" t="s">
        <v>646</v>
      </c>
      <c r="BI57" s="1" t="s">
        <v>744</v>
      </c>
      <c r="BP57" s="1" t="s">
        <v>745</v>
      </c>
      <c r="BS57" s="1" t="s">
        <v>646</v>
      </c>
    </row>
    <row r="58" spans="7:71">
      <c r="G58" s="1" t="s">
        <v>746</v>
      </c>
      <c r="AL58" s="1" t="s">
        <v>651</v>
      </c>
      <c r="BI58" s="1" t="s">
        <v>747</v>
      </c>
      <c r="BP58" s="1" t="s">
        <v>748</v>
      </c>
      <c r="BS58" s="1" t="s">
        <v>651</v>
      </c>
    </row>
    <row r="59" spans="7:71">
      <c r="G59" s="1" t="s">
        <v>749</v>
      </c>
      <c r="AL59" s="1" t="s">
        <v>657</v>
      </c>
      <c r="BI59" s="1" t="s">
        <v>750</v>
      </c>
      <c r="BP59" s="1" t="s">
        <v>751</v>
      </c>
      <c r="BS59" s="1" t="s">
        <v>657</v>
      </c>
    </row>
    <row r="60" spans="7:71">
      <c r="G60" s="1" t="s">
        <v>752</v>
      </c>
      <c r="AL60" s="1" t="s">
        <v>662</v>
      </c>
      <c r="BI60" s="1" t="s">
        <v>753</v>
      </c>
      <c r="BP60" s="1" t="s">
        <v>754</v>
      </c>
      <c r="BS60" s="1" t="s">
        <v>662</v>
      </c>
    </row>
    <row r="61" spans="7:71">
      <c r="G61" s="1" t="s">
        <v>755</v>
      </c>
      <c r="AL61" s="1" t="s">
        <v>756</v>
      </c>
      <c r="BI61" s="1" t="s">
        <v>757</v>
      </c>
      <c r="BP61" s="1" t="s">
        <v>758</v>
      </c>
      <c r="BS61" s="1" t="s">
        <v>756</v>
      </c>
    </row>
    <row r="62" spans="7:71">
      <c r="G62" s="1" t="s">
        <v>759</v>
      </c>
      <c r="AL62" s="1" t="s">
        <v>668</v>
      </c>
      <c r="BI62" s="1" t="s">
        <v>760</v>
      </c>
      <c r="BP62" s="1" t="s">
        <v>761</v>
      </c>
      <c r="BS62" s="1" t="s">
        <v>668</v>
      </c>
    </row>
    <row r="63" spans="7:71">
      <c r="G63" s="1" t="s">
        <v>762</v>
      </c>
      <c r="AL63" s="1" t="s">
        <v>673</v>
      </c>
      <c r="BI63" s="1" t="s">
        <v>763</v>
      </c>
      <c r="BP63" s="1" t="s">
        <v>764</v>
      </c>
      <c r="BS63" s="1" t="s">
        <v>673</v>
      </c>
    </row>
    <row r="64" spans="7:71">
      <c r="G64" s="1" t="s">
        <v>765</v>
      </c>
      <c r="AL64" s="1" t="s">
        <v>766</v>
      </c>
      <c r="BI64" s="1" t="s">
        <v>767</v>
      </c>
      <c r="BP64" s="1" t="s">
        <v>768</v>
      </c>
      <c r="BS64" s="1" t="s">
        <v>766</v>
      </c>
    </row>
    <row r="65" spans="7:71">
      <c r="G65" s="1" t="s">
        <v>769</v>
      </c>
      <c r="AL65" s="1" t="s">
        <v>678</v>
      </c>
      <c r="BI65" s="1" t="s">
        <v>770</v>
      </c>
      <c r="BP65" s="1" t="s">
        <v>771</v>
      </c>
      <c r="BS65" s="1" t="s">
        <v>678</v>
      </c>
    </row>
    <row r="66" spans="7:71">
      <c r="G66" s="1" t="s">
        <v>772</v>
      </c>
      <c r="AL66" s="1" t="s">
        <v>683</v>
      </c>
      <c r="BI66" s="1" t="s">
        <v>773</v>
      </c>
      <c r="BP66" s="1" t="s">
        <v>774</v>
      </c>
      <c r="BS66" s="1" t="s">
        <v>683</v>
      </c>
    </row>
    <row r="67" spans="7:71">
      <c r="G67" s="1" t="s">
        <v>775</v>
      </c>
      <c r="AL67" s="1" t="s">
        <v>688</v>
      </c>
      <c r="BI67" s="1" t="s">
        <v>776</v>
      </c>
      <c r="BP67" s="1" t="s">
        <v>777</v>
      </c>
      <c r="BS67" s="1" t="s">
        <v>688</v>
      </c>
    </row>
    <row r="68" spans="7:71">
      <c r="G68" s="1" t="s">
        <v>778</v>
      </c>
      <c r="AL68" s="1" t="s">
        <v>779</v>
      </c>
      <c r="BI68" s="1" t="s">
        <v>780</v>
      </c>
      <c r="BP68" s="1" t="s">
        <v>781</v>
      </c>
      <c r="BS68" s="1" t="s">
        <v>779</v>
      </c>
    </row>
    <row r="69" spans="7:71">
      <c r="G69" s="1" t="s">
        <v>782</v>
      </c>
      <c r="AL69" s="1" t="s">
        <v>694</v>
      </c>
      <c r="BI69" s="1" t="s">
        <v>783</v>
      </c>
      <c r="BP69" s="1" t="s">
        <v>784</v>
      </c>
      <c r="BS69" s="1" t="s">
        <v>694</v>
      </c>
    </row>
    <row r="70" spans="7:71">
      <c r="G70" s="1" t="s">
        <v>785</v>
      </c>
      <c r="AL70" s="1" t="s">
        <v>699</v>
      </c>
      <c r="BI70" s="1" t="s">
        <v>786</v>
      </c>
      <c r="BP70" s="1" t="s">
        <v>787</v>
      </c>
      <c r="BS70" s="1" t="s">
        <v>699</v>
      </c>
    </row>
    <row r="71" spans="7:71">
      <c r="G71" s="1" t="s">
        <v>788</v>
      </c>
      <c r="AL71" s="1" t="s">
        <v>789</v>
      </c>
      <c r="BI71" s="1" t="s">
        <v>790</v>
      </c>
      <c r="BP71" s="1" t="s">
        <v>791</v>
      </c>
      <c r="BS71" s="1" t="s">
        <v>789</v>
      </c>
    </row>
    <row r="72" spans="7:71">
      <c r="G72" s="1" t="s">
        <v>792</v>
      </c>
      <c r="AL72" s="1" t="s">
        <v>705</v>
      </c>
      <c r="BI72" s="1" t="s">
        <v>793</v>
      </c>
      <c r="BP72" s="1" t="s">
        <v>794</v>
      </c>
      <c r="BS72" s="1" t="s">
        <v>705</v>
      </c>
    </row>
    <row r="73" spans="7:71">
      <c r="G73" s="1" t="s">
        <v>795</v>
      </c>
      <c r="AL73" s="1" t="s">
        <v>711</v>
      </c>
      <c r="BI73" s="1" t="s">
        <v>796</v>
      </c>
      <c r="BS73" s="1" t="s">
        <v>711</v>
      </c>
    </row>
    <row r="74" spans="7:71">
      <c r="G74" s="1" t="s">
        <v>797</v>
      </c>
      <c r="AL74" s="1" t="s">
        <v>716</v>
      </c>
      <c r="BI74" s="1" t="s">
        <v>798</v>
      </c>
      <c r="BS74" s="1" t="s">
        <v>716</v>
      </c>
    </row>
    <row r="75" spans="7:71">
      <c r="G75" s="1" t="s">
        <v>799</v>
      </c>
      <c r="AL75" s="1" t="s">
        <v>800</v>
      </c>
      <c r="BI75" s="1" t="s">
        <v>801</v>
      </c>
      <c r="BS75" s="1" t="s">
        <v>800</v>
      </c>
    </row>
    <row r="76" spans="7:71">
      <c r="G76" s="1" t="s">
        <v>802</v>
      </c>
      <c r="AL76" s="1" t="s">
        <v>803</v>
      </c>
      <c r="BI76" s="1" t="s">
        <v>804</v>
      </c>
      <c r="BS76" s="1" t="s">
        <v>803</v>
      </c>
    </row>
    <row r="77" spans="7:71">
      <c r="G77" s="1" t="s">
        <v>805</v>
      </c>
      <c r="AL77" s="1" t="s">
        <v>95</v>
      </c>
      <c r="BI77" s="1" t="s">
        <v>806</v>
      </c>
      <c r="BS77" s="1" t="s">
        <v>95</v>
      </c>
    </row>
    <row r="78" spans="7:71">
      <c r="G78" s="1" t="s">
        <v>807</v>
      </c>
      <c r="AL78" s="1" t="s">
        <v>808</v>
      </c>
      <c r="BI78" s="1" t="s">
        <v>809</v>
      </c>
      <c r="BS78" s="1" t="s">
        <v>808</v>
      </c>
    </row>
    <row r="79" spans="7:71">
      <c r="G79" s="1" t="s">
        <v>810</v>
      </c>
      <c r="AL79" s="1" t="s">
        <v>811</v>
      </c>
      <c r="BI79" s="1" t="s">
        <v>812</v>
      </c>
      <c r="BS79" s="1" t="s">
        <v>811</v>
      </c>
    </row>
    <row r="80" spans="7:71">
      <c r="G80" s="1" t="s">
        <v>813</v>
      </c>
      <c r="AL80" s="1" t="s">
        <v>814</v>
      </c>
      <c r="BI80" s="1" t="s">
        <v>815</v>
      </c>
      <c r="BS80" s="1" t="s">
        <v>814</v>
      </c>
    </row>
    <row r="81" spans="7:71">
      <c r="G81" s="1" t="s">
        <v>816</v>
      </c>
      <c r="AL81" s="1" t="s">
        <v>817</v>
      </c>
      <c r="BI81" s="1" t="s">
        <v>818</v>
      </c>
      <c r="BS81" s="1" t="s">
        <v>817</v>
      </c>
    </row>
    <row r="82" spans="7:71">
      <c r="G82" s="1" t="s">
        <v>819</v>
      </c>
      <c r="AL82" s="1" t="s">
        <v>820</v>
      </c>
      <c r="BI82" s="1" t="s">
        <v>821</v>
      </c>
      <c r="BS82" s="1" t="s">
        <v>820</v>
      </c>
    </row>
    <row r="83" spans="7:71">
      <c r="G83" s="1" t="s">
        <v>822</v>
      </c>
      <c r="AL83" s="1" t="s">
        <v>823</v>
      </c>
      <c r="BI83" s="1" t="s">
        <v>824</v>
      </c>
      <c r="BS83" s="1" t="s">
        <v>823</v>
      </c>
    </row>
    <row r="84" spans="7:71">
      <c r="G84" s="1" t="s">
        <v>825</v>
      </c>
      <c r="AL84" s="1" t="s">
        <v>826</v>
      </c>
      <c r="BI84" s="1" t="s">
        <v>827</v>
      </c>
      <c r="BS84" s="1" t="s">
        <v>826</v>
      </c>
    </row>
    <row r="85" spans="7:71">
      <c r="G85" s="1" t="s">
        <v>828</v>
      </c>
      <c r="AL85" s="1" t="s">
        <v>294</v>
      </c>
      <c r="BI85" s="1" t="s">
        <v>829</v>
      </c>
      <c r="BS85" s="1" t="s">
        <v>294</v>
      </c>
    </row>
    <row r="86" spans="7:71">
      <c r="G86" s="1" t="s">
        <v>830</v>
      </c>
      <c r="AL86" s="1" t="s">
        <v>831</v>
      </c>
      <c r="BI86" s="1" t="s">
        <v>832</v>
      </c>
      <c r="BS86" s="1" t="s">
        <v>831</v>
      </c>
    </row>
    <row r="87" spans="7:71">
      <c r="G87" s="1" t="s">
        <v>833</v>
      </c>
      <c r="AL87" s="1" t="s">
        <v>834</v>
      </c>
      <c r="BI87" s="1" t="s">
        <v>835</v>
      </c>
      <c r="BS87" s="1" t="s">
        <v>834</v>
      </c>
    </row>
    <row r="88" spans="7:71">
      <c r="G88" s="1" t="s">
        <v>836</v>
      </c>
      <c r="AL88" s="1" t="s">
        <v>837</v>
      </c>
      <c r="BI88" s="1" t="s">
        <v>838</v>
      </c>
      <c r="BS88" s="1" t="s">
        <v>837</v>
      </c>
    </row>
    <row r="89" spans="7:71">
      <c r="G89" s="1" t="s">
        <v>839</v>
      </c>
      <c r="AL89" s="1" t="s">
        <v>840</v>
      </c>
      <c r="BI89" s="1" t="s">
        <v>841</v>
      </c>
      <c r="BS89" s="1" t="s">
        <v>840</v>
      </c>
    </row>
    <row r="90" spans="7:71">
      <c r="G90" s="1" t="s">
        <v>842</v>
      </c>
      <c r="AL90" s="1" t="s">
        <v>843</v>
      </c>
      <c r="BI90" s="1" t="s">
        <v>844</v>
      </c>
      <c r="BS90" s="1" t="s">
        <v>843</v>
      </c>
    </row>
    <row r="91" spans="7:71">
      <c r="G91" s="1" t="s">
        <v>845</v>
      </c>
      <c r="AL91" s="1" t="s">
        <v>846</v>
      </c>
      <c r="BI91" s="1" t="s">
        <v>847</v>
      </c>
      <c r="BS91" s="1" t="s">
        <v>846</v>
      </c>
    </row>
    <row r="92" spans="7:71">
      <c r="G92" s="1" t="s">
        <v>848</v>
      </c>
      <c r="AL92" s="1" t="s">
        <v>849</v>
      </c>
      <c r="BI92" s="1" t="s">
        <v>850</v>
      </c>
      <c r="BS92" s="1" t="s">
        <v>849</v>
      </c>
    </row>
    <row r="93" spans="7:71">
      <c r="G93" s="1" t="s">
        <v>851</v>
      </c>
      <c r="AL93" s="1" t="s">
        <v>852</v>
      </c>
      <c r="BI93" s="1" t="s">
        <v>853</v>
      </c>
      <c r="BS93" s="1" t="s">
        <v>852</v>
      </c>
    </row>
    <row r="94" spans="7:71">
      <c r="G94" s="1" t="s">
        <v>854</v>
      </c>
      <c r="AL94" s="1" t="s">
        <v>855</v>
      </c>
      <c r="BI94" s="1" t="s">
        <v>856</v>
      </c>
      <c r="BS94" s="1" t="s">
        <v>855</v>
      </c>
    </row>
    <row r="95" spans="7:71">
      <c r="G95" s="1" t="s">
        <v>857</v>
      </c>
      <c r="AL95" s="1" t="s">
        <v>858</v>
      </c>
      <c r="BI95" s="1" t="s">
        <v>859</v>
      </c>
      <c r="BS95" s="1" t="s">
        <v>858</v>
      </c>
    </row>
    <row r="96" spans="7:71">
      <c r="G96" s="1" t="s">
        <v>860</v>
      </c>
      <c r="AL96" s="1" t="s">
        <v>861</v>
      </c>
      <c r="BI96" s="1" t="s">
        <v>862</v>
      </c>
      <c r="BS96" s="1" t="s">
        <v>861</v>
      </c>
    </row>
    <row r="97" spans="7:71">
      <c r="G97" s="1" t="s">
        <v>812</v>
      </c>
      <c r="AL97" s="1" t="s">
        <v>863</v>
      </c>
      <c r="BI97" s="1" t="s">
        <v>864</v>
      </c>
      <c r="BS97" s="1" t="s">
        <v>863</v>
      </c>
    </row>
    <row r="98" spans="7:71">
      <c r="G98" s="1" t="s">
        <v>865</v>
      </c>
      <c r="AL98" s="1" t="s">
        <v>866</v>
      </c>
      <c r="BI98" s="1" t="s">
        <v>867</v>
      </c>
      <c r="BS98" s="1" t="s">
        <v>866</v>
      </c>
    </row>
    <row r="99" spans="7:71">
      <c r="G99" s="1" t="s">
        <v>868</v>
      </c>
      <c r="AL99" s="1" t="s">
        <v>869</v>
      </c>
      <c r="BI99" s="1" t="s">
        <v>870</v>
      </c>
      <c r="BS99" s="1" t="s">
        <v>869</v>
      </c>
    </row>
    <row r="100" spans="7:71">
      <c r="G100" s="1" t="s">
        <v>871</v>
      </c>
      <c r="AL100" s="1" t="s">
        <v>872</v>
      </c>
      <c r="BI100" s="1" t="s">
        <v>873</v>
      </c>
      <c r="BS100" s="1" t="s">
        <v>872</v>
      </c>
    </row>
    <row r="101" spans="7:71">
      <c r="G101" s="1" t="s">
        <v>874</v>
      </c>
      <c r="AL101" s="1" t="s">
        <v>875</v>
      </c>
      <c r="BI101" s="1" t="s">
        <v>876</v>
      </c>
      <c r="BS101" s="1" t="s">
        <v>875</v>
      </c>
    </row>
    <row r="102" spans="7:71">
      <c r="G102" s="1" t="s">
        <v>877</v>
      </c>
      <c r="AL102" s="1" t="s">
        <v>878</v>
      </c>
      <c r="BI102" s="1" t="s">
        <v>879</v>
      </c>
      <c r="BS102" s="1" t="s">
        <v>878</v>
      </c>
    </row>
    <row r="103" spans="7:71">
      <c r="G103" s="1" t="s">
        <v>880</v>
      </c>
      <c r="AL103" s="1" t="s">
        <v>881</v>
      </c>
      <c r="BI103" s="1" t="s">
        <v>882</v>
      </c>
      <c r="BS103" s="1" t="s">
        <v>881</v>
      </c>
    </row>
    <row r="104" spans="7:71">
      <c r="G104" s="1" t="s">
        <v>883</v>
      </c>
      <c r="AL104" s="1" t="s">
        <v>884</v>
      </c>
      <c r="BI104" s="1" t="s">
        <v>885</v>
      </c>
      <c r="BS104" s="1" t="s">
        <v>884</v>
      </c>
    </row>
    <row r="105" spans="7:71">
      <c r="G105" s="1" t="s">
        <v>886</v>
      </c>
      <c r="AL105" s="1" t="s">
        <v>887</v>
      </c>
      <c r="BI105" s="1" t="s">
        <v>888</v>
      </c>
      <c r="BS105" s="1" t="s">
        <v>887</v>
      </c>
    </row>
    <row r="106" spans="7:71">
      <c r="G106" s="1" t="s">
        <v>889</v>
      </c>
      <c r="AL106" s="1" t="s">
        <v>890</v>
      </c>
      <c r="BI106" s="1" t="s">
        <v>891</v>
      </c>
      <c r="BS106" s="1" t="s">
        <v>890</v>
      </c>
    </row>
    <row r="107" spans="7:71">
      <c r="G107" s="1" t="s">
        <v>892</v>
      </c>
      <c r="AL107" s="1" t="s">
        <v>893</v>
      </c>
      <c r="BI107" s="1" t="s">
        <v>894</v>
      </c>
      <c r="BS107" s="1" t="s">
        <v>893</v>
      </c>
    </row>
    <row r="108" spans="7:71">
      <c r="G108" s="1" t="s">
        <v>895</v>
      </c>
      <c r="AL108" s="1" t="s">
        <v>896</v>
      </c>
      <c r="BI108" s="1" t="s">
        <v>897</v>
      </c>
      <c r="BS108" s="1" t="s">
        <v>896</v>
      </c>
    </row>
    <row r="109" spans="7:71">
      <c r="G109" s="1" t="s">
        <v>898</v>
      </c>
      <c r="AL109" s="1" t="s">
        <v>899</v>
      </c>
      <c r="BI109" s="1" t="s">
        <v>900</v>
      </c>
      <c r="BS109" s="1" t="s">
        <v>899</v>
      </c>
    </row>
    <row r="110" spans="7:71">
      <c r="G110" s="1" t="s">
        <v>901</v>
      </c>
      <c r="AL110" s="1" t="s">
        <v>902</v>
      </c>
      <c r="BI110" s="1" t="s">
        <v>903</v>
      </c>
      <c r="BS110" s="1" t="s">
        <v>902</v>
      </c>
    </row>
    <row r="111" spans="7:71">
      <c r="G111" s="1" t="s">
        <v>904</v>
      </c>
      <c r="AL111" s="1" t="s">
        <v>905</v>
      </c>
      <c r="BI111" s="1" t="s">
        <v>906</v>
      </c>
      <c r="BS111" s="1" t="s">
        <v>905</v>
      </c>
    </row>
    <row r="112" spans="7:71">
      <c r="G112" s="1" t="s">
        <v>907</v>
      </c>
      <c r="AL112" s="1" t="s">
        <v>908</v>
      </c>
      <c r="BI112" s="1" t="s">
        <v>909</v>
      </c>
      <c r="BS112" s="1" t="s">
        <v>908</v>
      </c>
    </row>
    <row r="113" spans="7:71">
      <c r="G113" s="1" t="s">
        <v>910</v>
      </c>
      <c r="AL113" s="1" t="s">
        <v>911</v>
      </c>
      <c r="BI113" s="1" t="s">
        <v>912</v>
      </c>
      <c r="BS113" s="1" t="s">
        <v>911</v>
      </c>
    </row>
    <row r="114" spans="7:71">
      <c r="G114" s="1" t="s">
        <v>913</v>
      </c>
      <c r="AL114" s="1" t="s">
        <v>914</v>
      </c>
      <c r="BI114" s="1" t="s">
        <v>915</v>
      </c>
      <c r="BS114" s="1" t="s">
        <v>914</v>
      </c>
    </row>
    <row r="115" spans="7:71">
      <c r="G115" s="1" t="s">
        <v>916</v>
      </c>
      <c r="AL115" s="1" t="s">
        <v>917</v>
      </c>
      <c r="BI115" s="1" t="s">
        <v>918</v>
      </c>
      <c r="BS115" s="1" t="s">
        <v>917</v>
      </c>
    </row>
    <row r="116" spans="7:71">
      <c r="G116" s="1" t="s">
        <v>919</v>
      </c>
      <c r="AL116" s="1" t="s">
        <v>920</v>
      </c>
      <c r="BI116" s="1" t="s">
        <v>921</v>
      </c>
      <c r="BS116" s="1" t="s">
        <v>920</v>
      </c>
    </row>
    <row r="117" spans="7:71">
      <c r="G117" s="1" t="s">
        <v>922</v>
      </c>
      <c r="AL117" s="1" t="s">
        <v>923</v>
      </c>
      <c r="BI117" s="1" t="s">
        <v>924</v>
      </c>
      <c r="BS117" s="1" t="s">
        <v>923</v>
      </c>
    </row>
    <row r="118" spans="7:71">
      <c r="G118" s="1" t="s">
        <v>925</v>
      </c>
      <c r="AL118" s="1" t="s">
        <v>926</v>
      </c>
      <c r="BI118" s="1" t="s">
        <v>927</v>
      </c>
      <c r="BS118" s="1" t="s">
        <v>926</v>
      </c>
    </row>
    <row r="119" spans="7:71">
      <c r="G119" s="1" t="s">
        <v>928</v>
      </c>
      <c r="AL119" s="1" t="s">
        <v>929</v>
      </c>
      <c r="BI119" s="1" t="s">
        <v>930</v>
      </c>
      <c r="BS119" s="1" t="s">
        <v>929</v>
      </c>
    </row>
    <row r="120" spans="7:71">
      <c r="G120" s="1" t="s">
        <v>931</v>
      </c>
      <c r="AL120" s="1" t="s">
        <v>932</v>
      </c>
      <c r="BI120" s="1" t="s">
        <v>933</v>
      </c>
      <c r="BS120" s="1" t="s">
        <v>932</v>
      </c>
    </row>
    <row r="121" spans="7:71">
      <c r="G121" s="1" t="s">
        <v>934</v>
      </c>
      <c r="AL121" s="1" t="s">
        <v>935</v>
      </c>
      <c r="BI121" s="1" t="s">
        <v>936</v>
      </c>
      <c r="BS121" s="1" t="s">
        <v>935</v>
      </c>
    </row>
    <row r="122" spans="7:71">
      <c r="G122" s="1" t="s">
        <v>937</v>
      </c>
      <c r="AL122" s="1" t="s">
        <v>938</v>
      </c>
      <c r="BI122" s="1" t="s">
        <v>939</v>
      </c>
      <c r="BS122" s="1" t="s">
        <v>938</v>
      </c>
    </row>
    <row r="123" spans="7:71">
      <c r="G123" s="1" t="s">
        <v>940</v>
      </c>
      <c r="AL123" s="1" t="s">
        <v>941</v>
      </c>
      <c r="BI123" s="1" t="s">
        <v>942</v>
      </c>
      <c r="BS123" s="1" t="s">
        <v>941</v>
      </c>
    </row>
    <row r="124" spans="7:71">
      <c r="G124" s="1" t="s">
        <v>943</v>
      </c>
      <c r="AL124" s="1" t="s">
        <v>944</v>
      </c>
      <c r="BI124" s="1" t="s">
        <v>945</v>
      </c>
      <c r="BS124" s="1" t="s">
        <v>944</v>
      </c>
    </row>
    <row r="125" spans="7:71">
      <c r="G125" s="1" t="s">
        <v>946</v>
      </c>
      <c r="AL125" s="1" t="s">
        <v>947</v>
      </c>
      <c r="BI125" s="1" t="s">
        <v>948</v>
      </c>
      <c r="BS125" s="1" t="s">
        <v>947</v>
      </c>
    </row>
    <row r="126" spans="7:71">
      <c r="G126" s="1" t="s">
        <v>949</v>
      </c>
      <c r="AL126" s="1" t="s">
        <v>950</v>
      </c>
      <c r="BI126" s="1" t="s">
        <v>951</v>
      </c>
      <c r="BS126" s="1" t="s">
        <v>950</v>
      </c>
    </row>
    <row r="127" spans="7:71">
      <c r="G127" s="1" t="s">
        <v>952</v>
      </c>
      <c r="AL127" s="1" t="s">
        <v>953</v>
      </c>
      <c r="BI127" s="1" t="s">
        <v>954</v>
      </c>
      <c r="BS127" s="1" t="s">
        <v>953</v>
      </c>
    </row>
    <row r="128" spans="7:71">
      <c r="G128" s="1" t="s">
        <v>955</v>
      </c>
      <c r="AL128" s="1" t="s">
        <v>956</v>
      </c>
      <c r="BI128" s="1" t="s">
        <v>957</v>
      </c>
      <c r="BS128" s="1" t="s">
        <v>956</v>
      </c>
    </row>
    <row r="129" spans="7:71">
      <c r="G129" s="1" t="s">
        <v>958</v>
      </c>
      <c r="AL129" s="1" t="s">
        <v>959</v>
      </c>
      <c r="BI129" s="1" t="s">
        <v>960</v>
      </c>
      <c r="BS129" s="1" t="s">
        <v>959</v>
      </c>
    </row>
    <row r="130" spans="7:71">
      <c r="G130" s="1" t="s">
        <v>961</v>
      </c>
      <c r="AL130" s="1" t="s">
        <v>962</v>
      </c>
      <c r="BI130" s="1" t="s">
        <v>963</v>
      </c>
      <c r="BS130" s="1" t="s">
        <v>962</v>
      </c>
    </row>
    <row r="131" spans="7:71">
      <c r="G131" s="1" t="s">
        <v>964</v>
      </c>
      <c r="BI131" s="1" t="s">
        <v>965</v>
      </c>
    </row>
    <row r="132" spans="7:71">
      <c r="G132" s="1" t="s">
        <v>966</v>
      </c>
      <c r="BI132" s="1" t="s">
        <v>967</v>
      </c>
    </row>
    <row r="133" spans="7:71">
      <c r="G133" s="1" t="s">
        <v>968</v>
      </c>
      <c r="BI133" s="1" t="s">
        <v>969</v>
      </c>
    </row>
    <row r="134" spans="7:71">
      <c r="G134" s="1" t="s">
        <v>970</v>
      </c>
      <c r="BI134" s="1" t="s">
        <v>971</v>
      </c>
    </row>
    <row r="135" spans="7:71">
      <c r="G135" s="1" t="s">
        <v>972</v>
      </c>
      <c r="BI135" s="1" t="s">
        <v>973</v>
      </c>
    </row>
    <row r="136" spans="7:71">
      <c r="G136" s="1" t="s">
        <v>974</v>
      </c>
      <c r="BI136" s="1" t="s">
        <v>975</v>
      </c>
    </row>
    <row r="137" spans="7:71">
      <c r="G137" s="1" t="s">
        <v>976</v>
      </c>
      <c r="BI137" s="1" t="s">
        <v>977</v>
      </c>
    </row>
    <row r="138" spans="7:71">
      <c r="G138" s="1" t="s">
        <v>978</v>
      </c>
      <c r="BI138" s="1" t="s">
        <v>979</v>
      </c>
    </row>
    <row r="139" spans="7:71">
      <c r="G139" s="1" t="s">
        <v>980</v>
      </c>
      <c r="BI139" s="1" t="s">
        <v>981</v>
      </c>
    </row>
    <row r="140" spans="7:71">
      <c r="G140" s="1" t="s">
        <v>982</v>
      </c>
      <c r="BI140" s="1" t="s">
        <v>983</v>
      </c>
    </row>
    <row r="141" spans="7:71">
      <c r="G141" s="1" t="s">
        <v>984</v>
      </c>
      <c r="BI141" s="1" t="s">
        <v>985</v>
      </c>
    </row>
    <row r="142" spans="7:71">
      <c r="G142" s="1" t="s">
        <v>986</v>
      </c>
      <c r="BI142" s="1" t="s">
        <v>987</v>
      </c>
    </row>
    <row r="143" spans="7:71">
      <c r="G143" s="1" t="s">
        <v>988</v>
      </c>
      <c r="BI143" s="1" t="s">
        <v>989</v>
      </c>
    </row>
    <row r="144" spans="7:71">
      <c r="G144" s="1" t="s">
        <v>990</v>
      </c>
      <c r="BI144" s="1" t="s">
        <v>991</v>
      </c>
    </row>
    <row r="145" spans="7:61">
      <c r="G145" s="1" t="s">
        <v>992</v>
      </c>
      <c r="BI145" s="1" t="s">
        <v>993</v>
      </c>
    </row>
    <row r="146" spans="7:61">
      <c r="G146" s="1" t="s">
        <v>994</v>
      </c>
      <c r="BI146" s="1" t="s">
        <v>995</v>
      </c>
    </row>
    <row r="147" spans="7:61">
      <c r="G147" s="1" t="s">
        <v>996</v>
      </c>
      <c r="BI147" s="1" t="s">
        <v>997</v>
      </c>
    </row>
    <row r="148" spans="7:61">
      <c r="G148" s="1" t="s">
        <v>998</v>
      </c>
      <c r="BI148" s="1" t="s">
        <v>999</v>
      </c>
    </row>
    <row r="149" spans="7:61">
      <c r="G149" s="1" t="s">
        <v>1000</v>
      </c>
      <c r="BI149" s="1" t="s">
        <v>1001</v>
      </c>
    </row>
    <row r="150" spans="7:61">
      <c r="G150" s="1" t="s">
        <v>1002</v>
      </c>
      <c r="BI150" s="1" t="s">
        <v>1003</v>
      </c>
    </row>
    <row r="151" spans="7:61">
      <c r="G151" s="1" t="s">
        <v>1004</v>
      </c>
      <c r="BI151" s="1" t="s">
        <v>1005</v>
      </c>
    </row>
    <row r="152" spans="7:61">
      <c r="G152" s="1" t="s">
        <v>1006</v>
      </c>
      <c r="BI152" s="1" t="s">
        <v>1007</v>
      </c>
    </row>
    <row r="153" spans="7:61">
      <c r="G153" s="1" t="s">
        <v>1008</v>
      </c>
      <c r="BI153" s="1" t="s">
        <v>1009</v>
      </c>
    </row>
    <row r="154" spans="7:61">
      <c r="G154" s="1" t="s">
        <v>1010</v>
      </c>
      <c r="BI154" s="1" t="s">
        <v>1011</v>
      </c>
    </row>
    <row r="155" spans="7:61">
      <c r="G155" s="1" t="s">
        <v>1012</v>
      </c>
      <c r="BI155" s="1" t="s">
        <v>1013</v>
      </c>
    </row>
    <row r="156" spans="7:61">
      <c r="G156" s="1" t="s">
        <v>1014</v>
      </c>
      <c r="BI156" s="1" t="s">
        <v>1015</v>
      </c>
    </row>
    <row r="157" spans="7:61">
      <c r="G157" s="1" t="s">
        <v>1016</v>
      </c>
      <c r="BI157" s="1" t="s">
        <v>1017</v>
      </c>
    </row>
    <row r="158" spans="7:61">
      <c r="G158" s="1" t="s">
        <v>1018</v>
      </c>
      <c r="BI158" s="1" t="s">
        <v>1019</v>
      </c>
    </row>
    <row r="159" spans="7:61">
      <c r="G159" s="1" t="s">
        <v>1020</v>
      </c>
      <c r="BI159" s="1" t="s">
        <v>1021</v>
      </c>
    </row>
    <row r="160" spans="7:61">
      <c r="G160" s="1" t="s">
        <v>1022</v>
      </c>
      <c r="BI160" s="1" t="s">
        <v>1023</v>
      </c>
    </row>
    <row r="161" spans="7:61">
      <c r="G161" s="1" t="s">
        <v>1024</v>
      </c>
      <c r="BI161" s="1" t="s">
        <v>1025</v>
      </c>
    </row>
    <row r="162" spans="7:61">
      <c r="G162" s="1" t="s">
        <v>1026</v>
      </c>
      <c r="BI162" s="1" t="s">
        <v>1027</v>
      </c>
    </row>
    <row r="163" spans="7:61">
      <c r="G163" s="1" t="s">
        <v>1028</v>
      </c>
      <c r="BI163" s="1" t="s">
        <v>1029</v>
      </c>
    </row>
    <row r="164" spans="7:61">
      <c r="G164" s="1" t="s">
        <v>1030</v>
      </c>
      <c r="BI164" s="1" t="s">
        <v>1031</v>
      </c>
    </row>
    <row r="165" spans="7:61">
      <c r="G165" s="1" t="s">
        <v>1032</v>
      </c>
      <c r="BI165" s="1" t="s">
        <v>1033</v>
      </c>
    </row>
    <row r="166" spans="7:61">
      <c r="G166" s="1" t="s">
        <v>1034</v>
      </c>
      <c r="BI166" s="1" t="s">
        <v>1035</v>
      </c>
    </row>
    <row r="167" spans="7:61">
      <c r="G167" s="1" t="s">
        <v>1036</v>
      </c>
      <c r="BI167" s="1" t="s">
        <v>1037</v>
      </c>
    </row>
    <row r="168" spans="7:61">
      <c r="G168" s="1" t="s">
        <v>1038</v>
      </c>
      <c r="BI168" s="1" t="s">
        <v>1039</v>
      </c>
    </row>
    <row r="169" spans="7:61">
      <c r="G169" s="1" t="s">
        <v>1040</v>
      </c>
      <c r="BI169" s="1" t="s">
        <v>1041</v>
      </c>
    </row>
    <row r="170" spans="7:61">
      <c r="G170" s="1" t="s">
        <v>1042</v>
      </c>
      <c r="BI170" s="1" t="s">
        <v>1043</v>
      </c>
    </row>
    <row r="171" spans="7:61">
      <c r="G171" s="1" t="s">
        <v>1044</v>
      </c>
      <c r="BI171" s="1" t="s">
        <v>1045</v>
      </c>
    </row>
    <row r="172" spans="7:61">
      <c r="G172" s="1" t="s">
        <v>1046</v>
      </c>
      <c r="BI172" s="1" t="s">
        <v>1047</v>
      </c>
    </row>
    <row r="173" spans="7:61">
      <c r="G173" s="1" t="s">
        <v>1048</v>
      </c>
      <c r="BI173" s="1" t="s">
        <v>1049</v>
      </c>
    </row>
    <row r="174" spans="7:61">
      <c r="G174" s="1" t="s">
        <v>1050</v>
      </c>
      <c r="BI174" s="1" t="s">
        <v>1051</v>
      </c>
    </row>
    <row r="175" spans="7:61">
      <c r="G175" s="1" t="s">
        <v>1052</v>
      </c>
      <c r="BI175" s="1" t="s">
        <v>1053</v>
      </c>
    </row>
    <row r="176" spans="7:61">
      <c r="G176" s="1" t="s">
        <v>1054</v>
      </c>
      <c r="BI176" s="1" t="s">
        <v>1055</v>
      </c>
    </row>
    <row r="177" spans="7:61">
      <c r="G177" s="1" t="s">
        <v>1056</v>
      </c>
      <c r="BI177" s="1" t="s">
        <v>1057</v>
      </c>
    </row>
    <row r="178" spans="7:61">
      <c r="G178" s="1" t="s">
        <v>1058</v>
      </c>
      <c r="BI178" s="1" t="s">
        <v>1059</v>
      </c>
    </row>
    <row r="179" spans="7:61">
      <c r="G179" s="1" t="s">
        <v>1060</v>
      </c>
      <c r="BI179" s="1" t="s">
        <v>1061</v>
      </c>
    </row>
    <row r="180" spans="7:61">
      <c r="G180" s="1" t="s">
        <v>1062</v>
      </c>
      <c r="BI180" s="1" t="s">
        <v>1063</v>
      </c>
    </row>
    <row r="181" spans="7:61">
      <c r="G181" s="1" t="s">
        <v>1064</v>
      </c>
      <c r="BI181" s="1" t="s">
        <v>1065</v>
      </c>
    </row>
    <row r="182" spans="7:61">
      <c r="G182" s="1" t="s">
        <v>1066</v>
      </c>
      <c r="BI182" s="1" t="s">
        <v>1067</v>
      </c>
    </row>
    <row r="183" spans="7:61">
      <c r="G183" s="1" t="s">
        <v>1068</v>
      </c>
      <c r="BI183" s="1" t="s">
        <v>1069</v>
      </c>
    </row>
    <row r="184" spans="7:61">
      <c r="G184" s="1" t="s">
        <v>1070</v>
      </c>
      <c r="BI184" s="1" t="s">
        <v>1071</v>
      </c>
    </row>
    <row r="185" spans="7:61">
      <c r="G185" s="1" t="s">
        <v>1072</v>
      </c>
      <c r="BI185" s="1" t="s">
        <v>1073</v>
      </c>
    </row>
    <row r="186" spans="7:61">
      <c r="G186" s="1" t="s">
        <v>1074</v>
      </c>
      <c r="BI186" s="1" t="s">
        <v>1075</v>
      </c>
    </row>
    <row r="187" spans="7:61">
      <c r="G187" s="1" t="s">
        <v>1076</v>
      </c>
      <c r="BI187" s="1" t="s">
        <v>1077</v>
      </c>
    </row>
    <row r="188" spans="7:61">
      <c r="G188" s="1" t="s">
        <v>1078</v>
      </c>
      <c r="BI188" s="1" t="s">
        <v>1079</v>
      </c>
    </row>
    <row r="189" spans="7:61">
      <c r="G189" s="1" t="s">
        <v>1080</v>
      </c>
      <c r="BI189" s="1" t="s">
        <v>1081</v>
      </c>
    </row>
    <row r="190" spans="7:61">
      <c r="G190" s="1" t="s">
        <v>1082</v>
      </c>
      <c r="BI190" s="1" t="s">
        <v>1083</v>
      </c>
    </row>
    <row r="191" spans="7:61">
      <c r="G191" s="1" t="s">
        <v>1084</v>
      </c>
      <c r="BI191" s="1" t="s">
        <v>1085</v>
      </c>
    </row>
    <row r="192" spans="7:61">
      <c r="G192" s="1" t="s">
        <v>1086</v>
      </c>
      <c r="BI192" s="1" t="s">
        <v>1087</v>
      </c>
    </row>
    <row r="193" spans="7:61">
      <c r="G193" s="1" t="s">
        <v>1088</v>
      </c>
      <c r="BI193" s="1" t="s">
        <v>1089</v>
      </c>
    </row>
    <row r="194" spans="7:61">
      <c r="G194" s="1" t="s">
        <v>1090</v>
      </c>
      <c r="BI194" s="1" t="s">
        <v>1091</v>
      </c>
    </row>
    <row r="195" spans="7:61">
      <c r="G195" s="1" t="s">
        <v>1092</v>
      </c>
      <c r="BI195" s="1" t="s">
        <v>1093</v>
      </c>
    </row>
    <row r="196" spans="7:61">
      <c r="G196" s="1" t="s">
        <v>1094</v>
      </c>
      <c r="BI196" s="1" t="s">
        <v>1095</v>
      </c>
    </row>
    <row r="197" spans="7:61">
      <c r="G197" s="1" t="s">
        <v>1096</v>
      </c>
      <c r="BI197" s="1" t="s">
        <v>1097</v>
      </c>
    </row>
    <row r="198" spans="7:61">
      <c r="G198" s="1" t="s">
        <v>1098</v>
      </c>
      <c r="BI198" s="1" t="s">
        <v>1099</v>
      </c>
    </row>
    <row r="199" spans="7:61">
      <c r="G199" s="1" t="s">
        <v>1100</v>
      </c>
      <c r="BI199" s="1" t="s">
        <v>1101</v>
      </c>
    </row>
    <row r="200" spans="7:61">
      <c r="G200" s="1" t="s">
        <v>1102</v>
      </c>
      <c r="BI200" s="1" t="s">
        <v>1103</v>
      </c>
    </row>
    <row r="201" spans="7:61">
      <c r="G201" s="1" t="s">
        <v>1104</v>
      </c>
      <c r="BI201" s="1" t="s">
        <v>1105</v>
      </c>
    </row>
    <row r="202" spans="7:61">
      <c r="G202" s="1" t="s">
        <v>1106</v>
      </c>
      <c r="BI202" s="1" t="s">
        <v>1107</v>
      </c>
    </row>
    <row r="203" spans="7:61">
      <c r="G203" s="1" t="s">
        <v>1108</v>
      </c>
      <c r="BI203" s="1" t="s">
        <v>1109</v>
      </c>
    </row>
    <row r="204" spans="7:61">
      <c r="G204" s="1" t="s">
        <v>1110</v>
      </c>
      <c r="BI204" s="1" t="s">
        <v>1111</v>
      </c>
    </row>
    <row r="205" spans="7:61">
      <c r="G205" s="1" t="s">
        <v>1112</v>
      </c>
      <c r="BI205" s="1" t="s">
        <v>1113</v>
      </c>
    </row>
    <row r="206" spans="7:61">
      <c r="G206" s="1" t="s">
        <v>1114</v>
      </c>
      <c r="BI206" s="1" t="s">
        <v>1115</v>
      </c>
    </row>
    <row r="207" spans="7:61">
      <c r="G207" s="1" t="s">
        <v>1116</v>
      </c>
      <c r="BI207" s="1" t="s">
        <v>1117</v>
      </c>
    </row>
    <row r="208" spans="7:61">
      <c r="G208" s="1" t="s">
        <v>1118</v>
      </c>
      <c r="BI208" s="1" t="s">
        <v>1119</v>
      </c>
    </row>
    <row r="209" spans="7:61">
      <c r="G209" s="1" t="s">
        <v>1120</v>
      </c>
      <c r="BI209" s="1" t="s">
        <v>1121</v>
      </c>
    </row>
    <row r="210" spans="7:61">
      <c r="G210" s="1" t="s">
        <v>1122</v>
      </c>
      <c r="BI210" s="1" t="s">
        <v>1123</v>
      </c>
    </row>
    <row r="211" spans="7:61">
      <c r="G211" s="1" t="s">
        <v>1124</v>
      </c>
      <c r="BI211" s="1" t="s">
        <v>1125</v>
      </c>
    </row>
    <row r="212" spans="7:61">
      <c r="G212" s="1" t="s">
        <v>1126</v>
      </c>
      <c r="BI212" s="1" t="s">
        <v>1127</v>
      </c>
    </row>
    <row r="213" spans="7:61">
      <c r="G213" s="1" t="s">
        <v>1128</v>
      </c>
      <c r="BI213" s="1" t="s">
        <v>1129</v>
      </c>
    </row>
    <row r="214" spans="7:61">
      <c r="G214" s="1" t="s">
        <v>1130</v>
      </c>
      <c r="BI214" s="1" t="s">
        <v>1131</v>
      </c>
    </row>
    <row r="215" spans="7:61">
      <c r="G215" s="1" t="s">
        <v>1132</v>
      </c>
      <c r="BI215" s="1" t="s">
        <v>1133</v>
      </c>
    </row>
    <row r="216" spans="7:61">
      <c r="G216" s="1" t="s">
        <v>1134</v>
      </c>
      <c r="BI216" s="1" t="s">
        <v>1135</v>
      </c>
    </row>
    <row r="217" spans="7:61">
      <c r="G217" s="1" t="s">
        <v>1136</v>
      </c>
      <c r="BI217" s="1" t="s">
        <v>1137</v>
      </c>
    </row>
    <row r="218" spans="7:61">
      <c r="G218" s="1" t="s">
        <v>1138</v>
      </c>
      <c r="BI218" s="1" t="s">
        <v>1139</v>
      </c>
    </row>
    <row r="219" spans="7:61">
      <c r="G219" s="1" t="s">
        <v>1140</v>
      </c>
      <c r="BI219" s="1" t="s">
        <v>1141</v>
      </c>
    </row>
    <row r="220" spans="7:61">
      <c r="G220" s="1" t="s">
        <v>1142</v>
      </c>
      <c r="BI220" s="1" t="s">
        <v>1143</v>
      </c>
    </row>
    <row r="221" spans="7:61">
      <c r="G221" s="1" t="s">
        <v>1144</v>
      </c>
      <c r="BI221" s="1" t="s">
        <v>1145</v>
      </c>
    </row>
    <row r="222" spans="7:61">
      <c r="G222" s="1" t="s">
        <v>1146</v>
      </c>
      <c r="BI222" s="1" t="s">
        <v>1147</v>
      </c>
    </row>
    <row r="223" spans="7:61">
      <c r="G223" s="1" t="s">
        <v>1148</v>
      </c>
      <c r="BI223" s="1" t="s">
        <v>1149</v>
      </c>
    </row>
    <row r="224" spans="7:61">
      <c r="G224" s="1" t="s">
        <v>1150</v>
      </c>
      <c r="BI224" s="1" t="s">
        <v>1151</v>
      </c>
    </row>
    <row r="225" spans="7:61">
      <c r="G225" s="1" t="s">
        <v>1152</v>
      </c>
      <c r="BI225" s="1" t="s">
        <v>1153</v>
      </c>
    </row>
    <row r="226" spans="7:61">
      <c r="G226" s="1" t="s">
        <v>1154</v>
      </c>
      <c r="BI226" s="1" t="s">
        <v>1155</v>
      </c>
    </row>
    <row r="227" spans="7:61">
      <c r="G227" s="1" t="s">
        <v>1156</v>
      </c>
      <c r="BI227" s="1" t="s">
        <v>1157</v>
      </c>
    </row>
    <row r="228" spans="7:61">
      <c r="G228" s="1" t="s">
        <v>1158</v>
      </c>
      <c r="BI228" s="1" t="s">
        <v>1159</v>
      </c>
    </row>
    <row r="229" spans="7:61">
      <c r="G229" s="1" t="s">
        <v>1160</v>
      </c>
      <c r="BI229" s="1" t="s">
        <v>1161</v>
      </c>
    </row>
    <row r="230" spans="7:61">
      <c r="G230" s="1" t="s">
        <v>1162</v>
      </c>
      <c r="BI230" s="1" t="s">
        <v>1163</v>
      </c>
    </row>
    <row r="231" spans="7:61">
      <c r="G231" s="1" t="s">
        <v>1164</v>
      </c>
      <c r="BI231" s="1" t="s">
        <v>1165</v>
      </c>
    </row>
    <row r="232" spans="7:61">
      <c r="G232" s="1" t="s">
        <v>1166</v>
      </c>
      <c r="BI232" s="1" t="s">
        <v>1167</v>
      </c>
    </row>
    <row r="233" spans="7:61">
      <c r="G233" s="1" t="s">
        <v>1168</v>
      </c>
      <c r="BI233" s="1" t="s">
        <v>1169</v>
      </c>
    </row>
    <row r="234" spans="7:61">
      <c r="G234" s="1" t="s">
        <v>1170</v>
      </c>
      <c r="BI234" s="1" t="s">
        <v>1171</v>
      </c>
    </row>
    <row r="235" spans="7:61">
      <c r="G235" s="1" t="s">
        <v>1172</v>
      </c>
      <c r="BI235" s="1" t="s">
        <v>1173</v>
      </c>
    </row>
    <row r="236" spans="7:61">
      <c r="G236" s="1" t="s">
        <v>1174</v>
      </c>
      <c r="BI236" s="1" t="s">
        <v>1175</v>
      </c>
    </row>
    <row r="237" spans="7:61">
      <c r="G237" s="1" t="s">
        <v>1176</v>
      </c>
      <c r="BI237" s="1" t="s">
        <v>1177</v>
      </c>
    </row>
    <row r="238" spans="7:61">
      <c r="G238" s="1" t="s">
        <v>1178</v>
      </c>
      <c r="BI238" s="1" t="s">
        <v>1179</v>
      </c>
    </row>
    <row r="239" spans="7:61">
      <c r="G239" s="1" t="s">
        <v>747</v>
      </c>
      <c r="BI239" s="1" t="s">
        <v>1180</v>
      </c>
    </row>
    <row r="240" spans="7:61">
      <c r="G240" s="1" t="s">
        <v>1181</v>
      </c>
      <c r="BI240" s="1" t="s">
        <v>1182</v>
      </c>
    </row>
    <row r="241" spans="7:61">
      <c r="G241" s="1" t="s">
        <v>1183</v>
      </c>
      <c r="BI241" s="1" t="s">
        <v>1184</v>
      </c>
    </row>
    <row r="242" spans="7:61">
      <c r="G242" s="1" t="s">
        <v>1185</v>
      </c>
      <c r="BI242" s="1" t="s">
        <v>1186</v>
      </c>
    </row>
    <row r="243" spans="7:61">
      <c r="G243" s="1" t="s">
        <v>1187</v>
      </c>
      <c r="BI243" s="1" t="s">
        <v>1188</v>
      </c>
    </row>
    <row r="244" spans="7:61">
      <c r="G244" s="1" t="s">
        <v>1189</v>
      </c>
      <c r="BI244" s="1" t="s">
        <v>1190</v>
      </c>
    </row>
    <row r="245" spans="7:61">
      <c r="G245" s="1" t="s">
        <v>1191</v>
      </c>
      <c r="BI245" s="1" t="s">
        <v>1192</v>
      </c>
    </row>
    <row r="246" spans="7:61">
      <c r="G246" s="1" t="s">
        <v>1193</v>
      </c>
      <c r="BI246" s="1" t="s">
        <v>1194</v>
      </c>
    </row>
    <row r="247" spans="7:61">
      <c r="G247" s="1" t="s">
        <v>643</v>
      </c>
      <c r="BI247" s="1" t="s">
        <v>1195</v>
      </c>
    </row>
    <row r="248" spans="7:61">
      <c r="G248" s="1" t="s">
        <v>1196</v>
      </c>
      <c r="BI248" s="1" t="s">
        <v>1197</v>
      </c>
    </row>
    <row r="249" spans="7:61">
      <c r="G249" s="1" t="s">
        <v>1198</v>
      </c>
      <c r="BI249" s="1" t="s">
        <v>1199</v>
      </c>
    </row>
    <row r="250" spans="7:61">
      <c r="G250" s="1" t="s">
        <v>1200</v>
      </c>
      <c r="BI250" s="1" t="s">
        <v>1201</v>
      </c>
    </row>
    <row r="251" spans="7:61">
      <c r="G251" s="1" t="s">
        <v>1202</v>
      </c>
      <c r="BI251" s="1" t="s">
        <v>1203</v>
      </c>
    </row>
    <row r="252" spans="7:61">
      <c r="G252" s="1" t="s">
        <v>1204</v>
      </c>
      <c r="BI252" s="1" t="s">
        <v>1205</v>
      </c>
    </row>
    <row r="253" spans="7:61">
      <c r="G253" s="1" t="s">
        <v>1206</v>
      </c>
      <c r="BI253" s="1" t="s">
        <v>1207</v>
      </c>
    </row>
    <row r="254" spans="7:61">
      <c r="G254" s="1" t="s">
        <v>1208</v>
      </c>
      <c r="BI254" s="1" t="s">
        <v>1209</v>
      </c>
    </row>
    <row r="255" spans="7:61">
      <c r="G255" s="1" t="s">
        <v>1210</v>
      </c>
      <c r="BI255" s="1" t="s">
        <v>1211</v>
      </c>
    </row>
    <row r="256" spans="7:61">
      <c r="G256" s="1" t="s">
        <v>1212</v>
      </c>
      <c r="BI256" s="1" t="s">
        <v>1213</v>
      </c>
    </row>
    <row r="257" spans="7:61">
      <c r="G257" s="1" t="s">
        <v>1214</v>
      </c>
      <c r="BI257" s="1" t="s">
        <v>1215</v>
      </c>
    </row>
    <row r="258" spans="7:61">
      <c r="G258" s="1" t="s">
        <v>1216</v>
      </c>
      <c r="BI258" s="1" t="s">
        <v>1217</v>
      </c>
    </row>
    <row r="259" spans="7:61">
      <c r="G259" s="1" t="s">
        <v>1218</v>
      </c>
      <c r="BI259" s="1" t="s">
        <v>1219</v>
      </c>
    </row>
    <row r="260" spans="7:61">
      <c r="G260" s="1" t="s">
        <v>1220</v>
      </c>
      <c r="BI260" s="1" t="s">
        <v>1221</v>
      </c>
    </row>
    <row r="261" spans="7:61">
      <c r="G261" s="1" t="s">
        <v>1222</v>
      </c>
      <c r="BI261" s="1" t="s">
        <v>1223</v>
      </c>
    </row>
    <row r="262" spans="7:61">
      <c r="G262" s="1" t="s">
        <v>1224</v>
      </c>
      <c r="BI262" s="1" t="s">
        <v>1225</v>
      </c>
    </row>
    <row r="263" spans="7:61">
      <c r="G263" s="1" t="s">
        <v>1226</v>
      </c>
      <c r="BI263" s="1" t="s">
        <v>1227</v>
      </c>
    </row>
    <row r="264" spans="7:61">
      <c r="G264" s="1" t="s">
        <v>1228</v>
      </c>
      <c r="BI264" s="1" t="s">
        <v>1229</v>
      </c>
    </row>
    <row r="265" spans="7:61">
      <c r="G265" s="1" t="s">
        <v>1230</v>
      </c>
      <c r="BI265" s="1" t="s">
        <v>1231</v>
      </c>
    </row>
    <row r="266" spans="7:61">
      <c r="G266" s="1" t="s">
        <v>1232</v>
      </c>
      <c r="BI266" s="1" t="s">
        <v>1233</v>
      </c>
    </row>
    <row r="267" spans="7:61">
      <c r="G267" s="1" t="s">
        <v>1234</v>
      </c>
      <c r="BI267" s="1" t="s">
        <v>1235</v>
      </c>
    </row>
    <row r="268" spans="7:61">
      <c r="G268" s="1" t="s">
        <v>1236</v>
      </c>
      <c r="BI268" s="1" t="s">
        <v>1237</v>
      </c>
    </row>
    <row r="269" spans="7:61">
      <c r="G269" s="1" t="s">
        <v>1238</v>
      </c>
      <c r="BI269" s="1" t="s">
        <v>1239</v>
      </c>
    </row>
    <row r="270" spans="7:61">
      <c r="G270" s="1" t="s">
        <v>1240</v>
      </c>
      <c r="BI270" s="1" t="s">
        <v>1241</v>
      </c>
    </row>
    <row r="271" spans="7:61">
      <c r="G271" s="1" t="s">
        <v>1242</v>
      </c>
      <c r="BI271" s="1" t="s">
        <v>1243</v>
      </c>
    </row>
    <row r="272" spans="7:61">
      <c r="BI272" s="1" t="s">
        <v>1244</v>
      </c>
    </row>
    <row r="273" spans="61:61">
      <c r="BI273" s="1" t="s">
        <v>1245</v>
      </c>
    </row>
    <row r="274" spans="61:61">
      <c r="BI274" s="1" t="s">
        <v>1246</v>
      </c>
    </row>
    <row r="275" spans="61:61">
      <c r="BI275" s="1" t="s">
        <v>1247</v>
      </c>
    </row>
    <row r="276" spans="61:61">
      <c r="BI276" s="1" t="s">
        <v>1248</v>
      </c>
    </row>
    <row r="277" spans="61:61">
      <c r="BI277" s="1" t="s">
        <v>1249</v>
      </c>
    </row>
    <row r="278" spans="61:61">
      <c r="BI278" s="1" t="s">
        <v>1250</v>
      </c>
    </row>
    <row r="279" spans="61:61">
      <c r="BI279" s="1" t="s">
        <v>1251</v>
      </c>
    </row>
    <row r="280" spans="61:61">
      <c r="BI280" s="1" t="s">
        <v>1252</v>
      </c>
    </row>
    <row r="281" spans="61:61">
      <c r="BI281" s="1" t="s">
        <v>1253</v>
      </c>
    </row>
    <row r="282" spans="61:61">
      <c r="BI282" s="1" t="s">
        <v>1254</v>
      </c>
    </row>
    <row r="283" spans="61:61">
      <c r="BI283" s="1" t="s">
        <v>1255</v>
      </c>
    </row>
    <row r="284" spans="61:61">
      <c r="BI284" s="1" t="s">
        <v>1256</v>
      </c>
    </row>
    <row r="285" spans="61:61">
      <c r="BI285" s="1" t="s">
        <v>1257</v>
      </c>
    </row>
    <row r="286" spans="61:61">
      <c r="BI286" s="1" t="s">
        <v>1258</v>
      </c>
    </row>
    <row r="287" spans="61:61">
      <c r="BI287" s="1" t="s">
        <v>1259</v>
      </c>
    </row>
    <row r="288" spans="61:61">
      <c r="BI288" s="1" t="s">
        <v>1260</v>
      </c>
    </row>
    <row r="289" spans="61:61">
      <c r="BI289" s="1" t="s">
        <v>1261</v>
      </c>
    </row>
    <row r="290" spans="61:61">
      <c r="BI290" s="1" t="s">
        <v>1262</v>
      </c>
    </row>
    <row r="291" spans="61:61">
      <c r="BI291" s="1" t="s">
        <v>1263</v>
      </c>
    </row>
    <row r="292" spans="61:61">
      <c r="BI292" s="1" t="s">
        <v>1264</v>
      </c>
    </row>
    <row r="293" spans="61:61">
      <c r="BI293" s="1" t="s">
        <v>1265</v>
      </c>
    </row>
    <row r="294" spans="61:61">
      <c r="BI294" s="1" t="s">
        <v>1266</v>
      </c>
    </row>
    <row r="295" spans="61:61">
      <c r="BI295" s="1" t="s">
        <v>1267</v>
      </c>
    </row>
    <row r="296" spans="61:61">
      <c r="BI296" s="1" t="s">
        <v>1268</v>
      </c>
    </row>
    <row r="297" spans="61:61">
      <c r="BI297" s="1" t="s">
        <v>1269</v>
      </c>
    </row>
    <row r="298" spans="61:61">
      <c r="BI298" s="1" t="s">
        <v>1270</v>
      </c>
    </row>
    <row r="299" spans="61:61">
      <c r="BI299" s="1" t="s">
        <v>1271</v>
      </c>
    </row>
    <row r="300" spans="61:61">
      <c r="BI300" s="1" t="s">
        <v>1272</v>
      </c>
    </row>
    <row r="301" spans="61:61">
      <c r="BI301" s="1" t="s">
        <v>1273</v>
      </c>
    </row>
    <row r="302" spans="61:61">
      <c r="BI302" s="1" t="s">
        <v>1274</v>
      </c>
    </row>
    <row r="303" spans="61:61">
      <c r="BI303" s="1" t="s">
        <v>1275</v>
      </c>
    </row>
    <row r="304" spans="61:61">
      <c r="BI304" s="1" t="s">
        <v>1276</v>
      </c>
    </row>
    <row r="305" spans="61:61">
      <c r="BI305" s="1" t="s">
        <v>444</v>
      </c>
    </row>
    <row r="306" spans="61:61">
      <c r="BI306" s="1" t="s">
        <v>1277</v>
      </c>
    </row>
    <row r="307" spans="61:61">
      <c r="BI307" s="1" t="s">
        <v>1278</v>
      </c>
    </row>
    <row r="308" spans="61:61">
      <c r="BI308" s="1" t="s">
        <v>1279</v>
      </c>
    </row>
    <row r="309" spans="61:61">
      <c r="BI309" s="1" t="s">
        <v>1280</v>
      </c>
    </row>
    <row r="310" spans="61:61">
      <c r="BI310" s="1" t="s">
        <v>1281</v>
      </c>
    </row>
    <row r="311" spans="61:61">
      <c r="BI311" s="1" t="s">
        <v>1282</v>
      </c>
    </row>
    <row r="312" spans="61:61">
      <c r="BI312" s="1" t="s">
        <v>1283</v>
      </c>
    </row>
    <row r="313" spans="61:61">
      <c r="BI313" s="1" t="s">
        <v>1284</v>
      </c>
    </row>
    <row r="314" spans="61:61">
      <c r="BI314" s="1" t="s">
        <v>1285</v>
      </c>
    </row>
    <row r="315" spans="61:61">
      <c r="BI315" s="1" t="s">
        <v>1286</v>
      </c>
    </row>
    <row r="316" spans="61:61">
      <c r="BI316" s="1" t="s">
        <v>1287</v>
      </c>
    </row>
    <row r="317" spans="61:61">
      <c r="BI317" s="1" t="s">
        <v>1288</v>
      </c>
    </row>
    <row r="318" spans="61:61">
      <c r="BI318" s="1" t="s">
        <v>1289</v>
      </c>
    </row>
    <row r="319" spans="61:61">
      <c r="BI319" s="1" t="s">
        <v>369</v>
      </c>
    </row>
    <row r="320" spans="61:61">
      <c r="BI320" s="1" t="s">
        <v>1290</v>
      </c>
    </row>
    <row r="321" spans="61:61">
      <c r="BI321" s="1" t="s">
        <v>1291</v>
      </c>
    </row>
    <row r="322" spans="61:61">
      <c r="BI322" s="1" t="s">
        <v>1292</v>
      </c>
    </row>
    <row r="323" spans="61:61">
      <c r="BI323" s="1" t="s">
        <v>1293</v>
      </c>
    </row>
    <row r="324" spans="61:61">
      <c r="BI324" s="1" t="s">
        <v>1294</v>
      </c>
    </row>
    <row r="325" spans="61:61">
      <c r="BI325" s="1" t="s">
        <v>1295</v>
      </c>
    </row>
    <row r="326" spans="61:61">
      <c r="BI326" s="1" t="s">
        <v>1296</v>
      </c>
    </row>
    <row r="327" spans="61:61">
      <c r="BI327" s="1" t="s">
        <v>1297</v>
      </c>
    </row>
    <row r="328" spans="61:61">
      <c r="BI328" s="1" t="s">
        <v>1298</v>
      </c>
    </row>
    <row r="329" spans="61:61">
      <c r="BI329" s="1" t="s">
        <v>1299</v>
      </c>
    </row>
    <row r="330" spans="61:61">
      <c r="BI330" s="1" t="s">
        <v>1300</v>
      </c>
    </row>
    <row r="331" spans="61:61">
      <c r="BI331" s="1" t="s">
        <v>1301</v>
      </c>
    </row>
    <row r="332" spans="61:61">
      <c r="BI332" s="1" t="s">
        <v>1302</v>
      </c>
    </row>
    <row r="333" spans="61:61">
      <c r="BI333" s="1" t="s">
        <v>1303</v>
      </c>
    </row>
    <row r="334" spans="61:61">
      <c r="BI334" s="1" t="s">
        <v>1304</v>
      </c>
    </row>
    <row r="335" spans="61:61">
      <c r="BI335" s="1" t="s">
        <v>1305</v>
      </c>
    </row>
    <row r="336" spans="61:61">
      <c r="BI336" s="1" t="s">
        <v>1306</v>
      </c>
    </row>
    <row r="337" spans="61:61">
      <c r="BI337" s="1" t="s">
        <v>254</v>
      </c>
    </row>
    <row r="338" spans="61:61">
      <c r="BI338" s="1" t="s">
        <v>1307</v>
      </c>
    </row>
    <row r="339" spans="61:61">
      <c r="BI339" s="1" t="s">
        <v>1308</v>
      </c>
    </row>
    <row r="340" spans="61:61">
      <c r="BI340" s="1" t="s">
        <v>1309</v>
      </c>
    </row>
    <row r="341" spans="61:61">
      <c r="BI341" s="1" t="s">
        <v>1310</v>
      </c>
    </row>
    <row r="342" spans="61:61">
      <c r="BI342" s="1" t="s">
        <v>1311</v>
      </c>
    </row>
    <row r="343" spans="61:61">
      <c r="BI343" s="1" t="s">
        <v>788</v>
      </c>
    </row>
    <row r="344" spans="61:61">
      <c r="BI344" s="1" t="s">
        <v>1312</v>
      </c>
    </row>
    <row r="345" spans="61:61">
      <c r="BI345" s="1" t="s">
        <v>158</v>
      </c>
    </row>
    <row r="346" spans="61:61">
      <c r="BI346" s="1" t="s">
        <v>1313</v>
      </c>
    </row>
    <row r="347" spans="61:61">
      <c r="BI347" s="1" t="s">
        <v>1314</v>
      </c>
    </row>
    <row r="348" spans="61:61">
      <c r="BI348" s="1" t="s">
        <v>1315</v>
      </c>
    </row>
    <row r="349" spans="61:61">
      <c r="BI349" s="1" t="s">
        <v>209</v>
      </c>
    </row>
    <row r="350" spans="61:61">
      <c r="BI350" s="1" t="s">
        <v>1316</v>
      </c>
    </row>
    <row r="351" spans="61:61">
      <c r="BI351" s="1" t="s">
        <v>1317</v>
      </c>
    </row>
    <row r="352" spans="61:61">
      <c r="BI352" s="1" t="s">
        <v>1318</v>
      </c>
    </row>
    <row r="353" spans="61:61">
      <c r="BI353" s="1" t="s">
        <v>1319</v>
      </c>
    </row>
    <row r="354" spans="61:61">
      <c r="BI354" s="1" t="s">
        <v>1320</v>
      </c>
    </row>
    <row r="355" spans="61:61">
      <c r="BI355" s="1" t="s">
        <v>1321</v>
      </c>
    </row>
    <row r="356" spans="61:61">
      <c r="BI356" s="1" t="s">
        <v>1322</v>
      </c>
    </row>
    <row r="357" spans="61:61">
      <c r="BI357" s="1" t="s">
        <v>1323</v>
      </c>
    </row>
    <row r="358" spans="61:61">
      <c r="BI358" s="1" t="s">
        <v>1324</v>
      </c>
    </row>
    <row r="359" spans="61:61">
      <c r="BI359" s="1" t="s">
        <v>1325</v>
      </c>
    </row>
    <row r="360" spans="61:61">
      <c r="BI360" s="1" t="s">
        <v>1326</v>
      </c>
    </row>
    <row r="361" spans="61:61">
      <c r="BI361" s="1" t="s">
        <v>1327</v>
      </c>
    </row>
    <row r="362" spans="61:61">
      <c r="BI362" s="1" t="s">
        <v>1328</v>
      </c>
    </row>
    <row r="363" spans="61:61">
      <c r="BI363" s="1" t="s">
        <v>1329</v>
      </c>
    </row>
    <row r="364" spans="61:61">
      <c r="BI364" s="1" t="s">
        <v>1330</v>
      </c>
    </row>
    <row r="365" spans="61:61">
      <c r="BI365" s="1" t="s">
        <v>391</v>
      </c>
    </row>
    <row r="366" spans="61:61">
      <c r="BI366" s="1" t="s">
        <v>1331</v>
      </c>
    </row>
    <row r="367" spans="61:61">
      <c r="BI367" s="1" t="s">
        <v>1332</v>
      </c>
    </row>
    <row r="368" spans="61:61">
      <c r="BI368" s="1" t="s">
        <v>1333</v>
      </c>
    </row>
    <row r="369" spans="61:61">
      <c r="BI369" s="1" t="s">
        <v>1334</v>
      </c>
    </row>
    <row r="370" spans="61:61">
      <c r="BI370" s="1" t="s">
        <v>1335</v>
      </c>
    </row>
    <row r="371" spans="61:61">
      <c r="BI371" s="1" t="s">
        <v>1336</v>
      </c>
    </row>
    <row r="372" spans="61:61">
      <c r="BI372" s="1" t="s">
        <v>1337</v>
      </c>
    </row>
    <row r="373" spans="61:61">
      <c r="BI373" s="1" t="s">
        <v>1338</v>
      </c>
    </row>
    <row r="374" spans="61:61">
      <c r="BI374" s="1" t="s">
        <v>1339</v>
      </c>
    </row>
    <row r="375" spans="61:61">
      <c r="BI375" s="1" t="s">
        <v>1340</v>
      </c>
    </row>
    <row r="376" spans="61:61">
      <c r="BI376" s="1" t="s">
        <v>1341</v>
      </c>
    </row>
    <row r="377" spans="61:61">
      <c r="BI377" s="1" t="s">
        <v>1342</v>
      </c>
    </row>
    <row r="378" spans="61:61">
      <c r="BI378" s="1" t="s">
        <v>1343</v>
      </c>
    </row>
    <row r="379" spans="61:61">
      <c r="BI379" s="1" t="s">
        <v>1344</v>
      </c>
    </row>
    <row r="380" spans="61:61">
      <c r="BI380" s="1" t="s">
        <v>318</v>
      </c>
    </row>
    <row r="381" spans="61:61">
      <c r="BI381" s="1" t="s">
        <v>345</v>
      </c>
    </row>
    <row r="382" spans="61:61">
      <c r="BI382" s="1" t="s">
        <v>1345</v>
      </c>
    </row>
    <row r="383" spans="61:61">
      <c r="BI383" s="1" t="s">
        <v>1346</v>
      </c>
    </row>
    <row r="384" spans="61:61">
      <c r="BI384" s="1" t="s">
        <v>1347</v>
      </c>
    </row>
    <row r="385" spans="61:61">
      <c r="BI385" s="1" t="s">
        <v>1348</v>
      </c>
    </row>
    <row r="386" spans="61:61">
      <c r="BI386" s="1" t="s">
        <v>1349</v>
      </c>
    </row>
    <row r="387" spans="61:61">
      <c r="BI387" s="1" t="s">
        <v>1350</v>
      </c>
    </row>
    <row r="388" spans="61:61">
      <c r="BI388" s="1" t="s">
        <v>1351</v>
      </c>
    </row>
    <row r="389" spans="61:61">
      <c r="BI389" s="1" t="s">
        <v>1352</v>
      </c>
    </row>
    <row r="390" spans="61:61">
      <c r="BI390" s="1" t="s">
        <v>1353</v>
      </c>
    </row>
    <row r="391" spans="61:61">
      <c r="BI391" s="1" t="s">
        <v>428</v>
      </c>
    </row>
    <row r="392" spans="61:61">
      <c r="BI392" s="1" t="s">
        <v>1354</v>
      </c>
    </row>
    <row r="393" spans="61:61">
      <c r="BI393" s="1" t="s">
        <v>1355</v>
      </c>
    </row>
    <row r="394" spans="61:61">
      <c r="BI394" s="1" t="s">
        <v>1356</v>
      </c>
    </row>
    <row r="395" spans="61:61">
      <c r="BI395" s="1" t="s">
        <v>1357</v>
      </c>
    </row>
    <row r="396" spans="61:61">
      <c r="BI396" s="1" t="s">
        <v>1358</v>
      </c>
    </row>
    <row r="397" spans="61:61">
      <c r="BI397" s="1" t="s">
        <v>1359</v>
      </c>
    </row>
    <row r="398" spans="61:61">
      <c r="BI398" s="1" t="s">
        <v>1360</v>
      </c>
    </row>
    <row r="399" spans="61:61">
      <c r="BI399" s="1" t="s">
        <v>553</v>
      </c>
    </row>
    <row r="400" spans="61:61">
      <c r="BI400" s="1" t="s">
        <v>1361</v>
      </c>
    </row>
    <row r="401" spans="61:61">
      <c r="BI401" s="1" t="s">
        <v>1362</v>
      </c>
    </row>
    <row r="402" spans="61:61">
      <c r="BI402" s="1" t="s">
        <v>1363</v>
      </c>
    </row>
    <row r="403" spans="61:61">
      <c r="BI403" s="1" t="s">
        <v>562</v>
      </c>
    </row>
    <row r="404" spans="61:61">
      <c r="BI404" s="1" t="s">
        <v>1364</v>
      </c>
    </row>
    <row r="405" spans="61:61">
      <c r="BI405" s="1" t="s">
        <v>1365</v>
      </c>
    </row>
    <row r="406" spans="61:61">
      <c r="BI406" s="1" t="s">
        <v>1366</v>
      </c>
    </row>
    <row r="407" spans="61:61">
      <c r="BI407" s="1" t="s">
        <v>1367</v>
      </c>
    </row>
    <row r="408" spans="61:61">
      <c r="BI408" s="1" t="s">
        <v>1368</v>
      </c>
    </row>
    <row r="409" spans="61:61">
      <c r="BI409" s="1" t="s">
        <v>1369</v>
      </c>
    </row>
    <row r="410" spans="61:61">
      <c r="BI410" s="1" t="s">
        <v>1370</v>
      </c>
    </row>
    <row r="411" spans="61:61">
      <c r="BI411" s="1" t="s">
        <v>1371</v>
      </c>
    </row>
    <row r="412" spans="61:61">
      <c r="BI412" s="1" t="s">
        <v>1372</v>
      </c>
    </row>
    <row r="413" spans="61:61">
      <c r="BI413" s="1" t="s">
        <v>1373</v>
      </c>
    </row>
    <row r="414" spans="61:61">
      <c r="BI414" s="1" t="s">
        <v>1374</v>
      </c>
    </row>
    <row r="415" spans="61:61">
      <c r="BI415" s="1" t="s">
        <v>1375</v>
      </c>
    </row>
    <row r="416" spans="61:61">
      <c r="BI416" s="1" t="s">
        <v>1376</v>
      </c>
    </row>
    <row r="417" spans="61:61">
      <c r="BI417" s="1" t="s">
        <v>1377</v>
      </c>
    </row>
    <row r="418" spans="61:61">
      <c r="BI418" s="1" t="s">
        <v>1378</v>
      </c>
    </row>
    <row r="419" spans="61:61">
      <c r="BI419" s="1" t="s">
        <v>1379</v>
      </c>
    </row>
    <row r="420" spans="61:61">
      <c r="BI420" s="1" t="s">
        <v>1380</v>
      </c>
    </row>
    <row r="421" spans="61:61">
      <c r="BI421" s="1" t="s">
        <v>1381</v>
      </c>
    </row>
    <row r="422" spans="61:61">
      <c r="BI422" s="1" t="s">
        <v>1382</v>
      </c>
    </row>
    <row r="423" spans="61:61">
      <c r="BI423" s="1" t="s">
        <v>1383</v>
      </c>
    </row>
    <row r="424" spans="61:61">
      <c r="BI424" s="1" t="s">
        <v>1384</v>
      </c>
    </row>
    <row r="425" spans="61:61">
      <c r="BI425" s="1" t="s">
        <v>1385</v>
      </c>
    </row>
    <row r="426" spans="61:61">
      <c r="BI426" s="1" t="s">
        <v>1386</v>
      </c>
    </row>
    <row r="427" spans="61:61">
      <c r="BI427" s="1" t="s">
        <v>1387</v>
      </c>
    </row>
    <row r="428" spans="61:61">
      <c r="BI428" s="1" t="s">
        <v>1388</v>
      </c>
    </row>
    <row r="429" spans="61:61">
      <c r="BI429" s="1" t="s">
        <v>1389</v>
      </c>
    </row>
    <row r="430" spans="61:61">
      <c r="BI430" s="1" t="s">
        <v>1390</v>
      </c>
    </row>
    <row r="431" spans="61:61">
      <c r="BI431" s="1" t="s">
        <v>1391</v>
      </c>
    </row>
    <row r="432" spans="61:61">
      <c r="BI432" s="1" t="s">
        <v>1392</v>
      </c>
    </row>
    <row r="433" spans="61:61">
      <c r="BI433" s="1" t="s">
        <v>1393</v>
      </c>
    </row>
    <row r="434" spans="61:61">
      <c r="BI434" s="1" t="s">
        <v>1394</v>
      </c>
    </row>
    <row r="435" spans="61:61">
      <c r="BI435" s="1" t="s">
        <v>1395</v>
      </c>
    </row>
    <row r="436" spans="61:61">
      <c r="BI436" s="1" t="s">
        <v>1396</v>
      </c>
    </row>
    <row r="437" spans="61:61">
      <c r="BI437" s="1" t="s">
        <v>1397</v>
      </c>
    </row>
    <row r="438" spans="61:61">
      <c r="BI438" s="1" t="s">
        <v>1398</v>
      </c>
    </row>
    <row r="439" spans="61:61">
      <c r="BI439" s="1" t="s">
        <v>99</v>
      </c>
    </row>
    <row r="440" spans="61:61">
      <c r="BI440" s="1" t="s">
        <v>1399</v>
      </c>
    </row>
    <row r="441" spans="61:61">
      <c r="BI441" s="1" t="s">
        <v>1400</v>
      </c>
    </row>
    <row r="442" spans="61:61">
      <c r="BI442" s="1" t="s">
        <v>1401</v>
      </c>
    </row>
    <row r="443" spans="61:61">
      <c r="BI443" s="1" t="s">
        <v>1402</v>
      </c>
    </row>
    <row r="444" spans="61:61">
      <c r="BI444" s="1" t="s">
        <v>1403</v>
      </c>
    </row>
    <row r="445" spans="61:61">
      <c r="BI445" s="1" t="s">
        <v>1404</v>
      </c>
    </row>
    <row r="446" spans="61:61">
      <c r="BI446" s="1" t="s">
        <v>1405</v>
      </c>
    </row>
    <row r="447" spans="61:61">
      <c r="BI447" s="1" t="s">
        <v>1406</v>
      </c>
    </row>
    <row r="448" spans="61:61">
      <c r="BI448" s="1" t="s">
        <v>1407</v>
      </c>
    </row>
    <row r="449" spans="61:61">
      <c r="BI449" s="1" t="s">
        <v>489</v>
      </c>
    </row>
    <row r="450" spans="61:61">
      <c r="BI450" s="1" t="s">
        <v>1408</v>
      </c>
    </row>
    <row r="451" spans="61:61">
      <c r="BI451" s="1" t="s">
        <v>1024</v>
      </c>
    </row>
    <row r="452" spans="61:61">
      <c r="BI452" s="1" t="s">
        <v>1409</v>
      </c>
    </row>
    <row r="453" spans="61:61">
      <c r="BI453" s="1" t="s">
        <v>1410</v>
      </c>
    </row>
    <row r="454" spans="61:61">
      <c r="BI454" s="1" t="s">
        <v>1411</v>
      </c>
    </row>
    <row r="455" spans="61:61">
      <c r="BI455" s="1" t="s">
        <v>1412</v>
      </c>
    </row>
    <row r="456" spans="61:61">
      <c r="BI456" s="1" t="s">
        <v>1413</v>
      </c>
    </row>
    <row r="457" spans="61:61">
      <c r="BI457" s="1" t="s">
        <v>1414</v>
      </c>
    </row>
    <row r="458" spans="61:61">
      <c r="BI458" s="1" t="s">
        <v>1415</v>
      </c>
    </row>
    <row r="459" spans="61:61">
      <c r="BI459" s="1" t="s">
        <v>1416</v>
      </c>
    </row>
    <row r="460" spans="61:61">
      <c r="BI460" s="1" t="s">
        <v>1417</v>
      </c>
    </row>
    <row r="461" spans="61:61">
      <c r="BI461" s="1" t="s">
        <v>1418</v>
      </c>
    </row>
    <row r="462" spans="61:61">
      <c r="BI462" s="1" t="s">
        <v>1419</v>
      </c>
    </row>
    <row r="463" spans="61:61">
      <c r="BI463" s="1" t="s">
        <v>1420</v>
      </c>
    </row>
    <row r="464" spans="61:61">
      <c r="BI464" s="1" t="s">
        <v>530</v>
      </c>
    </row>
    <row r="465" spans="61:61">
      <c r="BI465" s="1" t="s">
        <v>1421</v>
      </c>
    </row>
    <row r="466" spans="61:61">
      <c r="BI466" s="1" t="s">
        <v>1422</v>
      </c>
    </row>
    <row r="467" spans="61:61">
      <c r="BI467" s="1" t="s">
        <v>1423</v>
      </c>
    </row>
    <row r="468" spans="61:61">
      <c r="BI468" s="1" t="s">
        <v>1424</v>
      </c>
    </row>
    <row r="469" spans="61:61">
      <c r="BI469" s="1" t="s">
        <v>1425</v>
      </c>
    </row>
    <row r="470" spans="61:61">
      <c r="BI470" s="1" t="s">
        <v>1426</v>
      </c>
    </row>
    <row r="471" spans="61:61">
      <c r="BI471" s="1" t="s">
        <v>1427</v>
      </c>
    </row>
    <row r="472" spans="61:61">
      <c r="BI472" s="1" t="s">
        <v>1428</v>
      </c>
    </row>
    <row r="473" spans="61:61">
      <c r="BI473" s="1" t="s">
        <v>1429</v>
      </c>
    </row>
    <row r="474" spans="61:61">
      <c r="BI474" s="1" t="s">
        <v>1430</v>
      </c>
    </row>
    <row r="475" spans="61:61">
      <c r="BI475" s="1" t="s">
        <v>1431</v>
      </c>
    </row>
    <row r="476" spans="61:61">
      <c r="BI476" s="1" t="s">
        <v>1432</v>
      </c>
    </row>
    <row r="477" spans="61:61">
      <c r="BI477" s="1" t="s">
        <v>1433</v>
      </c>
    </row>
    <row r="478" spans="61:61">
      <c r="BI478" s="1" t="s">
        <v>1434</v>
      </c>
    </row>
    <row r="479" spans="61:61">
      <c r="BI479" s="1" t="s">
        <v>1422</v>
      </c>
    </row>
    <row r="480" spans="61:61">
      <c r="BI480" s="1" t="s">
        <v>1435</v>
      </c>
    </row>
    <row r="481" spans="61:61">
      <c r="BI481" s="1" t="s">
        <v>1136</v>
      </c>
    </row>
    <row r="482" spans="61:61">
      <c r="BI482" s="1" t="s">
        <v>1436</v>
      </c>
    </row>
    <row r="483" spans="61:61">
      <c r="BI483" s="1" t="s">
        <v>1437</v>
      </c>
    </row>
    <row r="484" spans="61:61">
      <c r="BI484" s="1" t="s">
        <v>1438</v>
      </c>
    </row>
    <row r="485" spans="61:61">
      <c r="BI485" s="1" t="s">
        <v>1439</v>
      </c>
    </row>
    <row r="486" spans="61:61">
      <c r="BI486" s="1" t="s">
        <v>1440</v>
      </c>
    </row>
    <row r="487" spans="61:61">
      <c r="BI487" s="1" t="s">
        <v>1441</v>
      </c>
    </row>
    <row r="488" spans="61:61">
      <c r="BI488" s="1" t="s">
        <v>1442</v>
      </c>
    </row>
    <row r="489" spans="61:61">
      <c r="BI489" s="1" t="s">
        <v>1443</v>
      </c>
    </row>
    <row r="490" spans="61:61">
      <c r="BI490" s="1" t="s">
        <v>1444</v>
      </c>
    </row>
    <row r="491" spans="61:61">
      <c r="BI491" s="1" t="s">
        <v>517</v>
      </c>
    </row>
    <row r="492" spans="61:61">
      <c r="BI492" s="1" t="s">
        <v>410</v>
      </c>
    </row>
    <row r="493" spans="61:61">
      <c r="BI493" s="1" t="s">
        <v>1445</v>
      </c>
    </row>
    <row r="494" spans="61:61">
      <c r="BI494" s="1" t="s">
        <v>1181</v>
      </c>
    </row>
    <row r="495" spans="61:61">
      <c r="BI495" s="1" t="s">
        <v>1446</v>
      </c>
    </row>
    <row r="496" spans="61:61">
      <c r="BI496" s="1" t="s">
        <v>1447</v>
      </c>
    </row>
    <row r="497" spans="61:61">
      <c r="BI497" s="1" t="s">
        <v>1448</v>
      </c>
    </row>
    <row r="498" spans="61:61">
      <c r="BI498" s="1" t="s">
        <v>1449</v>
      </c>
    </row>
    <row r="499" spans="61:61">
      <c r="BI499" s="1" t="s">
        <v>1450</v>
      </c>
    </row>
    <row r="500" spans="61:61">
      <c r="BI500" s="1" t="s">
        <v>1451</v>
      </c>
    </row>
    <row r="501" spans="61:61">
      <c r="BI501" s="1" t="s">
        <v>1452</v>
      </c>
    </row>
    <row r="502" spans="61:61">
      <c r="BI502" s="1" t="s">
        <v>1453</v>
      </c>
    </row>
    <row r="503" spans="61:61">
      <c r="BI503" s="1" t="s">
        <v>1454</v>
      </c>
    </row>
    <row r="504" spans="61:61">
      <c r="BI504" s="1" t="s">
        <v>1455</v>
      </c>
    </row>
    <row r="505" spans="61:61">
      <c r="BI505" s="1" t="s">
        <v>1456</v>
      </c>
    </row>
    <row r="506" spans="61:61">
      <c r="BI506" s="1" t="s">
        <v>542</v>
      </c>
    </row>
    <row r="507" spans="61:61">
      <c r="BI507" s="1" t="s">
        <v>1457</v>
      </c>
    </row>
    <row r="508" spans="61:61">
      <c r="BI508" s="1" t="s">
        <v>1458</v>
      </c>
    </row>
    <row r="509" spans="61:61">
      <c r="BI509" s="1" t="s">
        <v>1459</v>
      </c>
    </row>
    <row r="510" spans="61:61">
      <c r="BI510" s="1" t="s">
        <v>459</v>
      </c>
    </row>
    <row r="511" spans="61:61">
      <c r="BI511" s="1" t="s">
        <v>1460</v>
      </c>
    </row>
    <row r="512" spans="61:61">
      <c r="BI512" s="1" t="s">
        <v>1461</v>
      </c>
    </row>
    <row r="513" spans="61:61">
      <c r="BI513" s="1" t="s">
        <v>1462</v>
      </c>
    </row>
    <row r="514" spans="61:61">
      <c r="BI514" s="1" t="s">
        <v>1463</v>
      </c>
    </row>
    <row r="515" spans="61:61">
      <c r="BI515" s="1" t="s">
        <v>1464</v>
      </c>
    </row>
    <row r="516" spans="61:61">
      <c r="BI516" s="1" t="s">
        <v>291</v>
      </c>
    </row>
    <row r="517" spans="61:61">
      <c r="BI517" s="1" t="s">
        <v>1465</v>
      </c>
    </row>
    <row r="518" spans="61:61">
      <c r="BI518" s="1" t="s">
        <v>1466</v>
      </c>
    </row>
    <row r="519" spans="61:61">
      <c r="BI519" s="1" t="s">
        <v>1467</v>
      </c>
    </row>
    <row r="520" spans="61:61">
      <c r="BI520" s="1" t="s">
        <v>1468</v>
      </c>
    </row>
    <row r="521" spans="61:61">
      <c r="BI521" s="1" t="s">
        <v>1469</v>
      </c>
    </row>
    <row r="522" spans="61:61">
      <c r="BI522" s="1" t="s">
        <v>1470</v>
      </c>
    </row>
    <row r="523" spans="61:61">
      <c r="BI523" s="1" t="s">
        <v>503</v>
      </c>
    </row>
    <row r="524" spans="61:61">
      <c r="BI524" s="1" t="s">
        <v>1471</v>
      </c>
    </row>
    <row r="525" spans="61:61">
      <c r="BI525" s="1" t="s">
        <v>1472</v>
      </c>
    </row>
    <row r="526" spans="61:61">
      <c r="BI526" s="1" t="s">
        <v>1473</v>
      </c>
    </row>
    <row r="527" spans="61:61">
      <c r="BI527" s="1" t="s">
        <v>1474</v>
      </c>
    </row>
    <row r="528" spans="61:61">
      <c r="BI528" s="1" t="s">
        <v>1475</v>
      </c>
    </row>
    <row r="529" spans="61:61">
      <c r="BI529" s="1" t="s">
        <v>1476</v>
      </c>
    </row>
    <row r="530" spans="61:61">
      <c r="BI530" s="1" t="s">
        <v>1477</v>
      </c>
    </row>
    <row r="531" spans="61:61">
      <c r="BI531" s="1" t="s">
        <v>1478</v>
      </c>
    </row>
    <row r="532" spans="61:61">
      <c r="BI532" s="1" t="s">
        <v>1479</v>
      </c>
    </row>
    <row r="533" spans="61:61">
      <c r="BI533" s="1" t="s">
        <v>1480</v>
      </c>
    </row>
    <row r="534" spans="61:61">
      <c r="BI534" s="1" t="s">
        <v>1481</v>
      </c>
    </row>
    <row r="535" spans="61:61">
      <c r="BI535" s="1" t="s">
        <v>462</v>
      </c>
    </row>
    <row r="536" spans="61:61">
      <c r="BI536" s="1" t="s">
        <v>1482</v>
      </c>
    </row>
    <row r="537" spans="61:61">
      <c r="BI537" s="1" t="s">
        <v>1483</v>
      </c>
    </row>
    <row r="538" spans="61:61">
      <c r="BI538" s="1" t="s">
        <v>1484</v>
      </c>
    </row>
    <row r="539" spans="61:61">
      <c r="BI539" s="1" t="s">
        <v>1485</v>
      </c>
    </row>
    <row r="540" spans="61:61">
      <c r="BI540" s="1" t="s">
        <v>474</v>
      </c>
    </row>
    <row r="541" spans="61:61">
      <c r="BI541" s="1" t="s">
        <v>1486</v>
      </c>
    </row>
    <row r="542" spans="61:61">
      <c r="BI542" s="1" t="s">
        <v>1487</v>
      </c>
    </row>
    <row r="543" spans="61:61">
      <c r="BI543" s="1" t="s">
        <v>1488</v>
      </c>
    </row>
    <row r="544" spans="61:61">
      <c r="BI544" s="1" t="s">
        <v>1489</v>
      </c>
    </row>
    <row r="545" spans="61:61">
      <c r="BI545" s="1" t="s">
        <v>1490</v>
      </c>
    </row>
    <row r="546" spans="61:61">
      <c r="BI546" s="1" t="s">
        <v>1491</v>
      </c>
    </row>
  </sheetData>
  <pageMargins left="0.75" right="0.75" top="1" bottom="1" header="0.5" footer="0.5"/>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B193"/>
  <sheetViews>
    <sheetView workbookViewId="0">
      <selection activeCell="A1" sqref="A1"/>
    </sheetView>
  </sheetViews>
  <sheetFormatPr defaultColWidth="9" defaultRowHeight="16.8" outlineLevelCol="1"/>
  <sheetData>
    <row r="1" spans="1:2">
      <c r="A1" s="1" t="s">
        <v>0</v>
      </c>
      <c r="B1" s="1" t="s">
        <v>1</v>
      </c>
    </row>
    <row r="2" spans="1:2">
      <c r="A2" s="1" t="s">
        <v>74</v>
      </c>
      <c r="B2" s="1">
        <v>1</v>
      </c>
    </row>
    <row r="3" spans="1:2">
      <c r="A3" s="1" t="s">
        <v>1492</v>
      </c>
      <c r="B3" s="1">
        <v>1</v>
      </c>
    </row>
    <row r="4" spans="1:2">
      <c r="A4" s="1" t="s">
        <v>45</v>
      </c>
      <c r="B4" s="1">
        <v>1</v>
      </c>
    </row>
    <row r="5" spans="1:2">
      <c r="A5" s="1" t="s">
        <v>12</v>
      </c>
      <c r="B5" s="1">
        <v>1</v>
      </c>
    </row>
    <row r="6" spans="1:2">
      <c r="A6" s="1" t="s">
        <v>51</v>
      </c>
      <c r="B6" s="1">
        <v>1</v>
      </c>
    </row>
    <row r="7" spans="1:2">
      <c r="A7" s="1" t="s">
        <v>24</v>
      </c>
      <c r="B7" s="1">
        <v>1</v>
      </c>
    </row>
    <row r="8" spans="1:2">
      <c r="A8" s="1" t="s">
        <v>4</v>
      </c>
      <c r="B8" s="1">
        <v>1</v>
      </c>
    </row>
    <row r="9" spans="1:2">
      <c r="A9" s="1" t="s">
        <v>73</v>
      </c>
      <c r="B9" s="1">
        <v>1</v>
      </c>
    </row>
    <row r="10" spans="1:2">
      <c r="A10" s="1" t="s">
        <v>8</v>
      </c>
      <c r="B10" s="1">
        <v>1</v>
      </c>
    </row>
    <row r="11" spans="1:2">
      <c r="A11" s="1" t="s">
        <v>21</v>
      </c>
      <c r="B11" s="1">
        <v>1</v>
      </c>
    </row>
    <row r="12" spans="1:2">
      <c r="A12" s="1" t="s">
        <v>67</v>
      </c>
      <c r="B12" s="1">
        <v>1</v>
      </c>
    </row>
    <row r="13" spans="1:2">
      <c r="A13" s="1" t="s">
        <v>49</v>
      </c>
      <c r="B13" s="1">
        <v>1</v>
      </c>
    </row>
    <row r="14" spans="1:2">
      <c r="A14" s="1" t="s">
        <v>1493</v>
      </c>
      <c r="B14" s="1">
        <v>1</v>
      </c>
    </row>
    <row r="15" spans="1:2">
      <c r="A15" s="1" t="s">
        <v>44</v>
      </c>
      <c r="B15" s="1">
        <v>1</v>
      </c>
    </row>
    <row r="16" spans="1:2">
      <c r="A16" s="1" t="s">
        <v>2</v>
      </c>
      <c r="B16" s="1">
        <v>1</v>
      </c>
    </row>
    <row r="17" spans="1:2">
      <c r="A17" s="1" t="s">
        <v>36</v>
      </c>
      <c r="B17" s="1">
        <v>1</v>
      </c>
    </row>
    <row r="18" spans="1:2">
      <c r="A18" s="1" t="s">
        <v>39</v>
      </c>
      <c r="B18" s="1">
        <v>1</v>
      </c>
    </row>
    <row r="19" spans="1:2">
      <c r="A19" s="1" t="s">
        <v>1494</v>
      </c>
      <c r="B19" s="1">
        <v>1</v>
      </c>
    </row>
    <row r="20" spans="1:2">
      <c r="A20" s="1" t="s">
        <v>13</v>
      </c>
      <c r="B20" s="1">
        <v>1</v>
      </c>
    </row>
    <row r="21" spans="1:2">
      <c r="A21" s="1" t="s">
        <v>10</v>
      </c>
      <c r="B21" s="1">
        <v>1</v>
      </c>
    </row>
    <row r="22" spans="1:2">
      <c r="A22" s="1" t="s">
        <v>1495</v>
      </c>
      <c r="B22" s="1">
        <v>1</v>
      </c>
    </row>
    <row r="23" spans="1:2">
      <c r="A23" s="1" t="s">
        <v>1496</v>
      </c>
      <c r="B23" s="1">
        <v>1</v>
      </c>
    </row>
    <row r="24" spans="1:2">
      <c r="A24" s="1" t="s">
        <v>60</v>
      </c>
      <c r="B24" s="1">
        <v>1</v>
      </c>
    </row>
    <row r="25" spans="1:2">
      <c r="A25" s="1" t="s">
        <v>37</v>
      </c>
      <c r="B25" s="1">
        <v>1</v>
      </c>
    </row>
    <row r="26" spans="1:2">
      <c r="A26" s="1" t="s">
        <v>1497</v>
      </c>
      <c r="B26" s="1">
        <v>1</v>
      </c>
    </row>
    <row r="27" spans="1:2">
      <c r="A27" s="1" t="s">
        <v>1498</v>
      </c>
      <c r="B27" s="1">
        <v>1</v>
      </c>
    </row>
    <row r="28" spans="1:2">
      <c r="A28" s="1" t="s">
        <v>1499</v>
      </c>
      <c r="B28" s="1">
        <v>1</v>
      </c>
    </row>
    <row r="29" spans="1:2">
      <c r="A29" s="1" t="s">
        <v>0</v>
      </c>
      <c r="B29" s="1" t="s">
        <v>1</v>
      </c>
    </row>
    <row r="30" spans="1:2">
      <c r="A30" s="1" t="s">
        <v>52</v>
      </c>
      <c r="B30" s="1">
        <v>1</v>
      </c>
    </row>
    <row r="31" spans="1:2">
      <c r="A31" s="1" t="s">
        <v>1500</v>
      </c>
      <c r="B31" s="1">
        <v>1</v>
      </c>
    </row>
    <row r="32" spans="1:2">
      <c r="A32" s="1" t="s">
        <v>1501</v>
      </c>
      <c r="B32" s="1">
        <v>1</v>
      </c>
    </row>
    <row r="33" spans="1:2">
      <c r="A33" s="1" t="s">
        <v>1502</v>
      </c>
      <c r="B33" s="1">
        <v>1</v>
      </c>
    </row>
    <row r="34" spans="1:2">
      <c r="A34" s="1" t="s">
        <v>1503</v>
      </c>
      <c r="B34" s="1">
        <v>1</v>
      </c>
    </row>
    <row r="35" spans="1:2">
      <c r="A35" s="1" t="s">
        <v>61</v>
      </c>
      <c r="B35" s="1">
        <v>1</v>
      </c>
    </row>
    <row r="36" spans="1:2">
      <c r="A36" s="1" t="s">
        <v>1504</v>
      </c>
      <c r="B36" s="1">
        <v>1</v>
      </c>
    </row>
    <row r="37" spans="1:2">
      <c r="A37" s="1" t="s">
        <v>53</v>
      </c>
      <c r="B37" s="1">
        <v>1</v>
      </c>
    </row>
    <row r="38" spans="1:2">
      <c r="A38" s="1" t="s">
        <v>1505</v>
      </c>
      <c r="B38" s="1">
        <v>1</v>
      </c>
    </row>
    <row r="39" spans="1:2">
      <c r="A39" s="1" t="s">
        <v>1506</v>
      </c>
      <c r="B39" s="1">
        <v>1</v>
      </c>
    </row>
    <row r="40" spans="1:2">
      <c r="A40" s="1" t="s">
        <v>43</v>
      </c>
      <c r="B40" s="1">
        <v>1</v>
      </c>
    </row>
    <row r="41" spans="1:2">
      <c r="A41" s="1" t="s">
        <v>70</v>
      </c>
      <c r="B41" s="1">
        <v>1</v>
      </c>
    </row>
    <row r="42" spans="1:2">
      <c r="A42" s="1" t="s">
        <v>65</v>
      </c>
      <c r="B42" s="1">
        <v>1</v>
      </c>
    </row>
    <row r="43" spans="1:2">
      <c r="A43" s="1" t="s">
        <v>42</v>
      </c>
      <c r="B43" s="1">
        <v>1</v>
      </c>
    </row>
    <row r="44" spans="1:2">
      <c r="A44" s="1" t="s">
        <v>1507</v>
      </c>
      <c r="B44" s="1">
        <v>1</v>
      </c>
    </row>
    <row r="45" spans="1:2">
      <c r="A45" s="1" t="s">
        <v>1508</v>
      </c>
      <c r="B45" s="1">
        <v>1</v>
      </c>
    </row>
    <row r="46" spans="1:2">
      <c r="A46" s="1" t="s">
        <v>1509</v>
      </c>
      <c r="B46" s="1">
        <v>1</v>
      </c>
    </row>
    <row r="47" spans="1:2">
      <c r="A47" s="1" t="s">
        <v>28</v>
      </c>
      <c r="B47" s="1">
        <v>1</v>
      </c>
    </row>
    <row r="48" spans="1:2">
      <c r="A48" s="1" t="s">
        <v>1510</v>
      </c>
      <c r="B48" s="1">
        <v>1</v>
      </c>
    </row>
    <row r="49" spans="1:2">
      <c r="A49" s="1" t="s">
        <v>71</v>
      </c>
      <c r="B49" s="1">
        <v>1</v>
      </c>
    </row>
    <row r="50" spans="1:2">
      <c r="A50" s="1" t="s">
        <v>1511</v>
      </c>
      <c r="B50" s="1">
        <v>1</v>
      </c>
    </row>
    <row r="51" spans="1:2">
      <c r="A51" s="1" t="s">
        <v>69</v>
      </c>
      <c r="B51" s="1">
        <v>1</v>
      </c>
    </row>
    <row r="52" spans="1:2">
      <c r="A52" s="1" t="s">
        <v>33</v>
      </c>
      <c r="B52" s="1">
        <v>1</v>
      </c>
    </row>
    <row r="53" spans="1:2">
      <c r="A53" s="1" t="s">
        <v>1512</v>
      </c>
      <c r="B53" s="1">
        <v>1</v>
      </c>
    </row>
    <row r="54" spans="1:2">
      <c r="A54" s="1" t="s">
        <v>1513</v>
      </c>
      <c r="B54" s="1">
        <v>1</v>
      </c>
    </row>
    <row r="55" spans="1:2">
      <c r="A55" s="1" t="s">
        <v>1514</v>
      </c>
      <c r="B55" s="1">
        <v>1</v>
      </c>
    </row>
    <row r="56" spans="1:2">
      <c r="A56" s="1" t="s">
        <v>1515</v>
      </c>
      <c r="B56" s="1">
        <v>1</v>
      </c>
    </row>
    <row r="57" spans="1:2">
      <c r="A57" s="1" t="s">
        <v>1516</v>
      </c>
      <c r="B57" s="1">
        <v>1</v>
      </c>
    </row>
    <row r="58" spans="1:2">
      <c r="A58" s="1" t="s">
        <v>16</v>
      </c>
      <c r="B58" s="1">
        <v>1</v>
      </c>
    </row>
    <row r="59" spans="1:2">
      <c r="A59" s="1" t="s">
        <v>23</v>
      </c>
      <c r="B59" s="1">
        <v>1</v>
      </c>
    </row>
    <row r="60" spans="1:2">
      <c r="A60" s="1" t="s">
        <v>1517</v>
      </c>
      <c r="B60" s="1">
        <v>1</v>
      </c>
    </row>
    <row r="61" spans="1:2">
      <c r="A61" s="1" t="s">
        <v>1518</v>
      </c>
      <c r="B61" s="1">
        <v>1</v>
      </c>
    </row>
    <row r="62" spans="1:2">
      <c r="A62" s="1" t="s">
        <v>1519</v>
      </c>
      <c r="B62" s="1">
        <v>1</v>
      </c>
    </row>
    <row r="63" spans="1:2">
      <c r="A63" s="1" t="s">
        <v>50</v>
      </c>
      <c r="B63" s="1">
        <v>1</v>
      </c>
    </row>
    <row r="64" spans="1:2">
      <c r="A64" s="1" t="s">
        <v>1520</v>
      </c>
      <c r="B64" s="1">
        <v>1</v>
      </c>
    </row>
    <row r="65" spans="1:2">
      <c r="A65" s="1" t="s">
        <v>56</v>
      </c>
      <c r="B65" s="1">
        <v>1</v>
      </c>
    </row>
    <row r="66" spans="1:2">
      <c r="A66" s="1" t="s">
        <v>1521</v>
      </c>
      <c r="B66" s="1">
        <v>1</v>
      </c>
    </row>
    <row r="67" spans="1:2">
      <c r="A67" s="1" t="s">
        <v>18</v>
      </c>
      <c r="B67" s="1">
        <v>1</v>
      </c>
    </row>
    <row r="68" spans="1:2">
      <c r="A68" s="1" t="s">
        <v>1522</v>
      </c>
      <c r="B68" s="1">
        <v>1</v>
      </c>
    </row>
    <row r="69" spans="1:2">
      <c r="A69" s="1" t="s">
        <v>1523</v>
      </c>
      <c r="B69" s="1">
        <v>1</v>
      </c>
    </row>
    <row r="70" spans="1:2">
      <c r="A70" s="1" t="s">
        <v>1524</v>
      </c>
      <c r="B70" s="1">
        <v>1</v>
      </c>
    </row>
    <row r="71" spans="1:2">
      <c r="A71" s="1" t="s">
        <v>1525</v>
      </c>
      <c r="B71" s="1">
        <v>1</v>
      </c>
    </row>
    <row r="72" spans="1:2">
      <c r="A72" s="1" t="s">
        <v>1526</v>
      </c>
      <c r="B72" s="1">
        <v>1</v>
      </c>
    </row>
    <row r="73" spans="1:2">
      <c r="A73" s="1" t="s">
        <v>1527</v>
      </c>
      <c r="B73" s="1">
        <v>1</v>
      </c>
    </row>
    <row r="74" spans="1:2">
      <c r="A74" s="1" t="s">
        <v>1528</v>
      </c>
      <c r="B74" s="1">
        <v>1</v>
      </c>
    </row>
    <row r="75" spans="1:2">
      <c r="A75" s="1" t="s">
        <v>1529</v>
      </c>
      <c r="B75" s="1">
        <v>1</v>
      </c>
    </row>
    <row r="76" spans="1:2">
      <c r="A76" s="1" t="s">
        <v>32</v>
      </c>
      <c r="B76" s="1">
        <v>1</v>
      </c>
    </row>
    <row r="77" spans="1:2">
      <c r="A77" s="1" t="s">
        <v>1530</v>
      </c>
      <c r="B77" s="1">
        <v>1</v>
      </c>
    </row>
    <row r="78" spans="1:2">
      <c r="A78" s="1" t="s">
        <v>1531</v>
      </c>
      <c r="B78" s="1">
        <v>1</v>
      </c>
    </row>
    <row r="79" spans="1:2">
      <c r="A79" s="1" t="s">
        <v>1532</v>
      </c>
      <c r="B79" s="1">
        <v>1</v>
      </c>
    </row>
    <row r="80" spans="1:2">
      <c r="A80" s="1" t="s">
        <v>1533</v>
      </c>
      <c r="B80" s="1">
        <v>1</v>
      </c>
    </row>
    <row r="81" spans="1:2">
      <c r="A81" s="1" t="s">
        <v>1534</v>
      </c>
      <c r="B81" s="1">
        <v>1</v>
      </c>
    </row>
    <row r="82" spans="1:2">
      <c r="A82" s="1" t="s">
        <v>59</v>
      </c>
      <c r="B82" s="1">
        <v>1</v>
      </c>
    </row>
    <row r="83" spans="1:2">
      <c r="A83" s="1" t="s">
        <v>58</v>
      </c>
      <c r="B83" s="1">
        <v>1</v>
      </c>
    </row>
    <row r="84" spans="1:2">
      <c r="A84" s="1" t="s">
        <v>30</v>
      </c>
      <c r="B84" s="1">
        <v>1</v>
      </c>
    </row>
    <row r="85" spans="1:2">
      <c r="A85" s="1" t="s">
        <v>14</v>
      </c>
      <c r="B85" s="1">
        <v>1</v>
      </c>
    </row>
    <row r="86" spans="1:2">
      <c r="A86" s="1" t="s">
        <v>64</v>
      </c>
      <c r="B86" s="1">
        <v>1</v>
      </c>
    </row>
    <row r="87" spans="1:2">
      <c r="A87" s="1" t="s">
        <v>1535</v>
      </c>
      <c r="B87" s="1">
        <v>1</v>
      </c>
    </row>
    <row r="88" spans="1:2">
      <c r="A88" s="1" t="s">
        <v>1536</v>
      </c>
      <c r="B88" s="1">
        <v>1</v>
      </c>
    </row>
    <row r="89" spans="1:2">
      <c r="A89" s="1" t="s">
        <v>1537</v>
      </c>
      <c r="B89" s="1">
        <v>1</v>
      </c>
    </row>
    <row r="90" spans="1:2">
      <c r="A90" s="1" t="s">
        <v>1538</v>
      </c>
      <c r="B90" s="1">
        <v>1</v>
      </c>
    </row>
    <row r="91" spans="1:2">
      <c r="A91" s="1" t="s">
        <v>1539</v>
      </c>
      <c r="B91" s="1">
        <v>1</v>
      </c>
    </row>
    <row r="92" spans="1:2">
      <c r="A92" s="1" t="s">
        <v>15</v>
      </c>
      <c r="B92" s="1">
        <v>1</v>
      </c>
    </row>
    <row r="93" spans="1:2">
      <c r="A93" s="1" t="s">
        <v>1540</v>
      </c>
      <c r="B93" s="1">
        <v>1</v>
      </c>
    </row>
    <row r="94" spans="1:2">
      <c r="A94" s="1" t="s">
        <v>1541</v>
      </c>
      <c r="B94" s="1">
        <v>1</v>
      </c>
    </row>
    <row r="95" spans="1:2">
      <c r="A95" s="1" t="s">
        <v>1542</v>
      </c>
      <c r="B95" s="1">
        <v>1</v>
      </c>
    </row>
    <row r="96" spans="1:2">
      <c r="A96" s="1" t="s">
        <v>1543</v>
      </c>
      <c r="B96" s="1">
        <v>1</v>
      </c>
    </row>
    <row r="97" spans="1:2">
      <c r="A97" s="1" t="s">
        <v>46</v>
      </c>
      <c r="B97" s="1">
        <v>1</v>
      </c>
    </row>
    <row r="98" spans="1:2">
      <c r="A98" s="1" t="s">
        <v>1544</v>
      </c>
      <c r="B98" s="1">
        <v>1</v>
      </c>
    </row>
    <row r="99" spans="1:2">
      <c r="A99" s="1" t="s">
        <v>1545</v>
      </c>
      <c r="B99" s="1">
        <v>1</v>
      </c>
    </row>
    <row r="100" spans="1:2">
      <c r="A100" s="1" t="s">
        <v>57</v>
      </c>
      <c r="B100" s="1">
        <v>1</v>
      </c>
    </row>
    <row r="101" spans="1:2">
      <c r="A101" s="1" t="s">
        <v>1546</v>
      </c>
      <c r="B101" s="1">
        <v>1</v>
      </c>
    </row>
    <row r="102" spans="1:2">
      <c r="A102" s="1" t="s">
        <v>1547</v>
      </c>
      <c r="B102" s="1">
        <v>1</v>
      </c>
    </row>
    <row r="103" spans="1:2">
      <c r="A103" s="1" t="s">
        <v>1548</v>
      </c>
      <c r="B103" s="1">
        <v>1</v>
      </c>
    </row>
    <row r="104" spans="1:2">
      <c r="A104" s="1" t="s">
        <v>55</v>
      </c>
      <c r="B104" s="1">
        <v>1</v>
      </c>
    </row>
    <row r="105" spans="1:2">
      <c r="A105" s="1" t="s">
        <v>1549</v>
      </c>
      <c r="B105" s="1">
        <v>1</v>
      </c>
    </row>
    <row r="106" spans="1:2">
      <c r="A106" s="1" t="s">
        <v>1550</v>
      </c>
      <c r="B106" s="1">
        <v>1</v>
      </c>
    </row>
    <row r="107" spans="1:2">
      <c r="A107" s="1" t="s">
        <v>1551</v>
      </c>
      <c r="B107" s="1">
        <v>1</v>
      </c>
    </row>
    <row r="108" spans="1:2">
      <c r="A108" s="1" t="s">
        <v>17</v>
      </c>
      <c r="B108" s="1">
        <v>1</v>
      </c>
    </row>
    <row r="109" spans="1:2">
      <c r="A109" s="1" t="s">
        <v>1552</v>
      </c>
      <c r="B109" s="1">
        <v>1</v>
      </c>
    </row>
    <row r="110" spans="1:2">
      <c r="A110" s="1" t="s">
        <v>1553</v>
      </c>
      <c r="B110" s="1">
        <v>1</v>
      </c>
    </row>
    <row r="111" spans="1:2">
      <c r="A111" s="1" t="s">
        <v>1554</v>
      </c>
      <c r="B111" s="1">
        <v>1</v>
      </c>
    </row>
    <row r="112" spans="1:2">
      <c r="A112" s="1" t="s">
        <v>1555</v>
      </c>
      <c r="B112" s="1">
        <v>1</v>
      </c>
    </row>
    <row r="113" spans="1:2">
      <c r="A113" s="1" t="s">
        <v>1556</v>
      </c>
      <c r="B113" s="1">
        <v>1</v>
      </c>
    </row>
    <row r="114" spans="1:2">
      <c r="A114" s="1" t="s">
        <v>1557</v>
      </c>
      <c r="B114" s="1">
        <v>1</v>
      </c>
    </row>
    <row r="115" spans="1:2">
      <c r="A115" s="1" t="s">
        <v>1558</v>
      </c>
      <c r="B115" s="1">
        <v>1</v>
      </c>
    </row>
    <row r="116" spans="1:2">
      <c r="A116" s="1" t="s">
        <v>1559</v>
      </c>
      <c r="B116" s="1">
        <v>1</v>
      </c>
    </row>
    <row r="117" spans="1:2">
      <c r="A117" s="1" t="s">
        <v>1560</v>
      </c>
      <c r="B117" s="1">
        <v>1</v>
      </c>
    </row>
    <row r="118" spans="1:2">
      <c r="A118" s="1" t="s">
        <v>1561</v>
      </c>
      <c r="B118" s="1">
        <v>1</v>
      </c>
    </row>
    <row r="119" spans="1:2">
      <c r="A119" s="1" t="s">
        <v>1562</v>
      </c>
      <c r="B119" s="1">
        <v>1</v>
      </c>
    </row>
    <row r="120" spans="1:2">
      <c r="A120" s="1" t="s">
        <v>1563</v>
      </c>
      <c r="B120" s="1">
        <v>1</v>
      </c>
    </row>
    <row r="121" spans="1:2">
      <c r="A121" s="1" t="s">
        <v>1564</v>
      </c>
      <c r="B121" s="1">
        <v>1</v>
      </c>
    </row>
    <row r="122" spans="1:2">
      <c r="A122" s="1" t="s">
        <v>63</v>
      </c>
      <c r="B122" s="1">
        <v>1</v>
      </c>
    </row>
    <row r="123" spans="1:2">
      <c r="A123" s="1" t="s">
        <v>1565</v>
      </c>
      <c r="B123" s="1">
        <v>1</v>
      </c>
    </row>
    <row r="124" spans="1:2">
      <c r="A124" s="1" t="s">
        <v>1566</v>
      </c>
      <c r="B124" s="1">
        <v>1</v>
      </c>
    </row>
    <row r="125" spans="1:2">
      <c r="A125" s="1" t="s">
        <v>22</v>
      </c>
      <c r="B125" s="1">
        <v>1</v>
      </c>
    </row>
    <row r="126" spans="1:2">
      <c r="A126" s="1" t="s">
        <v>11</v>
      </c>
      <c r="B126" s="1">
        <v>1</v>
      </c>
    </row>
    <row r="127" spans="1:2">
      <c r="A127" s="1" t="s">
        <v>48</v>
      </c>
      <c r="B127" s="1">
        <v>1</v>
      </c>
    </row>
    <row r="128" spans="1:2">
      <c r="A128" s="1" t="s">
        <v>1567</v>
      </c>
      <c r="B128" s="1">
        <v>1</v>
      </c>
    </row>
    <row r="129" spans="1:2">
      <c r="A129" s="1" t="s">
        <v>1568</v>
      </c>
      <c r="B129" s="1">
        <v>1</v>
      </c>
    </row>
    <row r="130" spans="1:2">
      <c r="A130" s="1" t="s">
        <v>1569</v>
      </c>
      <c r="B130" s="1">
        <v>1</v>
      </c>
    </row>
    <row r="131" spans="1:2">
      <c r="A131" s="1" t="s">
        <v>29</v>
      </c>
      <c r="B131" s="1">
        <v>1</v>
      </c>
    </row>
    <row r="132" spans="1:2">
      <c r="A132" s="1" t="s">
        <v>1570</v>
      </c>
      <c r="B132" s="1">
        <v>1</v>
      </c>
    </row>
    <row r="133" spans="1:2">
      <c r="A133" s="1" t="s">
        <v>1571</v>
      </c>
      <c r="B133" s="1">
        <v>1</v>
      </c>
    </row>
    <row r="134" spans="1:2">
      <c r="A134" s="1" t="s">
        <v>1572</v>
      </c>
      <c r="B134" s="1">
        <v>1</v>
      </c>
    </row>
    <row r="135" spans="1:2">
      <c r="A135" s="1" t="s">
        <v>1573</v>
      </c>
      <c r="B135" s="1">
        <v>1</v>
      </c>
    </row>
    <row r="136" spans="1:2">
      <c r="A136" s="1" t="s">
        <v>1574</v>
      </c>
      <c r="B136" s="1">
        <v>1</v>
      </c>
    </row>
    <row r="137" spans="1:2">
      <c r="A137" s="1" t="s">
        <v>1575</v>
      </c>
      <c r="B137" s="1">
        <v>1</v>
      </c>
    </row>
    <row r="138" spans="1:2">
      <c r="A138" s="1" t="s">
        <v>1576</v>
      </c>
      <c r="B138" s="1">
        <v>1</v>
      </c>
    </row>
    <row r="139" spans="1:2">
      <c r="A139" s="1" t="s">
        <v>1577</v>
      </c>
      <c r="B139" s="1">
        <v>1</v>
      </c>
    </row>
    <row r="140" spans="1:2">
      <c r="A140" s="1" t="s">
        <v>1578</v>
      </c>
      <c r="B140" s="1">
        <v>1</v>
      </c>
    </row>
    <row r="141" spans="1:2">
      <c r="A141" s="1" t="s">
        <v>1579</v>
      </c>
      <c r="B141" s="1">
        <v>1</v>
      </c>
    </row>
    <row r="142" spans="1:2">
      <c r="A142" s="1" t="s">
        <v>1580</v>
      </c>
      <c r="B142" s="1">
        <v>1</v>
      </c>
    </row>
    <row r="143" spans="1:2">
      <c r="A143" s="1" t="s">
        <v>1581</v>
      </c>
      <c r="B143" s="1">
        <v>1</v>
      </c>
    </row>
    <row r="144" spans="1:2">
      <c r="A144" s="1" t="s">
        <v>1582</v>
      </c>
      <c r="B144" s="1">
        <v>1</v>
      </c>
    </row>
    <row r="145" spans="1:2">
      <c r="A145" s="1" t="s">
        <v>1583</v>
      </c>
      <c r="B145" s="1">
        <v>1</v>
      </c>
    </row>
    <row r="146" spans="1:2">
      <c r="A146" s="1" t="s">
        <v>1584</v>
      </c>
      <c r="B146" s="1">
        <v>1</v>
      </c>
    </row>
    <row r="147" spans="1:2">
      <c r="A147" s="1" t="s">
        <v>54</v>
      </c>
      <c r="B147" s="1">
        <v>1</v>
      </c>
    </row>
    <row r="148" spans="1:2">
      <c r="A148" s="1" t="s">
        <v>62</v>
      </c>
      <c r="B148" s="1">
        <v>1</v>
      </c>
    </row>
    <row r="149" spans="1:2">
      <c r="A149" s="1" t="s">
        <v>1585</v>
      </c>
      <c r="B149" s="1">
        <v>1</v>
      </c>
    </row>
    <row r="150" spans="1:2">
      <c r="A150" s="1" t="s">
        <v>5</v>
      </c>
      <c r="B150" s="1">
        <v>1</v>
      </c>
    </row>
    <row r="151" spans="1:2">
      <c r="A151" s="1" t="s">
        <v>75</v>
      </c>
      <c r="B151" s="1">
        <v>1</v>
      </c>
    </row>
    <row r="152" spans="1:2">
      <c r="A152" s="1" t="s">
        <v>1586</v>
      </c>
      <c r="B152" s="1">
        <v>1</v>
      </c>
    </row>
    <row r="153" spans="1:2">
      <c r="A153" s="1" t="s">
        <v>34</v>
      </c>
      <c r="B153" s="1">
        <v>1</v>
      </c>
    </row>
    <row r="154" spans="1:2">
      <c r="A154" s="1" t="s">
        <v>25</v>
      </c>
      <c r="B154" s="1">
        <v>1</v>
      </c>
    </row>
    <row r="155" spans="1:2">
      <c r="A155" s="1" t="s">
        <v>35</v>
      </c>
      <c r="B155" s="1">
        <v>1</v>
      </c>
    </row>
    <row r="156" spans="1:2">
      <c r="A156" s="1" t="s">
        <v>40</v>
      </c>
      <c r="B156" s="1">
        <v>1</v>
      </c>
    </row>
    <row r="157" spans="1:2">
      <c r="A157" s="1" t="s">
        <v>6</v>
      </c>
      <c r="B157" s="1">
        <v>1</v>
      </c>
    </row>
    <row r="158" spans="1:2">
      <c r="A158" s="1" t="s">
        <v>1587</v>
      </c>
      <c r="B158" s="1">
        <v>1</v>
      </c>
    </row>
    <row r="159" spans="1:2">
      <c r="A159" s="1" t="s">
        <v>1588</v>
      </c>
      <c r="B159" s="1">
        <v>1</v>
      </c>
    </row>
    <row r="160" spans="1:2">
      <c r="A160" s="1" t="s">
        <v>1589</v>
      </c>
      <c r="B160" s="1">
        <v>1</v>
      </c>
    </row>
    <row r="161" spans="1:2">
      <c r="A161" s="1" t="s">
        <v>1590</v>
      </c>
      <c r="B161" s="1">
        <v>1</v>
      </c>
    </row>
    <row r="162" spans="1:2">
      <c r="A162" s="1" t="s">
        <v>27</v>
      </c>
      <c r="B162" s="1">
        <v>1</v>
      </c>
    </row>
    <row r="163" spans="1:2">
      <c r="A163" s="1" t="s">
        <v>26</v>
      </c>
      <c r="B163" s="1">
        <v>1</v>
      </c>
    </row>
    <row r="164" spans="1:2">
      <c r="A164" s="1" t="s">
        <v>1591</v>
      </c>
      <c r="B164" s="1">
        <v>1</v>
      </c>
    </row>
    <row r="165" spans="1:2">
      <c r="A165" s="1" t="s">
        <v>9</v>
      </c>
      <c r="B165" s="1">
        <v>1</v>
      </c>
    </row>
    <row r="166" spans="1:2">
      <c r="A166" s="1" t="s">
        <v>1592</v>
      </c>
      <c r="B166" s="1">
        <v>1</v>
      </c>
    </row>
    <row r="167" spans="1:2">
      <c r="A167" s="1" t="s">
        <v>1593</v>
      </c>
      <c r="B167" s="1">
        <v>1</v>
      </c>
    </row>
    <row r="168" spans="1:2">
      <c r="A168" s="1" t="s">
        <v>1594</v>
      </c>
      <c r="B168" s="1">
        <v>1</v>
      </c>
    </row>
    <row r="169" spans="1:2">
      <c r="A169" s="1" t="s">
        <v>1595</v>
      </c>
      <c r="B169" s="1">
        <v>1</v>
      </c>
    </row>
    <row r="170" spans="1:2">
      <c r="A170" s="1" t="s">
        <v>1596</v>
      </c>
      <c r="B170" s="1">
        <v>1</v>
      </c>
    </row>
    <row r="171" spans="1:2">
      <c r="A171" s="1" t="s">
        <v>68</v>
      </c>
      <c r="B171" s="1">
        <v>1</v>
      </c>
    </row>
    <row r="172" spans="1:2">
      <c r="A172" s="1" t="s">
        <v>1597</v>
      </c>
      <c r="B172" s="1">
        <v>1</v>
      </c>
    </row>
    <row r="173" spans="1:2">
      <c r="A173" s="1" t="s">
        <v>1598</v>
      </c>
      <c r="B173" s="1">
        <v>1</v>
      </c>
    </row>
    <row r="174" spans="1:2">
      <c r="A174" s="1" t="s">
        <v>1599</v>
      </c>
      <c r="B174" s="1">
        <v>1</v>
      </c>
    </row>
    <row r="175" spans="1:2">
      <c r="A175" s="1" t="s">
        <v>41</v>
      </c>
      <c r="B175" s="1">
        <v>1</v>
      </c>
    </row>
    <row r="176" spans="1:2">
      <c r="A176" s="1" t="s">
        <v>3</v>
      </c>
      <c r="B176" s="1">
        <v>1</v>
      </c>
    </row>
    <row r="177" spans="1:2">
      <c r="A177" s="1" t="s">
        <v>1600</v>
      </c>
      <c r="B177" s="1">
        <v>1</v>
      </c>
    </row>
    <row r="178" spans="1:2">
      <c r="A178" s="1" t="s">
        <v>31</v>
      </c>
      <c r="B178" s="1">
        <v>1</v>
      </c>
    </row>
    <row r="179" spans="1:2">
      <c r="A179" s="1" t="s">
        <v>1601</v>
      </c>
      <c r="B179" s="1">
        <v>1</v>
      </c>
    </row>
    <row r="180" spans="1:2">
      <c r="A180" s="1" t="s">
        <v>1602</v>
      </c>
      <c r="B180" s="1">
        <v>1</v>
      </c>
    </row>
    <row r="181" spans="1:2">
      <c r="A181" s="1" t="s">
        <v>1603</v>
      </c>
      <c r="B181" s="1">
        <v>1</v>
      </c>
    </row>
    <row r="182" spans="1:2">
      <c r="A182" s="1" t="s">
        <v>1604</v>
      </c>
      <c r="B182" s="1">
        <v>1</v>
      </c>
    </row>
    <row r="183" spans="1:2">
      <c r="A183" s="1" t="s">
        <v>1605</v>
      </c>
      <c r="B183" s="1">
        <v>1</v>
      </c>
    </row>
    <row r="184" spans="1:2">
      <c r="A184" s="1" t="s">
        <v>38</v>
      </c>
      <c r="B184" s="1">
        <v>1</v>
      </c>
    </row>
    <row r="185" spans="1:2">
      <c r="A185" s="1" t="s">
        <v>1606</v>
      </c>
      <c r="B185" s="1">
        <v>1</v>
      </c>
    </row>
    <row r="186" spans="1:2">
      <c r="A186" s="1" t="s">
        <v>47</v>
      </c>
      <c r="B186" s="1">
        <v>1</v>
      </c>
    </row>
    <row r="187" spans="1:2">
      <c r="A187" s="1" t="s">
        <v>66</v>
      </c>
      <c r="B187" s="1">
        <v>1</v>
      </c>
    </row>
    <row r="188" spans="1:2">
      <c r="A188" s="1" t="s">
        <v>1607</v>
      </c>
      <c r="B188" s="1">
        <v>1</v>
      </c>
    </row>
    <row r="189" spans="1:2">
      <c r="A189" s="1" t="s">
        <v>0</v>
      </c>
      <c r="B189" s="1" t="s">
        <v>1</v>
      </c>
    </row>
    <row r="190" spans="1:2">
      <c r="A190" s="1" t="s">
        <v>7</v>
      </c>
      <c r="B190" s="1">
        <v>1</v>
      </c>
    </row>
    <row r="191" spans="1:2">
      <c r="A191" s="1" t="s">
        <v>19</v>
      </c>
      <c r="B191" s="1">
        <v>1</v>
      </c>
    </row>
    <row r="192" spans="1:2">
      <c r="A192" s="1" t="s">
        <v>72</v>
      </c>
      <c r="B192" s="1">
        <v>1</v>
      </c>
    </row>
    <row r="193" spans="1:2">
      <c r="A193" s="1" t="s">
        <v>20</v>
      </c>
      <c r="B193" s="1">
        <v>1</v>
      </c>
    </row>
  </sheetData>
  <pageMargins left="0.75" right="0.75" top="1" bottom="1" header="0.5" footer="0.5"/>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GJ259"/>
  <sheetViews>
    <sheetView tabSelected="1" workbookViewId="0">
      <pane xSplit="2" topLeftCell="EV1" activePane="topRight" state="frozen"/>
      <selection/>
      <selection pane="topRight" activeCell="EY20" sqref="EY20"/>
    </sheetView>
  </sheetViews>
  <sheetFormatPr defaultColWidth="9" defaultRowHeight="15.2"/>
  <cols>
    <col min="1" max="1" width="13.6339285714286" style="5" customWidth="1"/>
    <col min="2" max="2" width="17" style="5" customWidth="1"/>
    <col min="3" max="3" width="16.9196428571429" style="5" customWidth="1"/>
    <col min="4" max="4" width="21.6339285714286" style="5" customWidth="1"/>
    <col min="5" max="5" width="12.2232142857143" style="5" customWidth="1"/>
    <col min="6" max="6" width="143.330357142857" style="5" customWidth="1"/>
    <col min="7" max="7" width="24.6696428571429" style="5" customWidth="1" outlineLevel="1" collapsed="1"/>
    <col min="8" max="8" width="14.5535714285714" style="5" customWidth="1" outlineLevel="1" collapsed="1"/>
    <col min="9" max="9" width="26" style="5" customWidth="1" outlineLevel="1" collapsed="1"/>
    <col min="10" max="10" width="15.25" style="5" customWidth="1"/>
    <col min="11" max="21" width="9" style="5" customWidth="1" outlineLevel="1" collapsed="1"/>
    <col min="22" max="22" width="13.3839285714286" style="6" customWidth="1"/>
    <col min="23" max="23" width="8" style="7" customWidth="1"/>
    <col min="24" max="24" width="6.38392857142857" style="5" customWidth="1"/>
    <col min="25" max="25" width="20.6339285714286" style="5" customWidth="1"/>
    <col min="26" max="26" width="30.5" style="5" customWidth="1"/>
    <col min="27" max="27" width="30.6339285714286" style="5" customWidth="1"/>
    <col min="28" max="28" width="17.75" style="5" customWidth="1"/>
    <col min="29" max="29" width="31.6339285714286" style="5" customWidth="1"/>
    <col min="30" max="30" width="16.3839285714286" style="5" customWidth="1"/>
    <col min="31" max="31" width="7.25" style="5" customWidth="1"/>
    <col min="32" max="32" width="46.7767857142857" style="5" customWidth="1"/>
    <col min="33" max="33" width="47.6696428571429" style="5" customWidth="1" outlineLevel="1" collapsed="1"/>
    <col min="34" max="34" width="44.8928571428571" style="5" customWidth="1" outlineLevel="1" collapsed="1"/>
    <col min="35" max="37" width="47" style="5" customWidth="1" outlineLevel="1" collapsed="1"/>
    <col min="38" max="38" width="22" style="5" customWidth="1" outlineLevel="1" collapsed="1"/>
    <col min="39" max="39" width="15.8928571428571" style="5" customWidth="1" outlineLevel="1" collapsed="1"/>
    <col min="40" max="46" width="9" style="5" customWidth="1" outlineLevel="1" collapsed="1"/>
    <col min="47" max="47" width="8.88392857142857" style="5" customWidth="1"/>
    <col min="48" max="48" width="11.4464285714286" style="5" customWidth="1" outlineLevel="1" collapsed="1"/>
    <col min="49" max="51" width="9" style="5" customWidth="1" outlineLevel="1" collapsed="1"/>
    <col min="52" max="52" width="26.1071428571429" style="5" customWidth="1"/>
    <col min="53" max="53" width="15" style="5" customWidth="1"/>
    <col min="54" max="54" width="10.5535714285714" style="8" customWidth="1"/>
    <col min="55" max="55" width="25.5" style="5" customWidth="1"/>
    <col min="56" max="56" width="9" style="7" customWidth="1" outlineLevel="1" collapsed="1"/>
    <col min="57" max="57" width="9" style="5" customWidth="1" outlineLevel="1" collapsed="1"/>
    <col min="58" max="58" width="15.25" style="5" customWidth="1"/>
    <col min="59" max="60" width="9" style="5" customWidth="1" outlineLevel="1" collapsed="1"/>
    <col min="61" max="61" width="24.6696428571429" style="5" customWidth="1" outlineLevel="1" collapsed="1"/>
    <col min="62" max="62" width="27.5535714285714" style="5" customWidth="1" outlineLevel="1" collapsed="1"/>
    <col min="63" max="64" width="9" style="5" customWidth="1" outlineLevel="1" collapsed="1"/>
    <col min="65" max="65" width="11.25" style="5" customWidth="1"/>
    <col min="66" max="66" width="10" style="5" customWidth="1"/>
    <col min="67" max="67" width="15.4464285714286" style="5" customWidth="1"/>
    <col min="68" max="68" width="7.63392857142857" style="5" customWidth="1"/>
    <col min="69" max="70" width="9" style="5" customWidth="1" outlineLevel="1" collapsed="1"/>
    <col min="71" max="71" width="10" style="5" customWidth="1"/>
    <col min="72" max="82" width="9" style="5" customWidth="1" outlineLevel="1" collapsed="1"/>
    <col min="83" max="83" width="36" style="5" customWidth="1"/>
    <col min="84" max="84" width="9" style="9" customWidth="1" outlineLevel="1" collapsed="1"/>
    <col min="85" max="85" width="13" style="5" customWidth="1"/>
    <col min="86" max="88" width="9" style="5" customWidth="1" outlineLevel="1" collapsed="1"/>
    <col min="89" max="89" width="16.5" style="6" customWidth="1"/>
    <col min="90" max="90" width="9" style="5" customWidth="1" outlineLevel="1" collapsed="1"/>
    <col min="91" max="91" width="14.6339285714286" style="5" customWidth="1"/>
    <col min="92" max="92" width="19.6339285714286" style="5" customWidth="1"/>
    <col min="93" max="93" width="9" style="5" customWidth="1" outlineLevel="1" collapsed="1"/>
    <col min="94" max="94" width="26" style="5" customWidth="1"/>
    <col min="95" max="97" width="9" style="6" customWidth="1" outlineLevel="1" collapsed="1"/>
    <col min="98" max="98" width="9" style="5" customWidth="1" outlineLevel="1" collapsed="1"/>
    <col min="99" max="99" width="9" style="6" customWidth="1" outlineLevel="1" collapsed="1"/>
    <col min="100" max="102" width="9" style="5" customWidth="1" outlineLevel="1" collapsed="1"/>
    <col min="103" max="103" width="21.3839285714286" style="5" customWidth="1"/>
    <col min="104" max="104" width="35.75" style="5" customWidth="1"/>
    <col min="105" max="105" width="14.6339285714286" style="5" customWidth="1"/>
    <col min="106" max="106" width="23.6339285714286" style="5" customWidth="1"/>
    <col min="107" max="109" width="21" style="5" customWidth="1"/>
    <col min="110" max="112" width="16.1339285714286" style="7" customWidth="1"/>
    <col min="113" max="113" width="11.8839285714286" style="6" customWidth="1"/>
    <col min="114" max="114" width="27.6339285714286" style="5" customWidth="1"/>
    <col min="115" max="115" width="26.5" style="7" customWidth="1"/>
    <col min="116" max="116" width="19.8839285714286" style="7" customWidth="1"/>
    <col min="117" max="117" width="21.8839285714286" style="5" customWidth="1"/>
    <col min="118" max="118" width="17.1339285714286" style="6" customWidth="1"/>
    <col min="119" max="119" width="41.25" style="5" customWidth="1"/>
    <col min="120" max="120" width="22.5" style="6" customWidth="1"/>
    <col min="121" max="121" width="33.8839285714286" style="5" customWidth="1"/>
    <col min="122" max="126" width="41" style="5" customWidth="1"/>
    <col min="127" max="127" width="12.5" style="5" customWidth="1"/>
    <col min="128" max="128" width="32.6339285714286" style="5" customWidth="1"/>
    <col min="129" max="129" width="12" style="6" customWidth="1"/>
    <col min="130" max="130" width="25.5" style="5" customWidth="1"/>
    <col min="131" max="131" width="7.38392857142857" style="6" customWidth="1"/>
    <col min="132" max="132" width="29.8839285714286" style="5" customWidth="1"/>
    <col min="133" max="133" width="9" style="5" customWidth="1" outlineLevel="1" collapsed="1"/>
    <col min="134" max="134" width="16.6696428571429" style="5" customWidth="1"/>
    <col min="135" max="135" width="9" style="6" customWidth="1" outlineLevel="1" collapsed="1"/>
    <col min="136" max="136" width="9" style="5" customWidth="1" outlineLevel="1" collapsed="1"/>
    <col min="137" max="137" width="12.4464285714286" style="5" customWidth="1" outlineLevel="1" collapsed="1"/>
    <col min="138" max="138" width="45.6339285714286" style="5" customWidth="1"/>
    <col min="139" max="139" width="22.2232142857143" style="5" customWidth="1" outlineLevel="1" collapsed="1"/>
    <col min="140" max="140" width="9" style="5" customWidth="1" outlineLevel="1" collapsed="1"/>
    <col min="141" max="143" width="54.1339285714286" style="5" customWidth="1"/>
    <col min="144" max="144" width="6.25" style="5" customWidth="1"/>
    <col min="145" max="145" width="9" style="7" customWidth="1" outlineLevel="1" collapsed="1"/>
    <col min="146" max="146" width="9" style="6" customWidth="1" outlineLevel="1" collapsed="1"/>
    <col min="147" max="147" width="16.5535714285714" style="9" customWidth="1" outlineLevel="1" collapsed="1"/>
    <col min="148" max="148" width="13.6696428571429" style="9" customWidth="1" outlineLevel="1" collapsed="1"/>
    <col min="149" max="151" width="9" style="7" customWidth="1" outlineLevel="1" collapsed="1"/>
    <col min="152" max="154" width="9" style="5" customWidth="1" outlineLevel="1" collapsed="1"/>
    <col min="155" max="156" width="9" style="9" customWidth="1" outlineLevel="1" collapsed="1"/>
    <col min="157" max="157" width="9" style="5" customWidth="1" outlineLevel="1" collapsed="1"/>
    <col min="158" max="158" width="9" style="9" customWidth="1" outlineLevel="1" collapsed="1"/>
    <col min="159" max="160" width="9" style="5" customWidth="1" outlineLevel="1" collapsed="1"/>
    <col min="161" max="161" width="9" style="7" customWidth="1" outlineLevel="1" collapsed="1"/>
    <col min="162" max="162" width="9" style="9" customWidth="1" outlineLevel="1" collapsed="1"/>
    <col min="163" max="163" width="9" style="7" customWidth="1" outlineLevel="1" collapsed="1"/>
    <col min="164" max="164" width="9" style="5" customWidth="1" outlineLevel="1" collapsed="1"/>
    <col min="165" max="165" width="9" style="9" customWidth="1" outlineLevel="1" collapsed="1"/>
    <col min="166" max="169" width="9" style="5" customWidth="1" outlineLevel="1" collapsed="1"/>
    <col min="170" max="170" width="23.3839285714286" style="6" customWidth="1"/>
    <col min="171" max="171" width="9" style="5" customWidth="1" outlineLevel="1" collapsed="1"/>
    <col min="172" max="172" width="9" style="7" customWidth="1" outlineLevel="1" collapsed="1"/>
    <col min="173" max="173" width="9" style="6" customWidth="1" outlineLevel="1" collapsed="1"/>
    <col min="174" max="174" width="9" style="7" customWidth="1" outlineLevel="1" collapsed="1"/>
    <col min="175" max="175" width="9" style="6" customWidth="1" outlineLevel="1" collapsed="1"/>
    <col min="176" max="176" width="9" style="7" customWidth="1" outlineLevel="1" collapsed="1"/>
    <col min="177" max="177" width="9" style="6" customWidth="1" outlineLevel="1" collapsed="1"/>
    <col min="178" max="178" width="9" style="7" customWidth="1" outlineLevel="1" collapsed="1"/>
    <col min="179" max="179" width="9" style="6" customWidth="1" outlineLevel="1" collapsed="1"/>
    <col min="180" max="180" width="9" style="7" customWidth="1" outlineLevel="1" collapsed="1"/>
    <col min="181" max="181" width="9" style="6" customWidth="1" outlineLevel="1" collapsed="1"/>
    <col min="182" max="182" width="9" style="5" customWidth="1" outlineLevel="1" collapsed="1"/>
    <col min="183" max="183" width="9" style="7" customWidth="1" outlineLevel="1" collapsed="1"/>
    <col min="184" max="184" width="9" style="6" customWidth="1" outlineLevel="1" collapsed="1"/>
    <col min="185" max="185" width="9" style="7" customWidth="1" outlineLevel="1" collapsed="1"/>
    <col min="186" max="186" width="9" style="6" customWidth="1" outlineLevel="1" collapsed="1"/>
    <col min="187" max="187" width="9" style="7" customWidth="1" outlineLevel="1" collapsed="1"/>
    <col min="188" max="188" width="9" style="6" customWidth="1" outlineLevel="1" collapsed="1"/>
    <col min="189" max="191" width="9" style="5" customWidth="1" outlineLevel="1" collapsed="1"/>
    <col min="192" max="16384" width="8" style="10" hidden="1" customWidth="1"/>
  </cols>
  <sheetData>
    <row r="1" ht="16.8" spans="1:192">
      <c r="A1" s="11" t="s">
        <v>1608</v>
      </c>
      <c r="B1" s="11" t="s">
        <v>1609</v>
      </c>
      <c r="C1" s="11" t="s">
        <v>1610</v>
      </c>
      <c r="D1" s="12" t="s">
        <v>1611</v>
      </c>
      <c r="E1" s="12"/>
      <c r="F1" s="12"/>
      <c r="G1" s="12"/>
      <c r="H1" s="12"/>
      <c r="I1" s="12"/>
      <c r="J1" s="12"/>
      <c r="K1" s="12"/>
      <c r="L1" s="12"/>
      <c r="M1" s="12"/>
      <c r="N1" s="12"/>
      <c r="O1" s="12"/>
      <c r="P1" s="12"/>
      <c r="Q1" s="12"/>
      <c r="R1" s="12"/>
      <c r="S1" s="12"/>
      <c r="T1" s="12"/>
      <c r="U1" s="12"/>
      <c r="V1" s="13"/>
      <c r="W1" s="14"/>
      <c r="X1" s="12"/>
      <c r="Y1" s="12"/>
      <c r="Z1" s="12"/>
      <c r="AA1" s="12"/>
      <c r="AB1" s="12"/>
      <c r="AC1" s="12"/>
      <c r="AD1" s="12"/>
      <c r="AE1" s="12"/>
      <c r="AF1" s="15" t="s">
        <v>1612</v>
      </c>
      <c r="AG1" s="15"/>
      <c r="AH1" s="15"/>
      <c r="AI1" s="15"/>
      <c r="AJ1" s="15"/>
      <c r="AK1" s="15"/>
      <c r="AL1" s="15"/>
      <c r="AM1" s="15"/>
      <c r="AN1" s="15"/>
      <c r="AO1" s="15"/>
      <c r="AP1" s="15"/>
      <c r="AQ1" s="15"/>
      <c r="AR1" s="15"/>
      <c r="AS1" s="15"/>
      <c r="AT1" s="15"/>
      <c r="AU1" s="16" t="s">
        <v>1613</v>
      </c>
      <c r="AV1" s="16"/>
      <c r="AW1" s="16"/>
      <c r="AX1" s="16"/>
      <c r="AY1" s="16"/>
      <c r="AZ1" s="17"/>
      <c r="BA1" s="17"/>
      <c r="BB1" s="18"/>
      <c r="BC1" s="11" t="s">
        <v>1614</v>
      </c>
      <c r="BD1" s="19"/>
      <c r="BE1" s="16"/>
      <c r="BF1" s="17" t="s">
        <v>1615</v>
      </c>
      <c r="BG1" s="17"/>
      <c r="BH1" s="17"/>
      <c r="BI1" s="17"/>
      <c r="BJ1" s="17"/>
      <c r="BK1" s="17"/>
      <c r="BL1" s="17"/>
      <c r="BM1" s="17"/>
      <c r="BN1" s="17"/>
      <c r="BO1" s="17"/>
      <c r="BP1" s="17"/>
      <c r="BQ1" s="17"/>
      <c r="BR1" s="17"/>
      <c r="BS1" s="17"/>
      <c r="BT1" s="17"/>
      <c r="BU1" s="17"/>
      <c r="BV1" s="17"/>
      <c r="BW1" s="17"/>
      <c r="BX1" s="17"/>
      <c r="BY1" s="17"/>
      <c r="BZ1" s="17"/>
      <c r="CA1" s="17"/>
      <c r="CB1" s="17"/>
      <c r="CC1" s="17"/>
      <c r="CD1" s="17"/>
      <c r="CE1" s="17"/>
      <c r="CF1" s="20"/>
      <c r="CG1" s="21" t="s">
        <v>1616</v>
      </c>
      <c r="CH1" s="21"/>
      <c r="CI1" s="21"/>
      <c r="CJ1" s="21"/>
      <c r="CK1" s="22" t="s">
        <v>1617</v>
      </c>
      <c r="CL1" s="23"/>
      <c r="CM1" s="23"/>
      <c r="CN1" s="23"/>
      <c r="CO1" s="23"/>
      <c r="CP1" s="24" t="s">
        <v>1618</v>
      </c>
      <c r="CQ1" s="25"/>
      <c r="CR1" s="25"/>
      <c r="CS1" s="25"/>
      <c r="CT1" s="24"/>
      <c r="CU1" s="25"/>
      <c r="CV1" s="24"/>
      <c r="CW1" s="24"/>
      <c r="CX1" s="24"/>
      <c r="CY1" s="26" t="s">
        <v>1619</v>
      </c>
      <c r="CZ1" s="26"/>
      <c r="DA1" s="26"/>
      <c r="DB1" s="26"/>
      <c r="DC1" s="26"/>
      <c r="DD1" s="26"/>
      <c r="DE1" s="26"/>
      <c r="DF1" s="27"/>
      <c r="DG1" s="27"/>
      <c r="DH1" s="27"/>
      <c r="DI1" s="28"/>
      <c r="DJ1" s="26"/>
      <c r="DK1" s="27"/>
      <c r="DL1" s="27"/>
      <c r="DM1" s="26"/>
      <c r="DN1" s="28"/>
      <c r="DO1" s="26"/>
      <c r="DP1" s="28"/>
      <c r="DQ1" s="26"/>
      <c r="DR1" s="26"/>
      <c r="DS1" s="26"/>
      <c r="DT1" s="26"/>
      <c r="DU1" s="26"/>
      <c r="DV1" s="26"/>
      <c r="DW1" s="26"/>
      <c r="DX1" s="26"/>
      <c r="DY1" s="28"/>
      <c r="DZ1" s="26"/>
      <c r="EA1" s="28"/>
      <c r="EB1" s="26"/>
      <c r="EC1" s="26"/>
      <c r="ED1" s="26"/>
      <c r="EE1" s="28"/>
      <c r="EF1" s="26"/>
      <c r="EG1" s="26"/>
      <c r="EH1" s="26"/>
      <c r="EI1" s="26"/>
      <c r="EJ1" s="26"/>
      <c r="EK1" s="26"/>
      <c r="EL1" s="26"/>
      <c r="EM1" s="26"/>
      <c r="EN1" s="29" t="s">
        <v>1620</v>
      </c>
      <c r="EO1" s="30"/>
      <c r="EP1" s="31"/>
      <c r="EQ1" s="32"/>
      <c r="ER1" s="32"/>
      <c r="ES1" s="30"/>
      <c r="ET1" s="30"/>
      <c r="EU1" s="30"/>
      <c r="EV1" s="29"/>
      <c r="EW1" s="29"/>
      <c r="EX1" s="29"/>
      <c r="EY1" s="32"/>
      <c r="EZ1" s="32"/>
      <c r="FA1" s="29"/>
      <c r="FB1" s="32"/>
      <c r="FC1" s="29"/>
      <c r="FD1" s="33"/>
      <c r="FE1" s="30"/>
      <c r="FF1" s="32"/>
      <c r="FG1" s="30"/>
      <c r="FH1" s="29"/>
      <c r="FI1" s="32"/>
      <c r="FJ1" s="29"/>
      <c r="FK1" s="29"/>
      <c r="FL1" s="29"/>
      <c r="FM1" s="29"/>
      <c r="FN1" s="34" t="s">
        <v>1621</v>
      </c>
      <c r="FO1" s="35"/>
      <c r="FP1" s="36"/>
      <c r="FQ1" s="34"/>
      <c r="FR1" s="36"/>
      <c r="FS1" s="34"/>
      <c r="FT1" s="36"/>
      <c r="FU1" s="34"/>
      <c r="FV1" s="36"/>
      <c r="FW1" s="34"/>
      <c r="FX1" s="36"/>
      <c r="FY1" s="34"/>
      <c r="FZ1" s="35"/>
      <c r="GA1" s="36"/>
      <c r="GB1" s="34"/>
      <c r="GC1" s="36"/>
      <c r="GD1" s="34"/>
      <c r="GE1" s="36"/>
      <c r="GF1" s="34"/>
      <c r="GG1" s="35"/>
      <c r="GH1" s="35"/>
      <c r="GI1" s="35"/>
    </row>
    <row r="2" ht="28" customHeight="1" spans="1:192">
      <c r="A2" s="37" t="s">
        <v>1622</v>
      </c>
      <c r="B2" s="37" t="s">
        <v>1623</v>
      </c>
      <c r="C2" s="37" t="s">
        <v>1624</v>
      </c>
      <c r="D2" s="37" t="s">
        <v>1625</v>
      </c>
      <c r="E2" s="37" t="s">
        <v>1626</v>
      </c>
      <c r="F2" s="37" t="s">
        <v>1627</v>
      </c>
      <c r="G2" s="37" t="s">
        <v>1628</v>
      </c>
      <c r="H2" s="37" t="s">
        <v>1629</v>
      </c>
      <c r="I2" s="37" t="s">
        <v>1630</v>
      </c>
      <c r="J2" s="37" t="s">
        <v>1631</v>
      </c>
      <c r="K2" s="37" t="s">
        <v>1632</v>
      </c>
      <c r="L2" s="37" t="s">
        <v>1633</v>
      </c>
      <c r="M2" s="37" t="s">
        <v>1634</v>
      </c>
      <c r="N2" s="37" t="s">
        <v>1635</v>
      </c>
      <c r="O2" s="37" t="s">
        <v>1582</v>
      </c>
      <c r="P2" s="37" t="s">
        <v>57</v>
      </c>
      <c r="Q2" s="37" t="s">
        <v>1636</v>
      </c>
      <c r="R2" s="37" t="s">
        <v>1636</v>
      </c>
      <c r="S2" s="37" t="s">
        <v>1636</v>
      </c>
      <c r="T2" s="37" t="s">
        <v>1636</v>
      </c>
      <c r="U2" s="37" t="s">
        <v>1636</v>
      </c>
      <c r="V2" s="38" t="s">
        <v>1637</v>
      </c>
      <c r="W2" s="39" t="s">
        <v>1638</v>
      </c>
      <c r="X2" s="37" t="s">
        <v>1639</v>
      </c>
      <c r="Y2" s="37" t="s">
        <v>1640</v>
      </c>
      <c r="Z2" s="37" t="s">
        <v>1641</v>
      </c>
      <c r="AA2" s="37" t="s">
        <v>1642</v>
      </c>
      <c r="AB2" s="37" t="s">
        <v>1643</v>
      </c>
      <c r="AC2" s="37" t="s">
        <v>1644</v>
      </c>
      <c r="AD2" s="37" t="s">
        <v>1645</v>
      </c>
      <c r="AE2" s="37" t="s">
        <v>1646</v>
      </c>
      <c r="AF2" s="40" t="s">
        <v>1647</v>
      </c>
      <c r="AG2" s="40" t="s">
        <v>1648</v>
      </c>
      <c r="AH2" s="40" t="s">
        <v>1649</v>
      </c>
      <c r="AI2" s="40" t="s">
        <v>1650</v>
      </c>
      <c r="AJ2" s="40" t="s">
        <v>1651</v>
      </c>
      <c r="AK2" s="40" t="s">
        <v>1652</v>
      </c>
      <c r="AL2" s="40" t="s">
        <v>1653</v>
      </c>
      <c r="AM2" s="40" t="s">
        <v>1654</v>
      </c>
      <c r="AN2" s="40" t="s">
        <v>1655</v>
      </c>
      <c r="AO2" s="40" t="s">
        <v>1656</v>
      </c>
      <c r="AP2" s="40" t="s">
        <v>1657</v>
      </c>
      <c r="AQ2" s="40" t="s">
        <v>1658</v>
      </c>
      <c r="AR2" s="40" t="s">
        <v>1659</v>
      </c>
      <c r="AS2" s="40" t="s">
        <v>1660</v>
      </c>
      <c r="AT2" s="40" t="s">
        <v>1661</v>
      </c>
      <c r="AU2" s="41" t="s">
        <v>1662</v>
      </c>
      <c r="AV2" s="41" t="s">
        <v>1663</v>
      </c>
      <c r="AW2" s="41" t="s">
        <v>1664</v>
      </c>
      <c r="AX2" s="41" t="s">
        <v>1665</v>
      </c>
      <c r="AY2" s="41" t="s">
        <v>1666</v>
      </c>
      <c r="AZ2" s="18" t="s">
        <v>1667</v>
      </c>
      <c r="BA2" s="18" t="s">
        <v>196</v>
      </c>
      <c r="BB2" s="18" t="s">
        <v>1668</v>
      </c>
      <c r="BC2" s="37" t="s">
        <v>1669</v>
      </c>
      <c r="BD2" s="42" t="s">
        <v>1670</v>
      </c>
      <c r="BE2" s="41" t="s">
        <v>1671</v>
      </c>
      <c r="BF2" s="18" t="s">
        <v>1672</v>
      </c>
      <c r="BG2" s="18" t="s">
        <v>1673</v>
      </c>
      <c r="BH2" s="18" t="s">
        <v>1673</v>
      </c>
      <c r="BI2" s="18" t="s">
        <v>1673</v>
      </c>
      <c r="BJ2" s="18" t="s">
        <v>1673</v>
      </c>
      <c r="BK2" s="18" t="s">
        <v>1673</v>
      </c>
      <c r="BL2" s="18" t="s">
        <v>1674</v>
      </c>
      <c r="BM2" s="18" t="s">
        <v>1675</v>
      </c>
      <c r="BN2" s="18" t="s">
        <v>1676</v>
      </c>
      <c r="BO2" s="18" t="s">
        <v>1677</v>
      </c>
      <c r="BP2" s="18" t="s">
        <v>1678</v>
      </c>
      <c r="BQ2" s="18" t="s">
        <v>1679</v>
      </c>
      <c r="BR2" s="18" t="s">
        <v>1680</v>
      </c>
      <c r="BS2" s="18" t="s">
        <v>13</v>
      </c>
      <c r="BT2" s="18" t="s">
        <v>1681</v>
      </c>
      <c r="BU2" s="18" t="s">
        <v>1568</v>
      </c>
      <c r="BV2" s="18" t="s">
        <v>27</v>
      </c>
      <c r="BW2" s="18" t="s">
        <v>1535</v>
      </c>
      <c r="BX2" s="18" t="s">
        <v>1593</v>
      </c>
      <c r="BY2" s="18" t="s">
        <v>1517</v>
      </c>
      <c r="BZ2" s="18" t="s">
        <v>1500</v>
      </c>
      <c r="CA2" s="18" t="s">
        <v>1601</v>
      </c>
      <c r="CB2" s="18" t="s">
        <v>1599</v>
      </c>
      <c r="CC2" s="18" t="s">
        <v>52</v>
      </c>
      <c r="CD2" s="18" t="s">
        <v>1682</v>
      </c>
      <c r="CE2" s="18" t="s">
        <v>1683</v>
      </c>
      <c r="CF2" s="43" t="s">
        <v>1684</v>
      </c>
      <c r="CG2" s="44" t="s">
        <v>1685</v>
      </c>
      <c r="CH2" s="44" t="s">
        <v>1686</v>
      </c>
      <c r="CI2" s="44" t="s">
        <v>46</v>
      </c>
      <c r="CJ2" s="44" t="s">
        <v>1687</v>
      </c>
      <c r="CK2" s="45" t="s">
        <v>1688</v>
      </c>
      <c r="CL2" s="46" t="s">
        <v>1689</v>
      </c>
      <c r="CM2" s="46" t="s">
        <v>1690</v>
      </c>
      <c r="CN2" s="46" t="s">
        <v>1691</v>
      </c>
      <c r="CO2" s="46" t="s">
        <v>1579</v>
      </c>
      <c r="CP2" s="47" t="s">
        <v>1692</v>
      </c>
      <c r="CQ2" s="48" t="s">
        <v>1693</v>
      </c>
      <c r="CR2" s="48" t="s">
        <v>1694</v>
      </c>
      <c r="CS2" s="48" t="s">
        <v>1695</v>
      </c>
      <c r="CT2" s="47" t="s">
        <v>1696</v>
      </c>
      <c r="CU2" s="48" t="s">
        <v>1697</v>
      </c>
      <c r="CV2" s="47" t="s">
        <v>1698</v>
      </c>
      <c r="CW2" s="47" t="s">
        <v>1699</v>
      </c>
      <c r="CX2" s="47" t="s">
        <v>1700</v>
      </c>
      <c r="CY2" s="49" t="s">
        <v>1701</v>
      </c>
      <c r="CZ2" s="49" t="s">
        <v>1702</v>
      </c>
      <c r="DA2" s="49" t="s">
        <v>1703</v>
      </c>
      <c r="DB2" s="49" t="s">
        <v>1704</v>
      </c>
      <c r="DC2" s="49" t="s">
        <v>1705</v>
      </c>
      <c r="DD2" s="49" t="s">
        <v>1705</v>
      </c>
      <c r="DE2" s="49" t="s">
        <v>1705</v>
      </c>
      <c r="DF2" s="50" t="s">
        <v>1706</v>
      </c>
      <c r="DG2" s="50" t="s">
        <v>1706</v>
      </c>
      <c r="DH2" s="50" t="s">
        <v>1706</v>
      </c>
      <c r="DI2" s="51" t="s">
        <v>1707</v>
      </c>
      <c r="DJ2" s="49" t="s">
        <v>55</v>
      </c>
      <c r="DK2" s="50" t="s">
        <v>1708</v>
      </c>
      <c r="DL2" s="50" t="s">
        <v>1709</v>
      </c>
      <c r="DM2" s="49" t="s">
        <v>1710</v>
      </c>
      <c r="DN2" s="51" t="s">
        <v>1711</v>
      </c>
      <c r="DO2" s="49" t="s">
        <v>42</v>
      </c>
      <c r="DP2" s="51" t="s">
        <v>1712</v>
      </c>
      <c r="DQ2" s="49" t="s">
        <v>33</v>
      </c>
      <c r="DR2" s="49" t="s">
        <v>1713</v>
      </c>
      <c r="DS2" s="49" t="s">
        <v>1713</v>
      </c>
      <c r="DT2" s="49" t="s">
        <v>1713</v>
      </c>
      <c r="DU2" s="49" t="s">
        <v>1713</v>
      </c>
      <c r="DV2" s="49" t="s">
        <v>1713</v>
      </c>
      <c r="DW2" s="49" t="s">
        <v>1714</v>
      </c>
      <c r="DX2" s="49" t="s">
        <v>1715</v>
      </c>
      <c r="DY2" s="51" t="s">
        <v>1716</v>
      </c>
      <c r="DZ2" s="49" t="s">
        <v>59</v>
      </c>
      <c r="EA2" s="51" t="s">
        <v>1717</v>
      </c>
      <c r="EB2" s="49" t="s">
        <v>1718</v>
      </c>
      <c r="EC2" s="49" t="s">
        <v>1719</v>
      </c>
      <c r="ED2" s="49" t="s">
        <v>1496</v>
      </c>
      <c r="EE2" s="51" t="s">
        <v>1720</v>
      </c>
      <c r="EF2" s="49" t="s">
        <v>28</v>
      </c>
      <c r="EG2" s="49" t="s">
        <v>1721</v>
      </c>
      <c r="EH2" s="49" t="s">
        <v>1722</v>
      </c>
      <c r="EI2" s="49" t="s">
        <v>1722</v>
      </c>
      <c r="EJ2" s="49" t="s">
        <v>1722</v>
      </c>
      <c r="EK2" s="49" t="s">
        <v>1723</v>
      </c>
      <c r="EL2" s="49" t="s">
        <v>1723</v>
      </c>
      <c r="EM2" s="49" t="s">
        <v>1723</v>
      </c>
      <c r="EN2" s="52" t="s">
        <v>1724</v>
      </c>
      <c r="EO2" s="53" t="s">
        <v>1725</v>
      </c>
      <c r="EP2" s="54" t="s">
        <v>1726</v>
      </c>
      <c r="EQ2" s="55" t="s">
        <v>1727</v>
      </c>
      <c r="ER2" s="55" t="s">
        <v>1728</v>
      </c>
      <c r="ES2" s="53" t="s">
        <v>1729</v>
      </c>
      <c r="ET2" s="53" t="s">
        <v>1730</v>
      </c>
      <c r="EU2" s="53" t="s">
        <v>1731</v>
      </c>
      <c r="EV2" s="52" t="s">
        <v>1732</v>
      </c>
      <c r="EW2" s="52" t="s">
        <v>1733</v>
      </c>
      <c r="EX2" s="52" t="s">
        <v>1734</v>
      </c>
      <c r="EY2" s="55" t="s">
        <v>1735</v>
      </c>
      <c r="EZ2" s="55" t="s">
        <v>1736</v>
      </c>
      <c r="FA2" s="52" t="s">
        <v>1737</v>
      </c>
      <c r="FB2" s="55" t="s">
        <v>1738</v>
      </c>
      <c r="FC2" s="52" t="s">
        <v>1739</v>
      </c>
      <c r="FD2" s="56" t="s">
        <v>1740</v>
      </c>
      <c r="FE2" s="53" t="s">
        <v>1741</v>
      </c>
      <c r="FF2" s="55" t="s">
        <v>1742</v>
      </c>
      <c r="FG2" s="53" t="s">
        <v>1743</v>
      </c>
      <c r="FH2" s="52" t="s">
        <v>1744</v>
      </c>
      <c r="FI2" s="55" t="s">
        <v>1745</v>
      </c>
      <c r="FJ2" s="52" t="s">
        <v>1557</v>
      </c>
      <c r="FK2" s="52" t="s">
        <v>1746</v>
      </c>
      <c r="FL2" s="52" t="s">
        <v>1747</v>
      </c>
      <c r="FM2" s="52" t="s">
        <v>1551</v>
      </c>
      <c r="FN2" s="57" t="s">
        <v>1748</v>
      </c>
      <c r="FO2" s="58" t="s">
        <v>1749</v>
      </c>
      <c r="FP2" s="59" t="s">
        <v>1750</v>
      </c>
      <c r="FQ2" s="57" t="s">
        <v>1751</v>
      </c>
      <c r="FR2" s="59" t="s">
        <v>1752</v>
      </c>
      <c r="FS2" s="57" t="s">
        <v>1753</v>
      </c>
      <c r="FT2" s="59" t="s">
        <v>1754</v>
      </c>
      <c r="FU2" s="57" t="s">
        <v>1755</v>
      </c>
      <c r="FV2" s="59" t="s">
        <v>1756</v>
      </c>
      <c r="FW2" s="57" t="s">
        <v>1757</v>
      </c>
      <c r="FX2" s="59" t="s">
        <v>1758</v>
      </c>
      <c r="FY2" s="57" t="s">
        <v>1759</v>
      </c>
      <c r="FZ2" s="58" t="s">
        <v>1760</v>
      </c>
      <c r="GA2" s="59" t="s">
        <v>1761</v>
      </c>
      <c r="GB2" s="57" t="s">
        <v>1762</v>
      </c>
      <c r="GC2" s="59" t="s">
        <v>1763</v>
      </c>
      <c r="GD2" s="57" t="s">
        <v>1764</v>
      </c>
      <c r="GE2" s="59" t="s">
        <v>1765</v>
      </c>
      <c r="GF2" s="57" t="s">
        <v>1766</v>
      </c>
      <c r="GG2" s="58" t="s">
        <v>1767</v>
      </c>
      <c r="GH2" s="58" t="s">
        <v>1768</v>
      </c>
      <c r="GI2" s="58" t="s">
        <v>1769</v>
      </c>
    </row>
    <row r="3" ht="16.8" spans="1:192">
      <c r="A3" s="37" t="s">
        <v>2</v>
      </c>
      <c r="B3" s="37" t="s">
        <v>1493</v>
      </c>
      <c r="C3" s="37" t="s">
        <v>74</v>
      </c>
      <c r="D3" s="37" t="s">
        <v>1497</v>
      </c>
      <c r="E3" s="37" t="s">
        <v>10</v>
      </c>
      <c r="F3" s="37" t="s">
        <v>1492</v>
      </c>
      <c r="G3" s="37" t="s">
        <v>1526</v>
      </c>
      <c r="H3" s="37" t="s">
        <v>1514</v>
      </c>
      <c r="I3" s="37" t="s">
        <v>75</v>
      </c>
      <c r="J3" s="37" t="s">
        <v>44</v>
      </c>
      <c r="K3" s="37" t="s">
        <v>1541</v>
      </c>
      <c r="L3" s="37" t="s">
        <v>70</v>
      </c>
      <c r="M3" s="37" t="s">
        <v>1509</v>
      </c>
      <c r="N3" s="37" t="s">
        <v>25</v>
      </c>
      <c r="O3" s="37" t="s">
        <v>1582</v>
      </c>
      <c r="P3" s="37" t="s">
        <v>57</v>
      </c>
      <c r="Q3" s="37" t="s">
        <v>62</v>
      </c>
      <c r="R3" s="37" t="s">
        <v>1580</v>
      </c>
      <c r="S3" s="37" t="s">
        <v>1559</v>
      </c>
      <c r="T3" s="37" t="s">
        <v>1604</v>
      </c>
      <c r="U3" s="37" t="s">
        <v>1523</v>
      </c>
      <c r="V3" s="38" t="s">
        <v>1533</v>
      </c>
      <c r="W3" s="39" t="s">
        <v>1555</v>
      </c>
      <c r="X3" s="37" t="s">
        <v>12</v>
      </c>
      <c r="Y3" s="37" t="s">
        <v>4</v>
      </c>
      <c r="Z3" s="37" t="s">
        <v>45</v>
      </c>
      <c r="AA3" s="37" t="s">
        <v>49</v>
      </c>
      <c r="AB3" s="37" t="s">
        <v>39</v>
      </c>
      <c r="AC3" s="37" t="s">
        <v>72</v>
      </c>
      <c r="AD3" s="37" t="s">
        <v>7</v>
      </c>
      <c r="AE3" s="37" t="s">
        <v>20</v>
      </c>
      <c r="AF3" s="40" t="s">
        <v>1495</v>
      </c>
      <c r="AG3" s="40" t="s">
        <v>1565</v>
      </c>
      <c r="AH3" s="40" t="s">
        <v>1524</v>
      </c>
      <c r="AI3" s="40" t="s">
        <v>1584</v>
      </c>
      <c r="AJ3" s="40" t="s">
        <v>1575</v>
      </c>
      <c r="AK3" s="40" t="s">
        <v>1537</v>
      </c>
      <c r="AL3" s="40" t="s">
        <v>1560</v>
      </c>
      <c r="AM3" s="40" t="s">
        <v>1502</v>
      </c>
      <c r="AN3" s="40" t="s">
        <v>1536</v>
      </c>
      <c r="AO3" s="40" t="s">
        <v>1583</v>
      </c>
      <c r="AP3" s="40" t="s">
        <v>1534</v>
      </c>
      <c r="AQ3" s="40" t="s">
        <v>1567</v>
      </c>
      <c r="AR3" s="40" t="s">
        <v>1596</v>
      </c>
      <c r="AS3" s="40" t="s">
        <v>1556</v>
      </c>
      <c r="AT3" s="40" t="s">
        <v>1504</v>
      </c>
      <c r="AU3" s="41" t="s">
        <v>65</v>
      </c>
      <c r="AV3" s="41" t="s">
        <v>1550</v>
      </c>
      <c r="AW3" s="41" t="s">
        <v>3</v>
      </c>
      <c r="AX3" s="41" t="s">
        <v>11</v>
      </c>
      <c r="AY3" s="41" t="s">
        <v>47</v>
      </c>
      <c r="AZ3" s="18" t="s">
        <v>21</v>
      </c>
      <c r="BA3" s="18" t="s">
        <v>1494</v>
      </c>
      <c r="BB3" s="18" t="s">
        <v>1499</v>
      </c>
      <c r="BC3" s="37" t="s">
        <v>19</v>
      </c>
      <c r="BD3" s="42" t="s">
        <v>1515</v>
      </c>
      <c r="BE3" s="41" t="s">
        <v>1577</v>
      </c>
      <c r="BF3" s="18" t="s">
        <v>1531</v>
      </c>
      <c r="BG3" s="18" t="s">
        <v>1588</v>
      </c>
      <c r="BH3" s="18" t="s">
        <v>1539</v>
      </c>
      <c r="BI3" s="18" t="s">
        <v>1572</v>
      </c>
      <c r="BJ3" s="18" t="s">
        <v>1590</v>
      </c>
      <c r="BK3" s="18" t="s">
        <v>1547</v>
      </c>
      <c r="BL3" s="18" t="s">
        <v>31</v>
      </c>
      <c r="BM3" s="18" t="s">
        <v>1498</v>
      </c>
      <c r="BN3" s="18" t="s">
        <v>36</v>
      </c>
      <c r="BO3" s="18" t="s">
        <v>73</v>
      </c>
      <c r="BP3" s="18" t="s">
        <v>51</v>
      </c>
      <c r="BQ3" s="18" t="s">
        <v>54</v>
      </c>
      <c r="BR3" s="18" t="s">
        <v>5</v>
      </c>
      <c r="BS3" s="18" t="s">
        <v>13</v>
      </c>
      <c r="BT3" s="18" t="s">
        <v>26</v>
      </c>
      <c r="BU3" s="18" t="s">
        <v>1568</v>
      </c>
      <c r="BV3" s="18" t="s">
        <v>27</v>
      </c>
      <c r="BW3" s="18" t="s">
        <v>1535</v>
      </c>
      <c r="BX3" s="18" t="s">
        <v>1593</v>
      </c>
      <c r="BY3" s="18" t="s">
        <v>1517</v>
      </c>
      <c r="BZ3" s="18" t="s">
        <v>1500</v>
      </c>
      <c r="CA3" s="18" t="s">
        <v>1601</v>
      </c>
      <c r="CB3" s="18" t="s">
        <v>1599</v>
      </c>
      <c r="CC3" s="18" t="s">
        <v>52</v>
      </c>
      <c r="CD3" s="18" t="s">
        <v>1569</v>
      </c>
      <c r="CE3" s="18" t="s">
        <v>67</v>
      </c>
      <c r="CF3" s="43" t="s">
        <v>1576</v>
      </c>
      <c r="CG3" s="44" t="s">
        <v>61</v>
      </c>
      <c r="CH3" s="44" t="s">
        <v>29</v>
      </c>
      <c r="CI3" s="44" t="s">
        <v>46</v>
      </c>
      <c r="CJ3" s="44" t="s">
        <v>50</v>
      </c>
      <c r="CK3" s="45" t="s">
        <v>1544</v>
      </c>
      <c r="CL3" s="46" t="s">
        <v>30</v>
      </c>
      <c r="CM3" s="46" t="s">
        <v>24</v>
      </c>
      <c r="CN3" s="46" t="s">
        <v>37</v>
      </c>
      <c r="CO3" s="46" t="s">
        <v>1579</v>
      </c>
      <c r="CP3" s="47" t="s">
        <v>34</v>
      </c>
      <c r="CQ3" s="48" t="s">
        <v>1508</v>
      </c>
      <c r="CR3" s="48" t="s">
        <v>1570</v>
      </c>
      <c r="CS3" s="48" t="s">
        <v>1538</v>
      </c>
      <c r="CT3" s="47" t="s">
        <v>35</v>
      </c>
      <c r="CU3" s="48" t="s">
        <v>1506</v>
      </c>
      <c r="CV3" s="47" t="s">
        <v>18</v>
      </c>
      <c r="CW3" s="47" t="s">
        <v>40</v>
      </c>
      <c r="CX3" s="47" t="s">
        <v>66</v>
      </c>
      <c r="CY3" s="49" t="s">
        <v>8</v>
      </c>
      <c r="CZ3" s="49" t="s">
        <v>16</v>
      </c>
      <c r="DA3" s="49" t="s">
        <v>22</v>
      </c>
      <c r="DB3" s="49" t="s">
        <v>17</v>
      </c>
      <c r="DC3" s="49" t="s">
        <v>43</v>
      </c>
      <c r="DD3" s="49" t="s">
        <v>1542</v>
      </c>
      <c r="DE3" s="49" t="s">
        <v>1589</v>
      </c>
      <c r="DF3" s="50" t="s">
        <v>1581</v>
      </c>
      <c r="DG3" s="50" t="s">
        <v>1558</v>
      </c>
      <c r="DH3" s="50" t="s">
        <v>1600</v>
      </c>
      <c r="DI3" s="51" t="s">
        <v>1530</v>
      </c>
      <c r="DJ3" s="49" t="s">
        <v>55</v>
      </c>
      <c r="DK3" s="50" t="s">
        <v>1528</v>
      </c>
      <c r="DL3" s="50" t="s">
        <v>1503</v>
      </c>
      <c r="DM3" s="49" t="s">
        <v>9</v>
      </c>
      <c r="DN3" s="51" t="s">
        <v>1525</v>
      </c>
      <c r="DO3" s="49" t="s">
        <v>42</v>
      </c>
      <c r="DP3" s="51" t="s">
        <v>1585</v>
      </c>
      <c r="DQ3" s="49" t="s">
        <v>33</v>
      </c>
      <c r="DR3" s="49" t="s">
        <v>15</v>
      </c>
      <c r="DS3" s="49" t="s">
        <v>1592</v>
      </c>
      <c r="DT3" s="49" t="s">
        <v>1578</v>
      </c>
      <c r="DU3" s="49" t="s">
        <v>1549</v>
      </c>
      <c r="DV3" s="49" t="s">
        <v>1602</v>
      </c>
      <c r="DW3" s="49" t="s">
        <v>1566</v>
      </c>
      <c r="DX3" s="49" t="s">
        <v>1545</v>
      </c>
      <c r="DY3" s="51" t="s">
        <v>1516</v>
      </c>
      <c r="DZ3" s="49" t="s">
        <v>59</v>
      </c>
      <c r="EA3" s="51" t="s">
        <v>1527</v>
      </c>
      <c r="EB3" s="49" t="s">
        <v>63</v>
      </c>
      <c r="EC3" s="49" t="s">
        <v>1532</v>
      </c>
      <c r="ED3" s="49" t="s">
        <v>1496</v>
      </c>
      <c r="EE3" s="51" t="s">
        <v>1540</v>
      </c>
      <c r="EF3" s="49" t="s">
        <v>28</v>
      </c>
      <c r="EG3" s="49" t="s">
        <v>48</v>
      </c>
      <c r="EH3" s="49" t="s">
        <v>60</v>
      </c>
      <c r="EI3" s="49" t="s">
        <v>1501</v>
      </c>
      <c r="EJ3" s="49" t="s">
        <v>1512</v>
      </c>
      <c r="EK3" s="49" t="s">
        <v>38</v>
      </c>
      <c r="EL3" s="49" t="s">
        <v>1562</v>
      </c>
      <c r="EM3" s="49" t="s">
        <v>1573</v>
      </c>
      <c r="EN3" s="52" t="s">
        <v>14</v>
      </c>
      <c r="EO3" s="53" t="s">
        <v>1529</v>
      </c>
      <c r="EP3" s="54" t="s">
        <v>1553</v>
      </c>
      <c r="EQ3" s="55" t="s">
        <v>1521</v>
      </c>
      <c r="ER3" s="55" t="s">
        <v>1606</v>
      </c>
      <c r="ES3" s="53" t="s">
        <v>1605</v>
      </c>
      <c r="ET3" s="53" t="s">
        <v>1511</v>
      </c>
      <c r="EU3" s="53" t="s">
        <v>1520</v>
      </c>
      <c r="EV3" s="52" t="s">
        <v>71</v>
      </c>
      <c r="EW3" s="52" t="s">
        <v>41</v>
      </c>
      <c r="EX3" s="52" t="s">
        <v>58</v>
      </c>
      <c r="EY3" s="55" t="s">
        <v>1548</v>
      </c>
      <c r="EZ3" s="55" t="s">
        <v>1513</v>
      </c>
      <c r="FA3" s="52" t="s">
        <v>6</v>
      </c>
      <c r="FB3" s="55" t="s">
        <v>1571</v>
      </c>
      <c r="FC3" s="52" t="s">
        <v>23</v>
      </c>
      <c r="FD3" s="56" t="s">
        <v>1770</v>
      </c>
      <c r="FE3" s="53" t="s">
        <v>1519</v>
      </c>
      <c r="FF3" s="55" t="s">
        <v>1552</v>
      </c>
      <c r="FG3" s="53" t="s">
        <v>1522</v>
      </c>
      <c r="FH3" s="52" t="s">
        <v>56</v>
      </c>
      <c r="FI3" s="55" t="s">
        <v>1607</v>
      </c>
      <c r="FJ3" s="52" t="s">
        <v>1557</v>
      </c>
      <c r="FK3" s="52" t="s">
        <v>69</v>
      </c>
      <c r="FL3" s="52" t="s">
        <v>53</v>
      </c>
      <c r="FM3" s="52" t="s">
        <v>1551</v>
      </c>
      <c r="FN3" s="57" t="s">
        <v>1518</v>
      </c>
      <c r="FO3" s="58" t="s">
        <v>68</v>
      </c>
      <c r="FP3" s="59" t="s">
        <v>1594</v>
      </c>
      <c r="FQ3" s="57" t="s">
        <v>1586</v>
      </c>
      <c r="FR3" s="59" t="s">
        <v>1561</v>
      </c>
      <c r="FS3" s="57" t="s">
        <v>1543</v>
      </c>
      <c r="FT3" s="59" t="s">
        <v>1554</v>
      </c>
      <c r="FU3" s="57" t="s">
        <v>1598</v>
      </c>
      <c r="FV3" s="59" t="s">
        <v>1603</v>
      </c>
      <c r="FW3" s="57" t="s">
        <v>1507</v>
      </c>
      <c r="FX3" s="59" t="s">
        <v>1597</v>
      </c>
      <c r="FY3" s="57" t="s">
        <v>1563</v>
      </c>
      <c r="FZ3" s="58" t="s">
        <v>32</v>
      </c>
      <c r="GA3" s="59" t="s">
        <v>1574</v>
      </c>
      <c r="GB3" s="57" t="s">
        <v>1564</v>
      </c>
      <c r="GC3" s="59" t="s">
        <v>1587</v>
      </c>
      <c r="GD3" s="57" t="s">
        <v>1591</v>
      </c>
      <c r="GE3" s="59" t="s">
        <v>1546</v>
      </c>
      <c r="GF3" s="57" t="s">
        <v>1510</v>
      </c>
      <c r="GG3" s="58" t="s">
        <v>1505</v>
      </c>
      <c r="GH3" s="58" t="s">
        <v>1595</v>
      </c>
      <c r="GI3" s="58" t="s">
        <v>64</v>
      </c>
    </row>
    <row r="4" ht="16.8" spans="1:192">
      <c r="A4" s="5" t="s">
        <v>1</v>
      </c>
      <c r="B4" s="60" t="s">
        <v>1771</v>
      </c>
      <c r="C4" s="5" t="s">
        <v>336</v>
      </c>
      <c r="D4" s="61" t="s">
        <v>1772</v>
      </c>
      <c r="E4" s="5" t="s">
        <v>280</v>
      </c>
      <c r="F4" s="62" t="s">
        <v>1773</v>
      </c>
      <c r="I4" s="5" t="s">
        <v>136</v>
      </c>
      <c r="J4" s="5" t="s">
        <v>506</v>
      </c>
      <c r="AU4" s="5" t="s">
        <v>129</v>
      </c>
      <c r="AX4" s="5" t="s">
        <v>455</v>
      </c>
      <c r="AY4" s="5" t="s">
        <v>114</v>
      </c>
      <c r="BB4" s="63"/>
      <c r="BC4" s="5" t="s">
        <v>151</v>
      </c>
      <c r="CT4" s="5" t="s">
        <v>104</v>
      </c>
      <c r="CV4" s="5" t="s">
        <v>286</v>
      </c>
      <c r="CW4" s="5" t="s">
        <v>104</v>
      </c>
      <c r="CX4" s="5" t="s">
        <v>104</v>
      </c>
      <c r="CY4" s="5" t="s">
        <v>704</v>
      </c>
      <c r="CZ4" s="5" t="s">
        <v>139</v>
      </c>
      <c r="DA4" s="5" t="s">
        <v>139</v>
      </c>
      <c r="FL4" s="5" t="s">
        <v>379</v>
      </c>
    </row>
    <row r="5" ht="17.6" spans="1:192">
      <c r="A5" s="5" t="s">
        <v>1</v>
      </c>
      <c r="B5" s="64" t="s">
        <v>1774</v>
      </c>
      <c r="C5" s="5" t="s">
        <v>336</v>
      </c>
      <c r="D5" s="65" t="s">
        <v>1775</v>
      </c>
      <c r="E5" s="5" t="s">
        <v>280</v>
      </c>
      <c r="F5" s="66" t="str">
        <f>"Ever-Pretty Vestito da Sera Donna Midi Linea ad A Maniche Corte Scollo a V Elegante Abito Cerimonia Donna "&amp;BA5&amp;" "&amp;AB5</f>
        <v>Ever-Pretty Vestito da Sera Donna Midi Linea ad A Maniche Corte Scollo a V Elegante Abito Cerimonia Donna Menta Verde 36</v>
      </c>
      <c r="G5" s="5" t="s">
        <v>1776</v>
      </c>
      <c r="H5" s="5" t="str">
        <f>B5</f>
        <v>EG01756MG04</v>
      </c>
      <c r="I5" s="5" t="s">
        <v>136</v>
      </c>
      <c r="J5" s="5" t="s">
        <v>506</v>
      </c>
      <c r="L5" s="67" t="s">
        <v>1777</v>
      </c>
      <c r="V5" s="68">
        <v>54.99</v>
      </c>
      <c r="W5" s="7">
        <v>2</v>
      </c>
      <c r="X5" s="5" t="s">
        <v>145</v>
      </c>
      <c r="Y5" s="5" t="s">
        <v>77</v>
      </c>
      <c r="Z5" s="5" t="s">
        <v>112</v>
      </c>
      <c r="AA5" s="5" t="s">
        <v>223</v>
      </c>
      <c r="AB5" s="69">
        <f>BB5</f>
        <v>36</v>
      </c>
      <c r="AD5" s="5" t="s">
        <v>140</v>
      </c>
      <c r="AE5" s="5" t="s">
        <v>204</v>
      </c>
      <c r="AF5" s="70"/>
      <c r="AG5" s="70"/>
      <c r="AH5" s="70"/>
      <c r="AI5" s="70"/>
      <c r="AJ5" s="70"/>
      <c r="AK5" s="70"/>
      <c r="AU5" s="5" t="s">
        <v>233</v>
      </c>
      <c r="AV5" s="71" t="s">
        <v>1771</v>
      </c>
      <c r="AW5" s="5" t="s">
        <v>137</v>
      </c>
      <c r="AX5" s="5" t="s">
        <v>455</v>
      </c>
      <c r="AY5" s="5" t="s">
        <v>114</v>
      </c>
      <c r="AZ5" s="69" t="str">
        <f>VLOOKUP(MID(B5,8,2),[2]Sheet1!$A:$C,3,0)</f>
        <v>verde</v>
      </c>
      <c r="BA5" s="69" t="str">
        <f>VLOOKUP(MID(B5,8,2),[1]Sheet1!$A:$C,2,0)</f>
        <v>Menta Verde</v>
      </c>
      <c r="BB5" s="69">
        <f>VLOOKUP(MID(B5,10,2),[1]Sheet1!$G:$I,2,0)</f>
        <v>36</v>
      </c>
      <c r="BC5" s="5" t="s">
        <v>91</v>
      </c>
      <c r="BF5" s="63" t="s">
        <v>1778</v>
      </c>
      <c r="BG5" s="72" t="s">
        <v>1779</v>
      </c>
      <c r="BH5" s="67" t="s">
        <v>1780</v>
      </c>
      <c r="BI5" s="67" t="s">
        <v>1781</v>
      </c>
      <c r="BJ5" s="67" t="s">
        <v>1782</v>
      </c>
      <c r="BK5" s="67" t="s">
        <v>1783</v>
      </c>
      <c r="BM5" s="5" t="s">
        <v>1784</v>
      </c>
      <c r="BN5" s="5" t="s">
        <v>258</v>
      </c>
      <c r="BO5" s="5" t="s">
        <v>558</v>
      </c>
      <c r="BP5" s="5" t="s">
        <v>302</v>
      </c>
      <c r="BS5" s="5" t="s">
        <v>85</v>
      </c>
      <c r="CB5" s="5" t="s">
        <v>1785</v>
      </c>
      <c r="CE5" s="5" t="s">
        <v>275</v>
      </c>
      <c r="CG5" s="5" t="s">
        <v>182</v>
      </c>
      <c r="CM5" s="69">
        <f>VLOOKUP(MID(B5,10,2),[1]Sheet1!$G:$I,3,0)</f>
        <v>36</v>
      </c>
      <c r="CN5" s="5" t="s">
        <v>214</v>
      </c>
      <c r="CQ5" s="73">
        <v>13</v>
      </c>
      <c r="CR5" s="73">
        <v>9</v>
      </c>
      <c r="CS5" s="73">
        <v>1</v>
      </c>
      <c r="CT5" s="5" t="s">
        <v>104</v>
      </c>
      <c r="CU5" s="73">
        <v>500</v>
      </c>
      <c r="CV5" s="5" t="s">
        <v>286</v>
      </c>
      <c r="CW5" s="5" t="s">
        <v>104</v>
      </c>
      <c r="CX5" s="5" t="s">
        <v>104</v>
      </c>
      <c r="CY5" s="5" t="s">
        <v>704</v>
      </c>
      <c r="CZ5" s="5" t="s">
        <v>139</v>
      </c>
      <c r="DA5" s="5" t="s">
        <v>139</v>
      </c>
      <c r="ED5" s="74" t="s">
        <v>1786</v>
      </c>
      <c r="EH5" s="5" t="s">
        <v>228</v>
      </c>
      <c r="EP5" s="68"/>
      <c r="FD5" s="5" t="s">
        <v>1787</v>
      </c>
      <c r="FL5" s="5" t="s">
        <v>379</v>
      </c>
    </row>
    <row r="6" ht="17.6" spans="1:192">
      <c r="A6" s="5" t="s">
        <v>1</v>
      </c>
      <c r="B6" s="64" t="s">
        <v>1788</v>
      </c>
      <c r="C6" s="5" t="s">
        <v>336</v>
      </c>
      <c r="D6" s="65" t="s">
        <v>1789</v>
      </c>
      <c r="E6" s="5" t="s">
        <v>280</v>
      </c>
      <c r="F6" s="66" t="str">
        <f>"Ever-Pretty Vestito da Sera Donna Midi Linea ad A Maniche Corte Scollo a V Elegante Abito Cerimonia Donna "&amp;BA6&amp;" "&amp;AB6</f>
        <v>Ever-Pretty Vestito da Sera Donna Midi Linea ad A Maniche Corte Scollo a V Elegante Abito Cerimonia Donna Menta Verde 38</v>
      </c>
      <c r="G6" s="5" t="s">
        <v>1776</v>
      </c>
      <c r="H6" s="5" t="str">
        <f>B6</f>
        <v>EG01756MG06</v>
      </c>
      <c r="I6" s="5" t="s">
        <v>136</v>
      </c>
      <c r="J6" s="5" t="s">
        <v>506</v>
      </c>
      <c r="L6" s="67" t="s">
        <v>1777</v>
      </c>
      <c r="V6" s="68">
        <v>54.99</v>
      </c>
      <c r="W6" s="7">
        <v>2</v>
      </c>
      <c r="X6" s="5" t="s">
        <v>145</v>
      </c>
      <c r="Y6" s="5" t="s">
        <v>77</v>
      </c>
      <c r="Z6" s="5" t="s">
        <v>112</v>
      </c>
      <c r="AA6" s="5" t="s">
        <v>223</v>
      </c>
      <c r="AB6" s="69">
        <f>BB6</f>
        <v>38</v>
      </c>
      <c r="AD6" s="5" t="s">
        <v>140</v>
      </c>
      <c r="AE6" s="5" t="s">
        <v>204</v>
      </c>
      <c r="AF6" s="70"/>
      <c r="AG6" s="70"/>
      <c r="AH6" s="70"/>
      <c r="AI6" s="70"/>
      <c r="AJ6" s="70"/>
      <c r="AK6" s="70"/>
      <c r="AU6" s="5" t="s">
        <v>233</v>
      </c>
      <c r="AV6" s="71" t="s">
        <v>1771</v>
      </c>
      <c r="AW6" s="5" t="s">
        <v>137</v>
      </c>
      <c r="AX6" s="5" t="s">
        <v>455</v>
      </c>
      <c r="AY6" s="5" t="s">
        <v>114</v>
      </c>
      <c r="AZ6" s="69" t="str">
        <f>VLOOKUP(MID(B6,8,2),[2]Sheet1!$A:$C,3,0)</f>
        <v>verde</v>
      </c>
      <c r="BA6" s="69" t="str">
        <f>VLOOKUP(MID(B6,8,2),[1]Sheet1!$A:$C,2,0)</f>
        <v>Menta Verde</v>
      </c>
      <c r="BB6" s="69">
        <f>VLOOKUP(MID(B6,10,2),[1]Sheet1!$G:$I,2,0)</f>
        <v>38</v>
      </c>
      <c r="BC6" s="5" t="s">
        <v>91</v>
      </c>
      <c r="BF6" s="63" t="s">
        <v>1778</v>
      </c>
      <c r="BG6" s="72" t="s">
        <v>1779</v>
      </c>
      <c r="BH6" s="67" t="s">
        <v>1780</v>
      </c>
      <c r="BI6" s="67" t="s">
        <v>1781</v>
      </c>
      <c r="BJ6" s="67" t="s">
        <v>1782</v>
      </c>
      <c r="BK6" s="67" t="s">
        <v>1783</v>
      </c>
      <c r="BM6" s="5" t="s">
        <v>1784</v>
      </c>
      <c r="BN6" s="5" t="s">
        <v>258</v>
      </c>
      <c r="BO6" s="5" t="s">
        <v>558</v>
      </c>
      <c r="BP6" s="5" t="s">
        <v>302</v>
      </c>
      <c r="BS6" s="5" t="s">
        <v>85</v>
      </c>
      <c r="CB6" s="5" t="s">
        <v>1785</v>
      </c>
      <c r="CE6" s="5" t="s">
        <v>275</v>
      </c>
      <c r="CG6" s="5" t="s">
        <v>182</v>
      </c>
      <c r="CM6" s="69">
        <f>VLOOKUP(MID(B6,10,2),[1]Sheet1!$G:$I,3,0)</f>
        <v>38</v>
      </c>
      <c r="CN6" s="5" t="s">
        <v>214</v>
      </c>
      <c r="CQ6" s="73">
        <v>13</v>
      </c>
      <c r="CR6" s="73">
        <v>9</v>
      </c>
      <c r="CS6" s="73">
        <v>1</v>
      </c>
      <c r="CT6" s="5" t="s">
        <v>104</v>
      </c>
      <c r="CU6" s="73">
        <v>500</v>
      </c>
      <c r="CV6" s="5" t="s">
        <v>286</v>
      </c>
      <c r="CW6" s="5" t="s">
        <v>104</v>
      </c>
      <c r="CX6" s="5" t="s">
        <v>104</v>
      </c>
      <c r="CY6" s="5" t="s">
        <v>704</v>
      </c>
      <c r="CZ6" s="5" t="s">
        <v>139</v>
      </c>
      <c r="DA6" s="5" t="s">
        <v>139</v>
      </c>
      <c r="ED6" s="74" t="s">
        <v>1786</v>
      </c>
      <c r="EH6" s="5" t="s">
        <v>228</v>
      </c>
      <c r="EP6" s="68"/>
      <c r="FD6" s="5" t="s">
        <v>1787</v>
      </c>
      <c r="FL6" s="5" t="s">
        <v>379</v>
      </c>
    </row>
    <row r="7" ht="17.6" spans="1:192">
      <c r="B7" s="64"/>
      <c r="C7" s="5"/>
      <c r="D7" s="65"/>
      <c r="E7" s="5"/>
      <c r="F7" s="66"/>
      <c r="G7" s="5"/>
      <c r="H7" s="5"/>
      <c r="I7" s="5"/>
      <c r="J7" s="5"/>
      <c r="L7" s="67"/>
      <c r="V7" s="68"/>
      <c r="W7" s="7"/>
      <c r="X7" s="5"/>
      <c r="Y7" s="5"/>
      <c r="Z7" s="5"/>
      <c r="AA7" s="5"/>
      <c r="AB7" s="69"/>
      <c r="AF7" s="70"/>
      <c r="AG7" s="70"/>
      <c r="AH7" s="70"/>
      <c r="AI7" s="70"/>
      <c r="AJ7" s="70"/>
      <c r="AK7" s="70"/>
      <c r="AV7" s="71"/>
      <c r="AW7" s="5"/>
      <c r="AX7" s="5"/>
      <c r="AY7" s="5"/>
      <c r="AZ7" s="69"/>
      <c r="BA7" s="69"/>
      <c r="BB7" s="69"/>
      <c r="BC7" s="5"/>
      <c r="BF7" s="63"/>
      <c r="BG7" s="72"/>
      <c r="BH7" s="67"/>
      <c r="BI7" s="67"/>
      <c r="BJ7" s="67"/>
      <c r="BK7" s="67"/>
      <c r="CM7" s="69"/>
      <c r="CN7" s="5"/>
      <c r="CQ7" s="73"/>
      <c r="CR7" s="73"/>
      <c r="CS7" s="73"/>
      <c r="CT7" s="5"/>
      <c r="CU7" s="73"/>
      <c r="CV7" s="5"/>
      <c r="CW7" s="5"/>
      <c r="CX7" s="5"/>
      <c r="CY7" s="5"/>
      <c r="CZ7" s="5"/>
      <c r="DA7" s="5"/>
      <c r="ED7" s="74"/>
      <c r="EP7" s="68"/>
    </row>
    <row r="8" ht="17.6" spans="1:192">
      <c r="B8" s="64"/>
      <c r="C8" s="5"/>
      <c r="D8" s="65"/>
      <c r="E8" s="5"/>
      <c r="F8" s="66"/>
      <c r="G8" s="5"/>
      <c r="H8" s="5"/>
      <c r="I8" s="5"/>
      <c r="J8" s="5"/>
      <c r="L8" s="67"/>
      <c r="V8" s="68"/>
      <c r="W8" s="7"/>
      <c r="X8" s="5"/>
      <c r="Y8" s="5"/>
      <c r="Z8" s="5"/>
      <c r="AA8" s="5"/>
      <c r="AB8" s="69"/>
      <c r="AF8" s="70"/>
      <c r="AG8" s="70"/>
      <c r="AH8" s="70"/>
      <c r="AI8" s="70"/>
      <c r="AJ8" s="70"/>
      <c r="AK8" s="70"/>
      <c r="AV8" s="71"/>
      <c r="AW8" s="5"/>
      <c r="AX8" s="5"/>
      <c r="AY8" s="5"/>
      <c r="AZ8" s="69"/>
      <c r="BA8" s="69"/>
      <c r="BB8" s="69"/>
      <c r="BC8" s="5"/>
      <c r="BF8" s="63"/>
      <c r="BG8" s="72"/>
      <c r="BH8" s="67"/>
      <c r="BI8" s="67"/>
      <c r="BJ8" s="67"/>
      <c r="BK8" s="67"/>
      <c r="CM8" s="69"/>
      <c r="CN8" s="5"/>
      <c r="CQ8" s="73"/>
      <c r="CR8" s="73"/>
      <c r="CS8" s="73"/>
      <c r="CT8" s="5"/>
      <c r="CU8" s="73"/>
      <c r="CV8" s="5"/>
      <c r="CW8" s="5"/>
      <c r="CX8" s="5"/>
      <c r="CY8" s="5"/>
      <c r="CZ8" s="5"/>
      <c r="DA8" s="5"/>
      <c r="ED8" s="74"/>
      <c r="EP8" s="68"/>
    </row>
    <row r="9" s="2" customFormat="1" ht="17.6" spans="1:192">
      <c r="A9" s="5"/>
      <c r="B9" s="64"/>
      <c r="C9" s="5"/>
      <c r="D9" s="65"/>
      <c r="E9" s="5"/>
      <c r="F9" s="66"/>
      <c r="G9" s="5"/>
      <c r="H9" s="5"/>
      <c r="I9" s="5"/>
      <c r="J9" s="5"/>
      <c r="K9" s="5"/>
      <c r="L9" s="67"/>
      <c r="M9" s="5"/>
      <c r="N9" s="5"/>
      <c r="O9" s="5"/>
      <c r="P9" s="5"/>
      <c r="Q9" s="5"/>
      <c r="R9" s="5"/>
      <c r="S9" s="5"/>
      <c r="T9" s="5"/>
      <c r="U9" s="5"/>
      <c r="V9" s="68"/>
      <c r="W9" s="7"/>
      <c r="X9" s="5"/>
      <c r="Y9" s="5"/>
      <c r="Z9" s="5"/>
      <c r="AA9" s="5"/>
      <c r="AB9" s="69"/>
      <c r="AC9" s="5"/>
      <c r="AD9" s="5"/>
      <c r="AE9" s="5"/>
      <c r="AF9" s="70"/>
      <c r="AG9" s="70"/>
      <c r="AH9" s="70"/>
      <c r="AI9" s="70"/>
      <c r="AJ9" s="70"/>
      <c r="AK9" s="70"/>
      <c r="AL9" s="5"/>
      <c r="AM9" s="5"/>
      <c r="AN9" s="5"/>
      <c r="AO9" s="5"/>
      <c r="AP9" s="5"/>
      <c r="AQ9" s="5"/>
      <c r="AR9" s="5"/>
      <c r="AS9" s="5"/>
      <c r="AT9" s="5"/>
      <c r="AU9" s="5"/>
      <c r="AV9" s="71"/>
      <c r="AW9" s="5"/>
      <c r="AX9" s="5"/>
      <c r="AY9" s="5"/>
      <c r="AZ9" s="69"/>
      <c r="BA9" s="69"/>
      <c r="BB9" s="69"/>
      <c r="BC9" s="5"/>
      <c r="BD9" s="7"/>
      <c r="BE9" s="5"/>
      <c r="BF9" s="63"/>
      <c r="BG9" s="72"/>
      <c r="BH9" s="67"/>
      <c r="BI9" s="67"/>
      <c r="BJ9" s="67"/>
      <c r="BK9" s="67"/>
      <c r="BL9" s="5"/>
      <c r="BM9" s="5"/>
      <c r="BN9" s="5"/>
      <c r="BO9" s="5"/>
      <c r="BP9" s="5"/>
      <c r="BQ9" s="5"/>
      <c r="BR9" s="5"/>
      <c r="BS9" s="5"/>
      <c r="BT9" s="5"/>
      <c r="BU9" s="5"/>
      <c r="BV9" s="5"/>
      <c r="BW9" s="5"/>
      <c r="BX9" s="5"/>
      <c r="BY9" s="5"/>
      <c r="BZ9" s="5"/>
      <c r="CA9" s="5"/>
      <c r="CB9" s="5"/>
      <c r="CC9" s="5"/>
      <c r="CD9" s="5"/>
      <c r="CE9" s="5"/>
      <c r="CF9" s="9"/>
      <c r="CG9" s="5"/>
      <c r="CH9" s="5"/>
      <c r="CI9" s="5"/>
      <c r="CJ9" s="5"/>
      <c r="CK9" s="6"/>
      <c r="CL9" s="5"/>
      <c r="CM9" s="69"/>
      <c r="CN9" s="5"/>
      <c r="CO9" s="5"/>
      <c r="CP9" s="5"/>
      <c r="CQ9" s="73"/>
      <c r="CR9" s="73"/>
      <c r="CS9" s="73"/>
      <c r="CT9" s="5"/>
      <c r="CU9" s="73"/>
      <c r="CV9" s="5"/>
      <c r="CW9" s="5"/>
      <c r="CX9" s="5"/>
      <c r="CY9" s="5"/>
      <c r="CZ9" s="5"/>
      <c r="DA9" s="5"/>
      <c r="DB9" s="5"/>
      <c r="DC9" s="5"/>
      <c r="DD9" s="5"/>
      <c r="DE9" s="5"/>
      <c r="DF9" s="7"/>
      <c r="DG9" s="7"/>
      <c r="DH9" s="7"/>
      <c r="DI9" s="6"/>
      <c r="DJ9" s="5"/>
      <c r="DK9" s="7"/>
      <c r="DL9" s="7"/>
      <c r="DM9" s="5"/>
      <c r="DN9" s="6"/>
      <c r="DO9" s="5"/>
      <c r="DP9" s="6"/>
      <c r="DQ9" s="5"/>
      <c r="DR9" s="5"/>
      <c r="DS9" s="5"/>
      <c r="DT9" s="5"/>
      <c r="DU9" s="5"/>
      <c r="DV9" s="5"/>
      <c r="DW9" s="5"/>
      <c r="DX9" s="5"/>
      <c r="DY9" s="6"/>
      <c r="DZ9" s="5"/>
      <c r="EA9" s="6"/>
      <c r="EB9" s="5"/>
      <c r="EC9" s="5"/>
      <c r="ED9" s="74"/>
      <c r="EE9" s="6"/>
      <c r="EF9" s="5"/>
      <c r="EG9" s="5"/>
      <c r="EH9" s="5"/>
      <c r="EI9" s="5"/>
      <c r="EJ9" s="5"/>
      <c r="EK9" s="5"/>
      <c r="EL9" s="5"/>
      <c r="EM9" s="5"/>
      <c r="EN9" s="5"/>
      <c r="EO9" s="7"/>
      <c r="EP9" s="68"/>
      <c r="EQ9" s="9"/>
      <c r="ER9" s="9"/>
      <c r="ES9" s="7"/>
      <c r="ET9" s="7"/>
      <c r="EU9" s="7"/>
      <c r="EV9" s="5"/>
      <c r="EW9" s="5"/>
      <c r="EX9" s="5"/>
      <c r="EY9" s="9"/>
      <c r="EZ9" s="9"/>
      <c r="FA9" s="5"/>
      <c r="FB9" s="9"/>
      <c r="FC9" s="5"/>
      <c r="FD9" s="5"/>
      <c r="FE9" s="7"/>
      <c r="FF9" s="9"/>
      <c r="FG9" s="7"/>
      <c r="FH9" s="5"/>
      <c r="FI9" s="9"/>
      <c r="FJ9" s="5"/>
      <c r="FK9" s="5"/>
      <c r="FL9" s="5"/>
      <c r="FM9" s="5"/>
      <c r="FN9" s="6"/>
      <c r="FO9" s="5"/>
      <c r="FP9" s="7"/>
      <c r="FQ9" s="6"/>
      <c r="FR9" s="7"/>
      <c r="FS9" s="6"/>
      <c r="FT9" s="7"/>
      <c r="FU9" s="6"/>
      <c r="FV9" s="7"/>
      <c r="FW9" s="6"/>
      <c r="FX9" s="7"/>
      <c r="FY9" s="6"/>
      <c r="FZ9" s="5"/>
      <c r="GA9" s="7"/>
      <c r="GB9" s="6"/>
      <c r="GC9" s="7"/>
      <c r="GD9" s="6"/>
      <c r="GE9" s="7"/>
      <c r="GF9" s="6"/>
      <c r="GG9" s="5"/>
      <c r="GH9" s="5"/>
      <c r="GI9" s="5"/>
    </row>
    <row r="10" ht="17.6" spans="1:192">
      <c r="B10" s="64"/>
      <c r="C10" s="5"/>
      <c r="D10" s="65"/>
      <c r="E10" s="5"/>
      <c r="F10" s="66"/>
      <c r="G10" s="5"/>
      <c r="H10" s="5"/>
      <c r="I10" s="5"/>
      <c r="J10" s="5"/>
      <c r="L10" s="67"/>
      <c r="V10" s="68"/>
      <c r="W10" s="7"/>
      <c r="X10" s="5"/>
      <c r="Y10" s="5"/>
      <c r="Z10" s="5"/>
      <c r="AA10" s="5"/>
      <c r="AB10" s="69"/>
      <c r="AF10" s="70"/>
      <c r="AG10" s="70"/>
      <c r="AH10" s="70"/>
      <c r="AI10" s="70"/>
      <c r="AJ10" s="70"/>
      <c r="AK10" s="70"/>
      <c r="AV10" s="71"/>
      <c r="AW10" s="5"/>
      <c r="AX10" s="5"/>
      <c r="AY10" s="5"/>
      <c r="AZ10" s="69"/>
      <c r="BA10" s="69"/>
      <c r="BB10" s="69"/>
      <c r="BC10" s="5"/>
      <c r="BF10" s="63"/>
      <c r="BG10" s="72"/>
      <c r="BH10" s="67"/>
      <c r="BI10" s="67"/>
      <c r="BJ10" s="67"/>
      <c r="BK10" s="67"/>
      <c r="CM10" s="69"/>
      <c r="CN10" s="5"/>
      <c r="CQ10" s="73"/>
      <c r="CR10" s="73"/>
      <c r="CS10" s="73"/>
      <c r="CT10" s="5"/>
      <c r="CU10" s="73"/>
      <c r="CV10" s="5"/>
      <c r="CW10" s="5"/>
      <c r="CX10" s="5"/>
      <c r="CY10" s="5"/>
      <c r="CZ10" s="5"/>
      <c r="DA10" s="5"/>
      <c r="ED10" s="74"/>
      <c r="EP10" s="68"/>
    </row>
    <row r="11" ht="17.6" spans="1:192">
      <c r="B11" s="64"/>
      <c r="C11" s="5"/>
      <c r="D11" s="65"/>
      <c r="E11" s="5"/>
      <c r="F11" s="66"/>
      <c r="G11" s="5"/>
      <c r="H11" s="5"/>
      <c r="I11" s="5"/>
      <c r="J11" s="5"/>
      <c r="L11" s="67"/>
      <c r="V11" s="68"/>
      <c r="W11" s="7"/>
      <c r="X11" s="5"/>
      <c r="Y11" s="5"/>
      <c r="Z11" s="5"/>
      <c r="AA11" s="5"/>
      <c r="AB11" s="69"/>
      <c r="AF11" s="70"/>
      <c r="AG11" s="70"/>
      <c r="AH11" s="70"/>
      <c r="AI11" s="70"/>
      <c r="AJ11" s="70"/>
      <c r="AK11" s="70"/>
      <c r="AV11" s="71"/>
      <c r="AW11" s="5"/>
      <c r="AX11" s="5"/>
      <c r="AY11" s="5"/>
      <c r="AZ11" s="69"/>
      <c r="BA11" s="69"/>
      <c r="BB11" s="69"/>
      <c r="BC11" s="5"/>
      <c r="BF11" s="63"/>
      <c r="BG11" s="72"/>
      <c r="BH11" s="67"/>
      <c r="BI11" s="67"/>
      <c r="BJ11" s="67"/>
      <c r="BK11" s="67"/>
      <c r="CM11" s="69"/>
      <c r="CN11" s="5"/>
      <c r="CQ11" s="73"/>
      <c r="CR11" s="73"/>
      <c r="CS11" s="73"/>
      <c r="CT11" s="5"/>
      <c r="CU11" s="73"/>
      <c r="CV11" s="5"/>
      <c r="CW11" s="5"/>
      <c r="CX11" s="5"/>
      <c r="CY11" s="5"/>
      <c r="CZ11" s="5"/>
      <c r="DA11" s="5"/>
      <c r="ED11" s="74"/>
      <c r="EP11" s="68"/>
    </row>
    <row r="12" ht="17.6" spans="1:192">
      <c r="B12" s="64"/>
      <c r="C12" s="5"/>
      <c r="D12" s="65"/>
      <c r="E12" s="5"/>
      <c r="F12" s="66"/>
      <c r="G12" s="5"/>
      <c r="H12" s="5"/>
      <c r="I12" s="5"/>
      <c r="J12" s="5"/>
      <c r="L12" s="67"/>
      <c r="V12" s="68"/>
      <c r="W12" s="7"/>
      <c r="X12" s="5"/>
      <c r="Y12" s="5"/>
      <c r="Z12" s="5"/>
      <c r="AA12" s="5"/>
      <c r="AB12" s="69"/>
      <c r="AF12" s="70"/>
      <c r="AG12" s="70"/>
      <c r="AH12" s="70"/>
      <c r="AI12" s="70"/>
      <c r="AJ12" s="70"/>
      <c r="AK12" s="70"/>
      <c r="AV12" s="71"/>
      <c r="AW12" s="5"/>
      <c r="AX12" s="5"/>
      <c r="AY12" s="5"/>
      <c r="AZ12" s="69"/>
      <c r="BA12" s="69"/>
      <c r="BB12" s="69"/>
      <c r="BC12" s="5"/>
      <c r="BF12" s="63"/>
      <c r="BG12" s="72"/>
      <c r="BH12" s="67"/>
      <c r="BI12" s="67"/>
      <c r="BJ12" s="67"/>
      <c r="BK12" s="67"/>
      <c r="CM12" s="69"/>
      <c r="CN12" s="5"/>
      <c r="CQ12" s="73"/>
      <c r="CR12" s="73"/>
      <c r="CS12" s="73"/>
      <c r="CT12" s="5"/>
      <c r="CU12" s="73"/>
      <c r="CV12" s="5"/>
      <c r="CW12" s="5"/>
      <c r="CX12" s="5"/>
      <c r="CY12" s="5"/>
      <c r="CZ12" s="5"/>
      <c r="DA12" s="5"/>
      <c r="ED12" s="74"/>
      <c r="EP12" s="68"/>
    </row>
    <row r="13" customFormat="1" ht="16.8" spans="1:192">
      <c r="A13" s="5"/>
      <c r="B13" s="64"/>
      <c r="C13" s="5"/>
      <c r="D13" s="61"/>
      <c r="E13" s="5"/>
      <c r="F13" s="62"/>
      <c r="G13" s="5"/>
      <c r="H13" s="5"/>
      <c r="I13" s="5"/>
      <c r="J13" s="5"/>
      <c r="K13" s="61"/>
      <c r="L13" s="67"/>
      <c r="M13" s="61"/>
      <c r="N13" s="61"/>
      <c r="O13" s="61"/>
      <c r="P13" s="61"/>
      <c r="Q13" s="61"/>
      <c r="R13" s="61"/>
      <c r="S13" s="61"/>
      <c r="T13" s="61"/>
      <c r="U13" s="61"/>
      <c r="V13" s="68"/>
      <c r="W13" s="7"/>
      <c r="X13" s="5"/>
      <c r="Y13" s="5"/>
      <c r="Z13" s="5"/>
      <c r="AA13" s="5"/>
      <c r="AB13" s="69"/>
      <c r="AC13" s="5"/>
      <c r="AD13" s="5"/>
      <c r="AE13" s="5"/>
      <c r="AF13" s="75"/>
      <c r="AG13" s="75"/>
      <c r="AH13" s="70"/>
      <c r="AI13" s="75"/>
      <c r="AJ13" s="75"/>
      <c r="AK13" s="75"/>
      <c r="AL13" s="61"/>
      <c r="AM13" s="61"/>
      <c r="AN13" s="61"/>
      <c r="AO13" s="61"/>
      <c r="AP13" s="61"/>
      <c r="AQ13" s="61"/>
      <c r="AR13" s="61"/>
      <c r="AS13" s="61"/>
      <c r="AT13" s="61"/>
      <c r="AU13" s="5"/>
      <c r="AV13" s="71"/>
      <c r="AW13" s="5"/>
      <c r="AX13" s="5"/>
      <c r="AY13" s="5"/>
      <c r="AZ13" s="69"/>
      <c r="BA13" s="69"/>
      <c r="BB13" s="69"/>
      <c r="BC13" s="5"/>
      <c r="BD13" s="61"/>
      <c r="BE13" s="61"/>
      <c r="BF13" s="63"/>
      <c r="BG13" s="67"/>
      <c r="BH13" s="67"/>
      <c r="BI13" s="67"/>
      <c r="BJ13" s="67"/>
      <c r="BK13" s="67"/>
      <c r="BL13" s="5"/>
      <c r="BM13" s="5"/>
      <c r="BN13" s="5"/>
      <c r="BO13" s="5"/>
      <c r="BP13" s="5"/>
      <c r="BQ13" s="5"/>
      <c r="BR13" s="5"/>
      <c r="BS13" s="5"/>
      <c r="BT13" s="61"/>
      <c r="BU13" s="61"/>
      <c r="BV13" s="61"/>
      <c r="BW13" s="61"/>
      <c r="BX13" s="61"/>
      <c r="BY13" s="61"/>
      <c r="BZ13" s="61"/>
      <c r="CA13" s="61"/>
      <c r="CB13" s="5"/>
      <c r="CC13" s="61"/>
      <c r="CD13" s="61"/>
      <c r="CE13" s="5"/>
      <c r="CF13" s="61"/>
      <c r="CG13" s="5"/>
      <c r="CH13" s="61"/>
      <c r="CI13" s="61"/>
      <c r="CJ13" s="61"/>
      <c r="CK13" s="61"/>
      <c r="CL13" s="61"/>
      <c r="CM13" s="69"/>
      <c r="CN13" s="5"/>
      <c r="CO13" s="61"/>
      <c r="CP13" s="61"/>
      <c r="CQ13" s="73"/>
      <c r="CR13" s="73"/>
      <c r="CS13" s="73"/>
      <c r="CT13" s="5"/>
      <c r="CU13" s="73"/>
      <c r="CV13" s="5"/>
      <c r="CW13" s="5"/>
      <c r="CX13" s="5"/>
      <c r="CY13" s="5"/>
      <c r="CZ13" s="5"/>
      <c r="DA13" s="5"/>
      <c r="DB13" s="5"/>
      <c r="DC13" s="61"/>
      <c r="DD13" s="61"/>
      <c r="DE13" s="61"/>
      <c r="DF13" s="61"/>
      <c r="DG13" s="61"/>
      <c r="DH13" s="61"/>
      <c r="DI13" s="61"/>
      <c r="DJ13" s="61"/>
      <c r="DK13" s="61"/>
      <c r="DL13" s="61"/>
      <c r="DM13" s="61"/>
      <c r="DN13" s="61"/>
      <c r="DO13" s="61"/>
      <c r="DP13" s="61"/>
      <c r="DQ13" s="61"/>
      <c r="DR13" s="61"/>
      <c r="DS13" s="61"/>
      <c r="DT13" s="61"/>
      <c r="DU13" s="61"/>
      <c r="DV13" s="61"/>
      <c r="DW13" s="61"/>
      <c r="DX13" s="61"/>
      <c r="DY13" s="61"/>
      <c r="DZ13" s="61"/>
      <c r="EA13" s="61"/>
      <c r="EB13" s="61"/>
      <c r="EC13" s="61"/>
      <c r="ED13" s="74"/>
      <c r="EE13" s="6"/>
      <c r="EF13" s="5"/>
      <c r="EG13" s="5"/>
      <c r="EH13" s="5"/>
      <c r="EI13" s="61"/>
      <c r="EJ13" s="61"/>
      <c r="EK13" s="61"/>
      <c r="EL13" s="61"/>
      <c r="EM13" s="61"/>
      <c r="EN13" s="61"/>
      <c r="EO13" s="61"/>
      <c r="EP13" s="68"/>
      <c r="EQ13" s="9"/>
      <c r="ER13" s="9"/>
      <c r="ES13" s="61"/>
      <c r="ET13" s="61"/>
      <c r="EU13" s="61"/>
      <c r="EV13" s="61"/>
      <c r="EW13" s="61"/>
      <c r="EX13" s="61"/>
      <c r="EY13" s="61"/>
      <c r="EZ13" s="61"/>
      <c r="FA13" s="61"/>
      <c r="FB13" s="61"/>
      <c r="FC13" s="61"/>
      <c r="FD13" s="61"/>
      <c r="FE13" s="61"/>
      <c r="FF13" s="61"/>
      <c r="FG13" s="61"/>
      <c r="FH13" s="61"/>
      <c r="FI13" s="61"/>
      <c r="FJ13" s="61"/>
      <c r="FK13" s="61"/>
      <c r="FL13" s="5"/>
      <c r="FM13" s="61"/>
      <c r="FN13" s="61"/>
      <c r="FO13" s="61"/>
      <c r="FP13" s="61"/>
      <c r="FQ13" s="61"/>
      <c r="FR13" s="61"/>
      <c r="FS13" s="61"/>
      <c r="FT13" s="61"/>
      <c r="FU13" s="61"/>
      <c r="FV13" s="61"/>
      <c r="FW13" s="61"/>
      <c r="FX13" s="61"/>
      <c r="FY13" s="61"/>
      <c r="FZ13" s="61"/>
      <c r="GA13" s="61"/>
      <c r="GB13" s="61"/>
      <c r="GC13" s="61"/>
      <c r="GD13" s="61"/>
      <c r="GE13" s="61"/>
      <c r="GF13" s="61"/>
      <c r="GG13" s="61"/>
      <c r="GH13" s="61"/>
      <c r="GI13" s="61"/>
      <c r="GJ13" s="61"/>
    </row>
    <row r="14" customFormat="1" ht="16.8" spans="1:192">
      <c r="A14" s="5"/>
      <c r="B14" s="64"/>
      <c r="C14" s="5"/>
      <c r="D14" s="61"/>
      <c r="E14" s="5"/>
      <c r="F14" s="62"/>
      <c r="G14" s="5"/>
      <c r="H14" s="5"/>
      <c r="I14" s="5"/>
      <c r="J14" s="5"/>
      <c r="K14" s="61"/>
      <c r="L14" s="67"/>
      <c r="M14" s="61"/>
      <c r="N14" s="61"/>
      <c r="O14" s="61"/>
      <c r="P14" s="61"/>
      <c r="Q14" s="61"/>
      <c r="R14" s="61"/>
      <c r="S14" s="61"/>
      <c r="T14" s="61"/>
      <c r="U14" s="61"/>
      <c r="V14" s="68"/>
      <c r="W14" s="7"/>
      <c r="X14" s="5"/>
      <c r="Y14" s="5"/>
      <c r="Z14" s="5"/>
      <c r="AA14" s="5"/>
      <c r="AB14" s="69"/>
      <c r="AC14" s="5"/>
      <c r="AD14" s="5"/>
      <c r="AE14" s="5"/>
      <c r="AF14" s="75"/>
      <c r="AG14" s="75"/>
      <c r="AH14" s="70"/>
      <c r="AI14" s="75"/>
      <c r="AJ14" s="75"/>
      <c r="AK14" s="75"/>
      <c r="AL14" s="61"/>
      <c r="AM14" s="61"/>
      <c r="AN14" s="61"/>
      <c r="AO14" s="61"/>
      <c r="AP14" s="61"/>
      <c r="AQ14" s="61"/>
      <c r="AR14" s="61"/>
      <c r="AS14" s="61"/>
      <c r="AT14" s="61"/>
      <c r="AU14" s="5"/>
      <c r="AV14" s="71"/>
      <c r="AW14" s="5"/>
      <c r="AX14" s="5"/>
      <c r="AY14" s="5"/>
      <c r="AZ14" s="69"/>
      <c r="BA14" s="69"/>
      <c r="BB14" s="69"/>
      <c r="BC14" s="5"/>
      <c r="BD14" s="61"/>
      <c r="BE14" s="61"/>
      <c r="BF14" s="63"/>
      <c r="BG14" s="67"/>
      <c r="BH14" s="67"/>
      <c r="BI14" s="67"/>
      <c r="BJ14" s="67"/>
      <c r="BK14" s="67"/>
      <c r="BL14" s="5"/>
      <c r="BM14" s="5"/>
      <c r="BN14" s="5"/>
      <c r="BO14" s="5"/>
      <c r="BP14" s="5"/>
      <c r="BQ14" s="5"/>
      <c r="BR14" s="5"/>
      <c r="BS14" s="5"/>
      <c r="BT14" s="61"/>
      <c r="BU14" s="61"/>
      <c r="BV14" s="61"/>
      <c r="BW14" s="61"/>
      <c r="BX14" s="61"/>
      <c r="BY14" s="61"/>
      <c r="BZ14" s="61"/>
      <c r="CA14" s="61"/>
      <c r="CB14" s="5"/>
      <c r="CC14" s="61"/>
      <c r="CD14" s="61"/>
      <c r="CE14" s="5"/>
      <c r="CF14" s="61"/>
      <c r="CG14" s="5"/>
      <c r="CH14" s="61"/>
      <c r="CI14" s="61"/>
      <c r="CJ14" s="61"/>
      <c r="CK14" s="61"/>
      <c r="CL14" s="61"/>
      <c r="CM14" s="69"/>
      <c r="CN14" s="5"/>
      <c r="CO14" s="61"/>
      <c r="CP14" s="61"/>
      <c r="CQ14" s="73"/>
      <c r="CR14" s="73"/>
      <c r="CS14" s="73"/>
      <c r="CT14" s="5"/>
      <c r="CU14" s="73"/>
      <c r="CV14" s="5"/>
      <c r="CW14" s="5"/>
      <c r="CX14" s="5"/>
      <c r="CY14" s="5"/>
      <c r="CZ14" s="5"/>
      <c r="DA14" s="5"/>
      <c r="DB14" s="5"/>
      <c r="DC14" s="61"/>
      <c r="DD14" s="61"/>
      <c r="DE14" s="61"/>
      <c r="DF14" s="61"/>
      <c r="DG14" s="61"/>
      <c r="DH14" s="61"/>
      <c r="DI14" s="61"/>
      <c r="DJ14" s="61"/>
      <c r="DK14" s="61"/>
      <c r="DL14" s="61"/>
      <c r="DM14" s="61"/>
      <c r="DN14" s="61"/>
      <c r="DO14" s="61"/>
      <c r="DP14" s="61"/>
      <c r="DQ14" s="61"/>
      <c r="DR14" s="61"/>
      <c r="DS14" s="61"/>
      <c r="DT14" s="61"/>
      <c r="DU14" s="61"/>
      <c r="DV14" s="61"/>
      <c r="DW14" s="61"/>
      <c r="DX14" s="61"/>
      <c r="DY14" s="61"/>
      <c r="DZ14" s="61"/>
      <c r="EA14" s="61"/>
      <c r="EB14" s="61"/>
      <c r="EC14" s="61"/>
      <c r="ED14" s="74"/>
      <c r="EE14" s="6"/>
      <c r="EF14" s="5"/>
      <c r="EG14" s="5"/>
      <c r="EH14" s="5"/>
      <c r="EI14" s="61"/>
      <c r="EJ14" s="61"/>
      <c r="EK14" s="61"/>
      <c r="EL14" s="61"/>
      <c r="EM14" s="61"/>
      <c r="EN14" s="61"/>
      <c r="EO14" s="61"/>
      <c r="EP14" s="68"/>
      <c r="EQ14" s="9"/>
      <c r="ER14" s="9"/>
      <c r="ES14" s="61"/>
      <c r="ET14" s="61"/>
      <c r="EU14" s="61"/>
      <c r="EV14" s="61"/>
      <c r="EW14" s="61"/>
      <c r="EX14" s="61"/>
      <c r="EY14" s="61"/>
      <c r="EZ14" s="61"/>
      <c r="FA14" s="61"/>
      <c r="FB14" s="61"/>
      <c r="FC14" s="61"/>
      <c r="FD14" s="61"/>
      <c r="FE14" s="61"/>
      <c r="FF14" s="61"/>
      <c r="FG14" s="61"/>
      <c r="FH14" s="61"/>
      <c r="FI14" s="61"/>
      <c r="FJ14" s="61"/>
      <c r="FK14" s="61"/>
      <c r="FL14" s="5"/>
      <c r="FM14" s="61"/>
      <c r="FN14" s="61"/>
      <c r="FO14" s="61"/>
      <c r="FP14" s="61"/>
      <c r="FQ14" s="61"/>
      <c r="FR14" s="61"/>
      <c r="FS14" s="61"/>
      <c r="FT14" s="61"/>
      <c r="FU14" s="61"/>
      <c r="FV14" s="61"/>
      <c r="FW14" s="61"/>
      <c r="FX14" s="61"/>
      <c r="FY14" s="61"/>
      <c r="FZ14" s="61"/>
      <c r="GA14" s="61"/>
      <c r="GB14" s="61"/>
      <c r="GC14" s="61"/>
      <c r="GD14" s="61"/>
      <c r="GE14" s="61"/>
      <c r="GF14" s="61"/>
      <c r="GG14" s="61"/>
      <c r="GH14" s="61"/>
      <c r="GI14" s="61"/>
      <c r="GJ14" s="61"/>
    </row>
    <row r="15" customFormat="1" ht="16.8" spans="1:192">
      <c r="A15" s="5"/>
      <c r="B15" s="64"/>
      <c r="C15" s="5"/>
      <c r="D15" s="61"/>
      <c r="E15" s="5"/>
      <c r="F15" s="62"/>
      <c r="G15" s="5"/>
      <c r="H15" s="5"/>
      <c r="I15" s="5"/>
      <c r="J15" s="5"/>
      <c r="K15" s="61"/>
      <c r="L15" s="67"/>
      <c r="M15" s="61"/>
      <c r="N15" s="61"/>
      <c r="O15" s="61"/>
      <c r="P15" s="61"/>
      <c r="Q15" s="61"/>
      <c r="R15" s="61"/>
      <c r="S15" s="61"/>
      <c r="T15" s="61"/>
      <c r="U15" s="61"/>
      <c r="V15" s="68"/>
      <c r="W15" s="7"/>
      <c r="X15" s="5"/>
      <c r="Y15" s="5"/>
      <c r="Z15" s="5"/>
      <c r="AA15" s="5"/>
      <c r="AB15" s="69"/>
      <c r="AC15" s="5"/>
      <c r="AD15" s="5"/>
      <c r="AE15" s="5"/>
      <c r="AF15" s="75"/>
      <c r="AG15" s="75"/>
      <c r="AH15" s="70"/>
      <c r="AI15" s="75"/>
      <c r="AJ15" s="75"/>
      <c r="AK15" s="75"/>
      <c r="AL15" s="61"/>
      <c r="AM15" s="61"/>
      <c r="AN15" s="61"/>
      <c r="AO15" s="61"/>
      <c r="AP15" s="61"/>
      <c r="AQ15" s="61"/>
      <c r="AR15" s="61"/>
      <c r="AS15" s="61"/>
      <c r="AT15" s="61"/>
      <c r="AU15" s="5"/>
      <c r="AV15" s="71"/>
      <c r="AW15" s="5"/>
      <c r="AX15" s="5"/>
      <c r="AY15" s="5"/>
      <c r="AZ15" s="69"/>
      <c r="BA15" s="69"/>
      <c r="BB15" s="69"/>
      <c r="BC15" s="5"/>
      <c r="BD15" s="61"/>
      <c r="BE15" s="61"/>
      <c r="BF15" s="63"/>
      <c r="BG15" s="67"/>
      <c r="BH15" s="67"/>
      <c r="BI15" s="67"/>
      <c r="BJ15" s="67"/>
      <c r="BK15" s="67"/>
      <c r="BL15" s="5"/>
      <c r="BM15" s="5"/>
      <c r="BN15" s="5"/>
      <c r="BO15" s="5"/>
      <c r="BP15" s="5"/>
      <c r="BQ15" s="5"/>
      <c r="BR15" s="5"/>
      <c r="BS15" s="5"/>
      <c r="BT15" s="61"/>
      <c r="BU15" s="61"/>
      <c r="BV15" s="61"/>
      <c r="BW15" s="61"/>
      <c r="BX15" s="61"/>
      <c r="BY15" s="61"/>
      <c r="BZ15" s="61"/>
      <c r="CA15" s="61"/>
      <c r="CB15" s="5"/>
      <c r="CC15" s="61"/>
      <c r="CD15" s="61"/>
      <c r="CE15" s="5"/>
      <c r="CF15" s="61"/>
      <c r="CG15" s="5"/>
      <c r="CH15" s="61"/>
      <c r="CI15" s="61"/>
      <c r="CJ15" s="61"/>
      <c r="CK15" s="61"/>
      <c r="CL15" s="61"/>
      <c r="CM15" s="69"/>
      <c r="CN15" s="5"/>
      <c r="CO15" s="61"/>
      <c r="CP15" s="61"/>
      <c r="CQ15" s="73"/>
      <c r="CR15" s="73"/>
      <c r="CS15" s="73"/>
      <c r="CT15" s="5"/>
      <c r="CU15" s="73"/>
      <c r="CV15" s="5"/>
      <c r="CW15" s="5"/>
      <c r="CX15" s="5"/>
      <c r="CY15" s="5"/>
      <c r="CZ15" s="5"/>
      <c r="DA15" s="5"/>
      <c r="DB15" s="5"/>
      <c r="DC15" s="61"/>
      <c r="DD15" s="61"/>
      <c r="DE15" s="61"/>
      <c r="DF15" s="61"/>
      <c r="DG15" s="61"/>
      <c r="DH15" s="61"/>
      <c r="DI15" s="61"/>
      <c r="DJ15" s="61"/>
      <c r="DK15" s="61"/>
      <c r="DL15" s="61"/>
      <c r="DM15" s="61"/>
      <c r="DN15" s="61"/>
      <c r="DO15" s="61"/>
      <c r="DP15" s="61"/>
      <c r="DQ15" s="61"/>
      <c r="DR15" s="61"/>
      <c r="DS15" s="61"/>
      <c r="DT15" s="61"/>
      <c r="DU15" s="61"/>
      <c r="DV15" s="61"/>
      <c r="DW15" s="61"/>
      <c r="DX15" s="61"/>
      <c r="DY15" s="61"/>
      <c r="DZ15" s="61"/>
      <c r="EA15" s="61"/>
      <c r="EB15" s="61"/>
      <c r="EC15" s="61"/>
      <c r="ED15" s="74"/>
      <c r="EE15" s="6"/>
      <c r="EF15" s="5"/>
      <c r="EG15" s="5"/>
      <c r="EH15" s="5"/>
      <c r="EI15" s="61"/>
      <c r="EJ15" s="61"/>
      <c r="EK15" s="61"/>
      <c r="EL15" s="61"/>
      <c r="EM15" s="61"/>
      <c r="EN15" s="61"/>
      <c r="EO15" s="61"/>
      <c r="EP15" s="68"/>
      <c r="EQ15" s="9"/>
      <c r="ER15" s="9"/>
      <c r="ES15" s="61"/>
      <c r="ET15" s="61"/>
      <c r="EU15" s="61"/>
      <c r="EV15" s="61"/>
      <c r="EW15" s="61"/>
      <c r="EX15" s="61"/>
      <c r="EY15" s="61"/>
      <c r="EZ15" s="61"/>
      <c r="FA15" s="61"/>
      <c r="FB15" s="61"/>
      <c r="FC15" s="61"/>
      <c r="FD15" s="61"/>
      <c r="FE15" s="61"/>
      <c r="FF15" s="61"/>
      <c r="FG15" s="61"/>
      <c r="FH15" s="61"/>
      <c r="FI15" s="61"/>
      <c r="FJ15" s="61"/>
      <c r="FK15" s="61"/>
      <c r="FL15" s="5"/>
      <c r="FM15" s="61"/>
      <c r="FN15" s="61"/>
      <c r="FO15" s="61"/>
      <c r="FP15" s="61"/>
      <c r="FQ15" s="61"/>
      <c r="FR15" s="61"/>
      <c r="FS15" s="61"/>
      <c r="FT15" s="61"/>
      <c r="FU15" s="61"/>
      <c r="FV15" s="61"/>
      <c r="FW15" s="61"/>
      <c r="FX15" s="61"/>
      <c r="FY15" s="61"/>
      <c r="FZ15" s="61"/>
      <c r="GA15" s="61"/>
      <c r="GB15" s="61"/>
      <c r="GC15" s="61"/>
      <c r="GD15" s="61"/>
      <c r="GE15" s="61"/>
      <c r="GF15" s="61"/>
      <c r="GG15" s="61"/>
      <c r="GH15" s="61"/>
      <c r="GI15" s="61"/>
      <c r="GJ15" s="61"/>
    </row>
    <row r="16" customFormat="1" ht="16.8" spans="1:192">
      <c r="A16" s="5"/>
      <c r="B16" s="64"/>
      <c r="C16" s="5"/>
      <c r="D16" s="61"/>
      <c r="E16" s="61"/>
      <c r="F16" s="62"/>
      <c r="G16" s="5"/>
      <c r="H16" s="5"/>
      <c r="I16" s="5"/>
      <c r="J16" s="5"/>
      <c r="K16" s="61"/>
      <c r="L16" s="67"/>
      <c r="M16" s="61"/>
      <c r="N16" s="61"/>
      <c r="O16" s="61"/>
      <c r="P16" s="61"/>
      <c r="Q16" s="61"/>
      <c r="R16" s="61"/>
      <c r="S16" s="61"/>
      <c r="T16" s="61"/>
      <c r="U16" s="61"/>
      <c r="V16" s="68"/>
      <c r="W16" s="7"/>
      <c r="X16" s="5"/>
      <c r="Y16" s="5"/>
      <c r="Z16" s="5"/>
      <c r="AA16" s="5"/>
      <c r="AB16" s="69"/>
      <c r="AC16" s="61"/>
      <c r="AD16" s="5"/>
      <c r="AE16" s="5"/>
      <c r="AF16" s="75"/>
      <c r="AG16" s="75"/>
      <c r="AH16" s="70"/>
      <c r="AI16" s="75"/>
      <c r="AJ16" s="75"/>
      <c r="AK16" s="75"/>
      <c r="AL16" s="61"/>
      <c r="AM16" s="61"/>
      <c r="AN16" s="61"/>
      <c r="AO16" s="61"/>
      <c r="AP16" s="61"/>
      <c r="AQ16" s="61"/>
      <c r="AR16" s="61"/>
      <c r="AS16" s="61"/>
      <c r="AT16" s="61"/>
      <c r="AU16" s="5"/>
      <c r="AV16" s="71"/>
      <c r="AW16" s="5"/>
      <c r="AX16" s="5"/>
      <c r="AY16" s="5"/>
      <c r="AZ16" s="69"/>
      <c r="BA16" s="69"/>
      <c r="BB16" s="69"/>
      <c r="BC16" s="5"/>
      <c r="BD16" s="61"/>
      <c r="BE16" s="61"/>
      <c r="BF16" s="63"/>
      <c r="BG16" s="67"/>
      <c r="BH16" s="67"/>
      <c r="BI16" s="67"/>
      <c r="BJ16" s="67"/>
      <c r="BK16" s="67"/>
      <c r="BL16" s="5"/>
      <c r="BM16" s="5"/>
      <c r="BN16" s="5"/>
      <c r="BO16" s="5"/>
      <c r="BP16" s="5"/>
      <c r="BQ16" s="5"/>
      <c r="BR16" s="5"/>
      <c r="BS16" s="5"/>
      <c r="BT16" s="61"/>
      <c r="BU16" s="61"/>
      <c r="BV16" s="61"/>
      <c r="BW16" s="61"/>
      <c r="BX16" s="61"/>
      <c r="BY16" s="61"/>
      <c r="BZ16" s="61"/>
      <c r="CA16" s="61"/>
      <c r="CB16" s="5"/>
      <c r="CC16" s="61"/>
      <c r="CD16" s="61"/>
      <c r="CE16" s="5"/>
      <c r="CF16" s="61"/>
      <c r="CG16" s="5"/>
      <c r="CH16" s="61"/>
      <c r="CI16" s="61"/>
      <c r="CJ16" s="61"/>
      <c r="CK16" s="61"/>
      <c r="CL16" s="61"/>
      <c r="CM16" s="69"/>
      <c r="CN16" s="5"/>
      <c r="CO16" s="61"/>
      <c r="CP16" s="61"/>
      <c r="CQ16" s="73"/>
      <c r="CR16" s="73"/>
      <c r="CS16" s="73"/>
      <c r="CT16" s="5"/>
      <c r="CU16" s="73"/>
      <c r="CV16" s="5"/>
      <c r="CW16" s="5"/>
      <c r="CX16" s="5"/>
      <c r="CY16" s="5"/>
      <c r="CZ16" s="5"/>
      <c r="DA16" s="5"/>
      <c r="DB16" s="5"/>
      <c r="DC16" s="61"/>
      <c r="DD16" s="61"/>
      <c r="DE16" s="61"/>
      <c r="DF16" s="61"/>
      <c r="DG16" s="61"/>
      <c r="DH16" s="61"/>
      <c r="DI16" s="61"/>
      <c r="DJ16" s="61"/>
      <c r="DK16" s="61"/>
      <c r="DL16" s="61"/>
      <c r="DM16" s="61"/>
      <c r="DN16" s="61"/>
      <c r="DO16" s="61"/>
      <c r="DP16" s="61"/>
      <c r="DQ16" s="61"/>
      <c r="DR16" s="61"/>
      <c r="DS16" s="61"/>
      <c r="DT16" s="61"/>
      <c r="DU16" s="61"/>
      <c r="DV16" s="61"/>
      <c r="DW16" s="61"/>
      <c r="DX16" s="61"/>
      <c r="DY16" s="61"/>
      <c r="DZ16" s="61"/>
      <c r="EA16" s="61"/>
      <c r="EB16" s="61"/>
      <c r="EC16" s="61"/>
      <c r="ED16" s="74"/>
      <c r="EE16" s="6"/>
      <c r="EF16" s="5"/>
      <c r="EG16" s="5"/>
      <c r="EH16" s="5"/>
      <c r="EI16" s="61"/>
      <c r="EJ16" s="61"/>
      <c r="EK16" s="61"/>
      <c r="EL16" s="61"/>
      <c r="EM16" s="61"/>
      <c r="EN16" s="61"/>
      <c r="EO16" s="61"/>
      <c r="EP16" s="68"/>
      <c r="EQ16" s="9"/>
      <c r="ER16" s="9"/>
      <c r="ES16" s="61"/>
      <c r="ET16" s="61"/>
      <c r="EU16" s="61"/>
      <c r="EV16" s="61"/>
      <c r="EW16" s="61"/>
      <c r="EX16" s="61"/>
      <c r="EY16" s="61"/>
      <c r="EZ16" s="61"/>
      <c r="FA16" s="61"/>
      <c r="FB16" s="61"/>
      <c r="FC16" s="61"/>
      <c r="FD16" s="61"/>
      <c r="FE16" s="61"/>
      <c r="FF16" s="61"/>
      <c r="FG16" s="61"/>
      <c r="FH16" s="61"/>
      <c r="FI16" s="61"/>
      <c r="FJ16" s="61"/>
      <c r="FK16" s="61"/>
      <c r="FL16" s="5"/>
      <c r="FM16" s="61"/>
      <c r="FN16" s="61"/>
      <c r="FO16" s="61"/>
      <c r="FP16" s="61"/>
      <c r="FQ16" s="61"/>
      <c r="FR16" s="61"/>
      <c r="FS16" s="61"/>
      <c r="FT16" s="61"/>
      <c r="FU16" s="61"/>
      <c r="FV16" s="61"/>
      <c r="FW16" s="61"/>
      <c r="FX16" s="61"/>
      <c r="FY16" s="61"/>
      <c r="FZ16" s="61"/>
      <c r="GA16" s="61"/>
      <c r="GB16" s="61"/>
      <c r="GC16" s="61"/>
      <c r="GD16" s="61"/>
      <c r="GE16" s="61"/>
      <c r="GF16" s="61"/>
      <c r="GG16" s="61"/>
      <c r="GH16" s="61"/>
      <c r="GI16" s="61"/>
      <c r="GJ16" s="61"/>
    </row>
    <row r="17" customFormat="1" ht="16.8" spans="1:192">
      <c r="A17" s="5"/>
      <c r="B17" s="64"/>
      <c r="C17" s="5"/>
      <c r="D17" s="61"/>
      <c r="E17" s="61"/>
      <c r="F17" s="62"/>
      <c r="G17" s="5"/>
      <c r="H17" s="5"/>
      <c r="I17" s="5"/>
      <c r="J17" s="5"/>
      <c r="K17" s="61"/>
      <c r="L17" s="67"/>
      <c r="M17" s="61"/>
      <c r="N17" s="61"/>
      <c r="O17" s="61"/>
      <c r="P17" s="61"/>
      <c r="Q17" s="61"/>
      <c r="R17" s="61"/>
      <c r="S17" s="61"/>
      <c r="T17" s="61"/>
      <c r="U17" s="61"/>
      <c r="V17" s="68"/>
      <c r="W17" s="7"/>
      <c r="X17" s="5"/>
      <c r="Y17" s="5"/>
      <c r="Z17" s="5"/>
      <c r="AA17" s="5"/>
      <c r="AB17" s="69"/>
      <c r="AC17" s="61"/>
      <c r="AD17" s="5"/>
      <c r="AE17" s="5"/>
      <c r="AF17" s="75"/>
      <c r="AG17" s="75"/>
      <c r="AH17" s="70"/>
      <c r="AI17" s="75"/>
      <c r="AJ17" s="75"/>
      <c r="AK17" s="75"/>
      <c r="AL17" s="61"/>
      <c r="AM17" s="61"/>
      <c r="AN17" s="61"/>
      <c r="AO17" s="61"/>
      <c r="AP17" s="61"/>
      <c r="AQ17" s="61"/>
      <c r="AR17" s="61"/>
      <c r="AS17" s="61"/>
      <c r="AT17" s="61"/>
      <c r="AU17" s="5"/>
      <c r="AV17" s="71"/>
      <c r="AW17" s="5"/>
      <c r="AX17" s="5"/>
      <c r="AY17" s="5"/>
      <c r="AZ17" s="69"/>
      <c r="BA17" s="69"/>
      <c r="BB17" s="69"/>
      <c r="BC17" s="5"/>
      <c r="BD17" s="61"/>
      <c r="BE17" s="61"/>
      <c r="BF17" s="63"/>
      <c r="BG17" s="67"/>
      <c r="BH17" s="67"/>
      <c r="BI17" s="67"/>
      <c r="BJ17" s="67"/>
      <c r="BK17" s="67"/>
      <c r="BL17" s="5"/>
      <c r="BM17" s="5"/>
      <c r="BN17" s="5"/>
      <c r="BO17" s="5"/>
      <c r="BP17" s="5"/>
      <c r="BQ17" s="5"/>
      <c r="BR17" s="5"/>
      <c r="BS17" s="5"/>
      <c r="BT17" s="61"/>
      <c r="BU17" s="61"/>
      <c r="BV17" s="61"/>
      <c r="BW17" s="61"/>
      <c r="BX17" s="61"/>
      <c r="BY17" s="61"/>
      <c r="BZ17" s="61"/>
      <c r="CA17" s="61"/>
      <c r="CB17" s="5"/>
      <c r="CC17" s="61"/>
      <c r="CD17" s="61"/>
      <c r="CE17" s="5"/>
      <c r="CF17" s="61"/>
      <c r="CG17" s="5"/>
      <c r="CH17" s="61"/>
      <c r="CI17" s="61"/>
      <c r="CJ17" s="61"/>
      <c r="CK17" s="61"/>
      <c r="CL17" s="61"/>
      <c r="CM17" s="69"/>
      <c r="CN17" s="5"/>
      <c r="CO17" s="61"/>
      <c r="CP17" s="61"/>
      <c r="CQ17" s="73"/>
      <c r="CR17" s="73"/>
      <c r="CS17" s="73"/>
      <c r="CT17" s="5"/>
      <c r="CU17" s="73"/>
      <c r="CV17" s="5"/>
      <c r="CW17" s="5"/>
      <c r="CX17" s="5"/>
      <c r="CY17" s="5"/>
      <c r="CZ17" s="5"/>
      <c r="DA17" s="5"/>
      <c r="DB17" s="5"/>
      <c r="DC17" s="61"/>
      <c r="DD17" s="61"/>
      <c r="DE17" s="61"/>
      <c r="DF17" s="61"/>
      <c r="DG17" s="61"/>
      <c r="DH17" s="61"/>
      <c r="DI17" s="61"/>
      <c r="DJ17" s="61"/>
      <c r="DK17" s="61"/>
      <c r="DL17" s="61"/>
      <c r="DM17" s="61"/>
      <c r="DN17" s="61"/>
      <c r="DO17" s="61"/>
      <c r="DP17" s="61"/>
      <c r="DQ17" s="61"/>
      <c r="DR17" s="61"/>
      <c r="DS17" s="61"/>
      <c r="DT17" s="61"/>
      <c r="DU17" s="61"/>
      <c r="DV17" s="61"/>
      <c r="DW17" s="61"/>
      <c r="DX17" s="61"/>
      <c r="DY17" s="61"/>
      <c r="DZ17" s="61"/>
      <c r="EA17" s="61"/>
      <c r="EB17" s="61"/>
      <c r="EC17" s="61"/>
      <c r="ED17" s="74"/>
      <c r="EE17" s="6"/>
      <c r="EF17" s="5"/>
      <c r="EG17" s="5"/>
      <c r="EH17" s="5"/>
      <c r="EI17" s="61"/>
      <c r="EJ17" s="61"/>
      <c r="EK17" s="61"/>
      <c r="EL17" s="61"/>
      <c r="EM17" s="61"/>
      <c r="EN17" s="61"/>
      <c r="EO17" s="61"/>
      <c r="EP17" s="68"/>
      <c r="EQ17" s="9"/>
      <c r="ER17" s="9"/>
      <c r="ES17" s="61"/>
      <c r="ET17" s="61"/>
      <c r="EU17" s="61"/>
      <c r="EV17" s="61"/>
      <c r="EW17" s="61"/>
      <c r="EX17" s="61"/>
      <c r="EY17" s="61"/>
      <c r="EZ17" s="61"/>
      <c r="FA17" s="61"/>
      <c r="FB17" s="61"/>
      <c r="FC17" s="61"/>
      <c r="FD17" s="61"/>
      <c r="FE17" s="61"/>
      <c r="FF17" s="61"/>
      <c r="FG17" s="61"/>
      <c r="FH17" s="61"/>
      <c r="FI17" s="61"/>
      <c r="FJ17" s="61"/>
      <c r="FK17" s="61"/>
      <c r="FL17" s="5"/>
      <c r="FM17" s="61"/>
      <c r="FN17" s="61"/>
      <c r="FO17" s="61"/>
      <c r="FP17" s="61"/>
      <c r="FQ17" s="61"/>
      <c r="FR17" s="61"/>
      <c r="FS17" s="61"/>
      <c r="FT17" s="61"/>
      <c r="FU17" s="61"/>
      <c r="FV17" s="61"/>
      <c r="FW17" s="61"/>
      <c r="FX17" s="61"/>
      <c r="FY17" s="61"/>
      <c r="FZ17" s="61"/>
      <c r="GA17" s="61"/>
      <c r="GB17" s="61"/>
      <c r="GC17" s="61"/>
      <c r="GD17" s="61"/>
      <c r="GE17" s="61"/>
      <c r="GF17" s="61"/>
      <c r="GG17" s="61"/>
      <c r="GH17" s="61"/>
      <c r="GI17" s="61"/>
      <c r="GJ17" s="61"/>
    </row>
    <row r="18" customFormat="1" ht="16.8" spans="1:192">
      <c r="A18" s="5"/>
      <c r="B18" s="64"/>
      <c r="C18" s="5"/>
      <c r="D18" s="61"/>
      <c r="E18" s="61"/>
      <c r="F18" s="62"/>
      <c r="G18" s="5"/>
      <c r="H18" s="5"/>
      <c r="I18" s="5"/>
      <c r="J18" s="5"/>
      <c r="K18" s="61"/>
      <c r="L18" s="67"/>
      <c r="M18" s="61"/>
      <c r="N18" s="61"/>
      <c r="O18" s="61"/>
      <c r="P18" s="61"/>
      <c r="Q18" s="61"/>
      <c r="R18" s="61"/>
      <c r="S18" s="61"/>
      <c r="T18" s="61"/>
      <c r="U18" s="61"/>
      <c r="V18" s="68"/>
      <c r="W18" s="7"/>
      <c r="X18" s="5"/>
      <c r="Y18" s="5"/>
      <c r="Z18" s="5"/>
      <c r="AA18" s="5"/>
      <c r="AB18" s="69"/>
      <c r="AC18" s="61"/>
      <c r="AD18" s="5"/>
      <c r="AE18" s="5"/>
      <c r="AF18" s="75"/>
      <c r="AG18" s="75"/>
      <c r="AH18" s="70"/>
      <c r="AI18" s="75"/>
      <c r="AJ18" s="75"/>
      <c r="AK18" s="75"/>
      <c r="AL18" s="61"/>
      <c r="AM18" s="61"/>
      <c r="AN18" s="61"/>
      <c r="AO18" s="61"/>
      <c r="AP18" s="61"/>
      <c r="AQ18" s="61"/>
      <c r="AR18" s="61"/>
      <c r="AS18" s="61"/>
      <c r="AT18" s="61"/>
      <c r="AU18" s="5"/>
      <c r="AV18" s="71"/>
      <c r="AW18" s="5"/>
      <c r="AX18" s="5"/>
      <c r="AY18" s="5"/>
      <c r="AZ18" s="69"/>
      <c r="BA18" s="69"/>
      <c r="BB18" s="69"/>
      <c r="BC18" s="5"/>
      <c r="BD18" s="61"/>
      <c r="BE18" s="61"/>
      <c r="BF18" s="63"/>
      <c r="BG18" s="67"/>
      <c r="BH18" s="67"/>
      <c r="BI18" s="67"/>
      <c r="BJ18" s="67"/>
      <c r="BK18" s="67"/>
      <c r="BL18" s="5"/>
      <c r="BM18" s="5"/>
      <c r="BN18" s="5"/>
      <c r="BO18" s="5"/>
      <c r="BP18" s="5"/>
      <c r="BQ18" s="5"/>
      <c r="BR18" s="5"/>
      <c r="BS18" s="5"/>
      <c r="BT18" s="61"/>
      <c r="BU18" s="61"/>
      <c r="BV18" s="61"/>
      <c r="BW18" s="61"/>
      <c r="BX18" s="61"/>
      <c r="BY18" s="61"/>
      <c r="BZ18" s="61"/>
      <c r="CA18" s="61"/>
      <c r="CB18" s="5"/>
      <c r="CC18" s="61"/>
      <c r="CD18" s="61"/>
      <c r="CE18" s="5"/>
      <c r="CF18" s="61"/>
      <c r="CG18" s="5"/>
      <c r="CH18" s="61"/>
      <c r="CI18" s="61"/>
      <c r="CJ18" s="61"/>
      <c r="CK18" s="61"/>
      <c r="CL18" s="61"/>
      <c r="CM18" s="69"/>
      <c r="CN18" s="5"/>
      <c r="CO18" s="61"/>
      <c r="CP18" s="61"/>
      <c r="CQ18" s="73"/>
      <c r="CR18" s="73"/>
      <c r="CS18" s="73"/>
      <c r="CT18" s="5"/>
      <c r="CU18" s="73"/>
      <c r="CV18" s="5"/>
      <c r="CW18" s="5"/>
      <c r="CX18" s="5"/>
      <c r="CY18" s="5"/>
      <c r="CZ18" s="5"/>
      <c r="DA18" s="5"/>
      <c r="DB18" s="5"/>
      <c r="DC18" s="61"/>
      <c r="DD18" s="61"/>
      <c r="DE18" s="61"/>
      <c r="DF18" s="61"/>
      <c r="DG18" s="61"/>
      <c r="DH18" s="61"/>
      <c r="DI18" s="61"/>
      <c r="DJ18" s="61"/>
      <c r="DK18" s="61"/>
      <c r="DL18" s="61"/>
      <c r="DM18" s="61"/>
      <c r="DN18" s="61"/>
      <c r="DO18" s="61"/>
      <c r="DP18" s="61"/>
      <c r="DQ18" s="61"/>
      <c r="DR18" s="61"/>
      <c r="DS18" s="61"/>
      <c r="DT18" s="61"/>
      <c r="DU18" s="61"/>
      <c r="DV18" s="61"/>
      <c r="DW18" s="61"/>
      <c r="DX18" s="61"/>
      <c r="DY18" s="61"/>
      <c r="DZ18" s="61"/>
      <c r="EA18" s="61"/>
      <c r="EB18" s="61"/>
      <c r="EC18" s="61"/>
      <c r="ED18" s="74"/>
      <c r="EE18" s="6"/>
      <c r="EF18" s="5"/>
      <c r="EG18" s="5"/>
      <c r="EH18" s="5"/>
      <c r="EI18" s="61"/>
      <c r="EJ18" s="61"/>
      <c r="EK18" s="61"/>
      <c r="EL18" s="61"/>
      <c r="EM18" s="61"/>
      <c r="EN18" s="61"/>
      <c r="EO18" s="61"/>
      <c r="EP18" s="68"/>
      <c r="EQ18" s="9"/>
      <c r="ER18" s="9"/>
      <c r="ES18" s="61"/>
      <c r="ET18" s="61"/>
      <c r="EU18" s="61"/>
      <c r="EV18" s="61"/>
      <c r="EW18" s="61"/>
      <c r="EX18" s="61"/>
      <c r="EY18" s="61"/>
      <c r="EZ18" s="61"/>
      <c r="FA18" s="61"/>
      <c r="FB18" s="61"/>
      <c r="FC18" s="61"/>
      <c r="FD18" s="61"/>
      <c r="FE18" s="61"/>
      <c r="FF18" s="61"/>
      <c r="FG18" s="61"/>
      <c r="FH18" s="61"/>
      <c r="FI18" s="61"/>
      <c r="FJ18" s="61"/>
      <c r="FK18" s="61"/>
      <c r="FL18" s="5"/>
      <c r="FM18" s="61"/>
      <c r="FN18" s="61"/>
      <c r="FO18" s="61"/>
      <c r="FP18" s="61"/>
      <c r="FQ18" s="61"/>
      <c r="FR18" s="61"/>
      <c r="FS18" s="61"/>
      <c r="FT18" s="61"/>
      <c r="FU18" s="61"/>
      <c r="FV18" s="61"/>
      <c r="FW18" s="61"/>
      <c r="FX18" s="61"/>
      <c r="FY18" s="61"/>
      <c r="FZ18" s="61"/>
      <c r="GA18" s="61"/>
      <c r="GB18" s="61"/>
      <c r="GC18" s="61"/>
      <c r="GD18" s="61"/>
      <c r="GE18" s="61"/>
      <c r="GF18" s="61"/>
      <c r="GG18" s="61"/>
      <c r="GH18" s="61"/>
      <c r="GI18" s="61"/>
      <c r="GJ18" s="61"/>
    </row>
    <row r="19" customFormat="1" ht="16.8" spans="1:192">
      <c r="A19" s="5"/>
      <c r="B19" s="64"/>
      <c r="C19" s="5"/>
      <c r="D19" s="61"/>
      <c r="E19" s="61"/>
      <c r="F19" s="62"/>
      <c r="G19" s="5"/>
      <c r="H19" s="5"/>
      <c r="I19" s="5"/>
      <c r="J19" s="5"/>
      <c r="K19" s="61"/>
      <c r="L19" s="67"/>
      <c r="M19" s="61"/>
      <c r="N19" s="61"/>
      <c r="O19" s="61"/>
      <c r="P19" s="61"/>
      <c r="Q19" s="61"/>
      <c r="R19" s="61"/>
      <c r="S19" s="61"/>
      <c r="T19" s="61"/>
      <c r="U19" s="61"/>
      <c r="V19" s="68"/>
      <c r="W19" s="7"/>
      <c r="X19" s="5"/>
      <c r="Y19" s="5"/>
      <c r="Z19" s="5"/>
      <c r="AA19" s="5"/>
      <c r="AB19" s="69"/>
      <c r="AC19" s="61"/>
      <c r="AD19" s="5"/>
      <c r="AE19" s="5"/>
      <c r="AF19" s="75"/>
      <c r="AG19" s="75"/>
      <c r="AH19" s="70"/>
      <c r="AI19" s="75"/>
      <c r="AJ19" s="75"/>
      <c r="AK19" s="75"/>
      <c r="AL19" s="61"/>
      <c r="AM19" s="61"/>
      <c r="AN19" s="61"/>
      <c r="AO19" s="61"/>
      <c r="AP19" s="61"/>
      <c r="AQ19" s="61"/>
      <c r="AR19" s="61"/>
      <c r="AS19" s="61"/>
      <c r="AT19" s="61"/>
      <c r="AU19" s="5"/>
      <c r="AV19" s="71"/>
      <c r="AW19" s="5"/>
      <c r="AX19" s="5"/>
      <c r="AY19" s="5"/>
      <c r="AZ19" s="69"/>
      <c r="BA19" s="69"/>
      <c r="BB19" s="69"/>
      <c r="BC19" s="5"/>
      <c r="BD19" s="61"/>
      <c r="BE19" s="61"/>
      <c r="BF19" s="63"/>
      <c r="BG19" s="67"/>
      <c r="BH19" s="67"/>
      <c r="BI19" s="67"/>
      <c r="BJ19" s="67"/>
      <c r="BK19" s="67"/>
      <c r="BL19" s="5"/>
      <c r="BM19" s="5"/>
      <c r="BN19" s="5"/>
      <c r="BO19" s="5"/>
      <c r="BP19" s="5"/>
      <c r="BQ19" s="5"/>
      <c r="BR19" s="5"/>
      <c r="BS19" s="5"/>
      <c r="BT19" s="61"/>
      <c r="BU19" s="61"/>
      <c r="BV19" s="61"/>
      <c r="BW19" s="61"/>
      <c r="BX19" s="61"/>
      <c r="BY19" s="61"/>
      <c r="BZ19" s="61"/>
      <c r="CA19" s="61"/>
      <c r="CB19" s="5"/>
      <c r="CC19" s="61"/>
      <c r="CD19" s="61"/>
      <c r="CE19" s="5"/>
      <c r="CF19" s="61"/>
      <c r="CG19" s="5"/>
      <c r="CH19" s="61"/>
      <c r="CI19" s="61"/>
      <c r="CJ19" s="61"/>
      <c r="CK19" s="61"/>
      <c r="CL19" s="61"/>
      <c r="CM19" s="69"/>
      <c r="CN19" s="5"/>
      <c r="CO19" s="61"/>
      <c r="CP19" s="61"/>
      <c r="CQ19" s="73"/>
      <c r="CR19" s="73"/>
      <c r="CS19" s="73"/>
      <c r="CT19" s="5"/>
      <c r="CU19" s="73"/>
      <c r="CV19" s="5"/>
      <c r="CW19" s="5"/>
      <c r="CX19" s="5"/>
      <c r="CY19" s="5"/>
      <c r="CZ19" s="5"/>
      <c r="DA19" s="5"/>
      <c r="DB19" s="5"/>
      <c r="DC19" s="61"/>
      <c r="DD19" s="61"/>
      <c r="DE19" s="61"/>
      <c r="DF19" s="61"/>
      <c r="DG19" s="61"/>
      <c r="DH19" s="61"/>
      <c r="DI19" s="61"/>
      <c r="DJ19" s="61"/>
      <c r="DK19" s="61"/>
      <c r="DL19" s="61"/>
      <c r="DM19" s="61"/>
      <c r="DN19" s="61"/>
      <c r="DO19" s="61"/>
      <c r="DP19" s="61"/>
      <c r="DQ19" s="61"/>
      <c r="DR19" s="61"/>
      <c r="DS19" s="61"/>
      <c r="DT19" s="61"/>
      <c r="DU19" s="61"/>
      <c r="DV19" s="61"/>
      <c r="DW19" s="61"/>
      <c r="DX19" s="61"/>
      <c r="DY19" s="61"/>
      <c r="DZ19" s="61"/>
      <c r="EA19" s="61"/>
      <c r="EB19" s="61"/>
      <c r="EC19" s="61"/>
      <c r="ED19" s="74"/>
      <c r="EE19" s="6"/>
      <c r="EF19" s="5"/>
      <c r="EG19" s="5"/>
      <c r="EH19" s="5"/>
      <c r="EI19" s="61"/>
      <c r="EJ19" s="61"/>
      <c r="EK19" s="61"/>
      <c r="EL19" s="61"/>
      <c r="EM19" s="61"/>
      <c r="EN19" s="61"/>
      <c r="EO19" s="61"/>
      <c r="EP19" s="68"/>
      <c r="EQ19" s="9"/>
      <c r="ER19" s="9"/>
      <c r="ES19" s="61"/>
      <c r="ET19" s="61"/>
      <c r="EU19" s="61"/>
      <c r="EV19" s="61"/>
      <c r="EW19" s="61"/>
      <c r="EX19" s="61"/>
      <c r="EY19" s="61"/>
      <c r="EZ19" s="61"/>
      <c r="FA19" s="61"/>
      <c r="FB19" s="61"/>
      <c r="FC19" s="61"/>
      <c r="FD19" s="61"/>
      <c r="FE19" s="61"/>
      <c r="FF19" s="61"/>
      <c r="FG19" s="61"/>
      <c r="FH19" s="61"/>
      <c r="FI19" s="61"/>
      <c r="FJ19" s="61"/>
      <c r="FK19" s="61"/>
      <c r="FL19" s="5"/>
      <c r="FM19" s="61"/>
      <c r="FN19" s="61"/>
      <c r="FO19" s="61"/>
      <c r="FP19" s="61"/>
      <c r="FQ19" s="61"/>
      <c r="FR19" s="61"/>
      <c r="FS19" s="61"/>
      <c r="FT19" s="61"/>
      <c r="FU19" s="61"/>
      <c r="FV19" s="61"/>
      <c r="FW19" s="61"/>
      <c r="FX19" s="61"/>
      <c r="FY19" s="61"/>
      <c r="FZ19" s="61"/>
      <c r="GA19" s="61"/>
      <c r="GB19" s="61"/>
      <c r="GC19" s="61"/>
      <c r="GD19" s="61"/>
      <c r="GE19" s="61"/>
      <c r="GF19" s="61"/>
      <c r="GG19" s="61"/>
      <c r="GH19" s="61"/>
      <c r="GI19" s="61"/>
      <c r="GJ19" s="61"/>
    </row>
    <row r="20" customFormat="1" ht="16.8" spans="1:192">
      <c r="A20" s="5"/>
      <c r="B20" s="64"/>
      <c r="C20" s="5"/>
      <c r="D20" s="61"/>
      <c r="E20" s="61"/>
      <c r="F20" s="62"/>
      <c r="G20" s="5"/>
      <c r="H20" s="5"/>
      <c r="I20" s="5"/>
      <c r="J20" s="5"/>
      <c r="K20" s="61"/>
      <c r="L20" s="67"/>
      <c r="M20" s="61"/>
      <c r="N20" s="61"/>
      <c r="O20" s="61"/>
      <c r="P20" s="61"/>
      <c r="Q20" s="61"/>
      <c r="R20" s="61"/>
      <c r="S20" s="61"/>
      <c r="T20" s="61"/>
      <c r="U20" s="61"/>
      <c r="V20" s="68"/>
      <c r="W20" s="7"/>
      <c r="X20" s="5"/>
      <c r="Y20" s="5"/>
      <c r="Z20" s="5"/>
      <c r="AA20" s="5"/>
      <c r="AB20" s="69"/>
      <c r="AC20" s="61"/>
      <c r="AD20" s="5"/>
      <c r="AE20" s="5"/>
      <c r="AF20" s="75"/>
      <c r="AG20" s="75"/>
      <c r="AH20" s="70"/>
      <c r="AI20" s="75"/>
      <c r="AJ20" s="75"/>
      <c r="AK20" s="75"/>
      <c r="AL20" s="61"/>
      <c r="AM20" s="61"/>
      <c r="AN20" s="61"/>
      <c r="AO20" s="61"/>
      <c r="AP20" s="61"/>
      <c r="AQ20" s="61"/>
      <c r="AR20" s="61"/>
      <c r="AS20" s="61"/>
      <c r="AT20" s="61"/>
      <c r="AU20" s="5"/>
      <c r="AV20" s="71"/>
      <c r="AW20" s="5"/>
      <c r="AX20" s="5"/>
      <c r="AY20" s="5"/>
      <c r="AZ20" s="69"/>
      <c r="BA20" s="69"/>
      <c r="BB20" s="69"/>
      <c r="BC20" s="5"/>
      <c r="BD20" s="61"/>
      <c r="BE20" s="61"/>
      <c r="BF20" s="63"/>
      <c r="BG20" s="67"/>
      <c r="BH20" s="67"/>
      <c r="BI20" s="67"/>
      <c r="BJ20" s="67"/>
      <c r="BK20" s="67"/>
      <c r="BL20" s="5"/>
      <c r="BM20" s="5"/>
      <c r="BN20" s="5"/>
      <c r="BO20" s="5"/>
      <c r="BP20" s="5"/>
      <c r="BQ20" s="5"/>
      <c r="BR20" s="5"/>
      <c r="BS20" s="5"/>
      <c r="BT20" s="61"/>
      <c r="BU20" s="61"/>
      <c r="BV20" s="61"/>
      <c r="BW20" s="61"/>
      <c r="BX20" s="61"/>
      <c r="BY20" s="61"/>
      <c r="BZ20" s="61"/>
      <c r="CA20" s="61"/>
      <c r="CB20" s="5"/>
      <c r="CC20" s="61"/>
      <c r="CD20" s="61"/>
      <c r="CE20" s="5"/>
      <c r="CF20" s="61"/>
      <c r="CG20" s="5"/>
      <c r="CH20" s="61"/>
      <c r="CI20" s="61"/>
      <c r="CJ20" s="61"/>
      <c r="CK20" s="61"/>
      <c r="CL20" s="61"/>
      <c r="CM20" s="69"/>
      <c r="CN20" s="5"/>
      <c r="CO20" s="61"/>
      <c r="CP20" s="61"/>
      <c r="CQ20" s="73"/>
      <c r="CR20" s="73"/>
      <c r="CS20" s="73"/>
      <c r="CT20" s="5"/>
      <c r="CU20" s="73"/>
      <c r="CV20" s="5"/>
      <c r="CW20" s="5"/>
      <c r="CX20" s="5"/>
      <c r="CY20" s="5"/>
      <c r="CZ20" s="5"/>
      <c r="DA20" s="5"/>
      <c r="DB20" s="5"/>
      <c r="DC20" s="61"/>
      <c r="DD20" s="61"/>
      <c r="DE20" s="61"/>
      <c r="DF20" s="61"/>
      <c r="DG20" s="61"/>
      <c r="DH20" s="61"/>
      <c r="DI20" s="61"/>
      <c r="DJ20" s="61"/>
      <c r="DK20" s="61"/>
      <c r="DL20" s="61"/>
      <c r="DM20" s="61"/>
      <c r="DN20" s="61"/>
      <c r="DO20" s="61"/>
      <c r="DP20" s="61"/>
      <c r="DQ20" s="61"/>
      <c r="DR20" s="61"/>
      <c r="DS20" s="61"/>
      <c r="DT20" s="61"/>
      <c r="DU20" s="61"/>
      <c r="DV20" s="61"/>
      <c r="DW20" s="61"/>
      <c r="DX20" s="61"/>
      <c r="DY20" s="61"/>
      <c r="DZ20" s="61"/>
      <c r="EA20" s="61"/>
      <c r="EB20" s="61"/>
      <c r="EC20" s="61"/>
      <c r="ED20" s="74"/>
      <c r="EE20" s="6"/>
      <c r="EF20" s="5"/>
      <c r="EG20" s="5"/>
      <c r="EH20" s="5"/>
      <c r="EI20" s="61"/>
      <c r="EJ20" s="61"/>
      <c r="EK20" s="61"/>
      <c r="EL20" s="61"/>
      <c r="EM20" s="61"/>
      <c r="EN20" s="61"/>
      <c r="EO20" s="61"/>
      <c r="EP20" s="68"/>
      <c r="EQ20" s="9"/>
      <c r="ER20" s="9"/>
      <c r="ES20" s="61"/>
      <c r="ET20" s="61"/>
      <c r="EU20" s="61"/>
      <c r="EV20" s="61"/>
      <c r="EW20" s="61"/>
      <c r="EX20" s="61"/>
      <c r="EY20" s="61"/>
      <c r="EZ20" s="61"/>
      <c r="FA20" s="61"/>
      <c r="FB20" s="61"/>
      <c r="FC20" s="61"/>
      <c r="FD20" s="61"/>
      <c r="FE20" s="61"/>
      <c r="FF20" s="61"/>
      <c r="FG20" s="61"/>
      <c r="FH20" s="61"/>
      <c r="FI20" s="61"/>
      <c r="FJ20" s="61"/>
      <c r="FK20" s="61"/>
      <c r="FL20" s="5"/>
      <c r="FM20" s="61"/>
      <c r="FN20" s="61"/>
      <c r="FO20" s="61"/>
      <c r="FP20" s="61"/>
      <c r="FQ20" s="61"/>
      <c r="FR20" s="61"/>
      <c r="FS20" s="61"/>
      <c r="FT20" s="61"/>
      <c r="FU20" s="61"/>
      <c r="FV20" s="61"/>
      <c r="FW20" s="61"/>
      <c r="FX20" s="61"/>
      <c r="FY20" s="61"/>
      <c r="FZ20" s="61"/>
      <c r="GA20" s="61"/>
      <c r="GB20" s="61"/>
      <c r="GC20" s="61"/>
      <c r="GD20" s="61"/>
      <c r="GE20" s="61"/>
      <c r="GF20" s="61"/>
      <c r="GG20" s="61"/>
      <c r="GH20" s="61"/>
      <c r="GI20" s="61"/>
      <c r="GJ20" s="61"/>
    </row>
    <row r="21" customFormat="1" ht="16.8" spans="1:192">
      <c r="A21" s="5"/>
      <c r="B21" s="64"/>
      <c r="C21" s="5"/>
      <c r="D21" s="61"/>
      <c r="E21" s="61"/>
      <c r="F21" s="62"/>
      <c r="G21" s="5"/>
      <c r="H21" s="5"/>
      <c r="I21" s="5"/>
      <c r="J21" s="5"/>
      <c r="K21" s="61"/>
      <c r="L21" s="67"/>
      <c r="M21" s="61"/>
      <c r="N21" s="61"/>
      <c r="O21" s="61"/>
      <c r="P21" s="61"/>
      <c r="Q21" s="61"/>
      <c r="R21" s="61"/>
      <c r="S21" s="61"/>
      <c r="T21" s="61"/>
      <c r="U21" s="61"/>
      <c r="V21" s="68"/>
      <c r="W21" s="7"/>
      <c r="X21" s="5"/>
      <c r="Y21" s="5"/>
      <c r="Z21" s="5"/>
      <c r="AA21" s="5"/>
      <c r="AB21" s="69"/>
      <c r="AC21" s="61"/>
      <c r="AD21" s="5"/>
      <c r="AE21" s="5"/>
      <c r="AF21" s="75"/>
      <c r="AG21" s="75"/>
      <c r="AH21" s="70"/>
      <c r="AI21" s="75"/>
      <c r="AJ21" s="75"/>
      <c r="AK21" s="75"/>
      <c r="AL21" s="61"/>
      <c r="AM21" s="61"/>
      <c r="AN21" s="61"/>
      <c r="AO21" s="61"/>
      <c r="AP21" s="61"/>
      <c r="AQ21" s="61"/>
      <c r="AR21" s="61"/>
      <c r="AS21" s="61"/>
      <c r="AT21" s="61"/>
      <c r="AU21" s="5"/>
      <c r="AV21" s="71"/>
      <c r="AW21" s="5"/>
      <c r="AX21" s="5"/>
      <c r="AY21" s="5"/>
      <c r="AZ21" s="69"/>
      <c r="BA21" s="69"/>
      <c r="BB21" s="69"/>
      <c r="BC21" s="5"/>
      <c r="BD21" s="61"/>
      <c r="BE21" s="61"/>
      <c r="BF21" s="63"/>
      <c r="BG21" s="67"/>
      <c r="BH21" s="67"/>
      <c r="BI21" s="67"/>
      <c r="BJ21" s="67"/>
      <c r="BK21" s="67"/>
      <c r="BL21" s="5"/>
      <c r="BM21" s="5"/>
      <c r="BN21" s="5"/>
      <c r="BO21" s="5"/>
      <c r="BP21" s="5"/>
      <c r="BQ21" s="5"/>
      <c r="BR21" s="5"/>
      <c r="BS21" s="5"/>
      <c r="BT21" s="61"/>
      <c r="BU21" s="61"/>
      <c r="BV21" s="61"/>
      <c r="BW21" s="61"/>
      <c r="BX21" s="61"/>
      <c r="BY21" s="61"/>
      <c r="BZ21" s="61"/>
      <c r="CA21" s="61"/>
      <c r="CB21" s="5"/>
      <c r="CC21" s="61"/>
      <c r="CD21" s="61"/>
      <c r="CE21" s="5"/>
      <c r="CF21" s="61"/>
      <c r="CG21" s="5"/>
      <c r="CH21" s="61"/>
      <c r="CI21" s="61"/>
      <c r="CJ21" s="61"/>
      <c r="CK21" s="61"/>
      <c r="CL21" s="61"/>
      <c r="CM21" s="69"/>
      <c r="CN21" s="5"/>
      <c r="CO21" s="61"/>
      <c r="CP21" s="61"/>
      <c r="CQ21" s="73"/>
      <c r="CR21" s="73"/>
      <c r="CS21" s="73"/>
      <c r="CT21" s="5"/>
      <c r="CU21" s="73"/>
      <c r="CV21" s="5"/>
      <c r="CW21" s="5"/>
      <c r="CX21" s="5"/>
      <c r="CY21" s="5"/>
      <c r="CZ21" s="5"/>
      <c r="DA21" s="5"/>
      <c r="DB21" s="5"/>
      <c r="DC21" s="61"/>
      <c r="DD21" s="61"/>
      <c r="DE21" s="61"/>
      <c r="DF21" s="61"/>
      <c r="DG21" s="61"/>
      <c r="DH21" s="61"/>
      <c r="DI21" s="61"/>
      <c r="DJ21" s="61"/>
      <c r="DK21" s="61"/>
      <c r="DL21" s="61"/>
      <c r="DM21" s="61"/>
      <c r="DN21" s="61"/>
      <c r="DO21" s="61"/>
      <c r="DP21" s="61"/>
      <c r="DQ21" s="61"/>
      <c r="DR21" s="61"/>
      <c r="DS21" s="61"/>
      <c r="DT21" s="61"/>
      <c r="DU21" s="61"/>
      <c r="DV21" s="61"/>
      <c r="DW21" s="61"/>
      <c r="DX21" s="61"/>
      <c r="DY21" s="61"/>
      <c r="DZ21" s="61"/>
      <c r="EA21" s="61"/>
      <c r="EB21" s="61"/>
      <c r="EC21" s="61"/>
      <c r="ED21" s="74"/>
      <c r="EE21" s="6"/>
      <c r="EF21" s="5"/>
      <c r="EG21" s="5"/>
      <c r="EH21" s="5"/>
      <c r="EI21" s="61"/>
      <c r="EJ21" s="61"/>
      <c r="EK21" s="61"/>
      <c r="EL21" s="61"/>
      <c r="EM21" s="61"/>
      <c r="EN21" s="61"/>
      <c r="EO21" s="61"/>
      <c r="EP21" s="68"/>
      <c r="EQ21" s="9"/>
      <c r="ER21" s="9"/>
      <c r="ES21" s="61"/>
      <c r="ET21" s="61"/>
      <c r="EU21" s="61"/>
      <c r="EV21" s="61"/>
      <c r="EW21" s="61"/>
      <c r="EX21" s="61"/>
      <c r="EY21" s="61"/>
      <c r="EZ21" s="61"/>
      <c r="FA21" s="61"/>
      <c r="FB21" s="61"/>
      <c r="FC21" s="61"/>
      <c r="FD21" s="61"/>
      <c r="FE21" s="61"/>
      <c r="FF21" s="61"/>
      <c r="FG21" s="61"/>
      <c r="FH21" s="61"/>
      <c r="FI21" s="61"/>
      <c r="FJ21" s="61"/>
      <c r="FK21" s="61"/>
      <c r="FL21" s="5"/>
      <c r="FM21" s="61"/>
      <c r="FN21" s="61"/>
      <c r="FO21" s="61"/>
      <c r="FP21" s="61"/>
      <c r="FQ21" s="61"/>
      <c r="FR21" s="61"/>
      <c r="FS21" s="61"/>
      <c r="FT21" s="61"/>
      <c r="FU21" s="61"/>
      <c r="FV21" s="61"/>
      <c r="FW21" s="61"/>
      <c r="FX21" s="61"/>
      <c r="FY21" s="61"/>
      <c r="FZ21" s="61"/>
      <c r="GA21" s="61"/>
      <c r="GB21" s="61"/>
      <c r="GC21" s="61"/>
      <c r="GD21" s="61"/>
      <c r="GE21" s="61"/>
      <c r="GF21" s="61"/>
      <c r="GG21" s="61"/>
      <c r="GH21" s="61"/>
      <c r="GI21" s="61"/>
      <c r="GJ21" s="61"/>
    </row>
    <row r="22" customFormat="1" ht="16.8" spans="1:192">
      <c r="A22" s="5"/>
      <c r="B22" s="64"/>
      <c r="C22" s="5"/>
      <c r="D22" s="61"/>
      <c r="E22" s="61"/>
      <c r="F22" s="62"/>
      <c r="G22" s="5"/>
      <c r="H22" s="5"/>
      <c r="I22" s="5"/>
      <c r="J22" s="5"/>
      <c r="K22" s="61"/>
      <c r="L22" s="67"/>
      <c r="M22" s="61"/>
      <c r="N22" s="61"/>
      <c r="O22" s="61"/>
      <c r="P22" s="61"/>
      <c r="Q22" s="61"/>
      <c r="R22" s="61"/>
      <c r="S22" s="61"/>
      <c r="T22" s="61"/>
      <c r="U22" s="61"/>
      <c r="V22" s="68"/>
      <c r="W22" s="7"/>
      <c r="X22" s="5"/>
      <c r="Y22" s="5"/>
      <c r="Z22" s="5"/>
      <c r="AA22" s="5"/>
      <c r="AB22" s="69"/>
      <c r="AC22" s="61"/>
      <c r="AD22" s="5"/>
      <c r="AE22" s="5"/>
      <c r="AF22" s="75"/>
      <c r="AG22" s="75"/>
      <c r="AH22" s="70"/>
      <c r="AI22" s="75"/>
      <c r="AJ22" s="75"/>
      <c r="AK22" s="75"/>
      <c r="AL22" s="61"/>
      <c r="AM22" s="61"/>
      <c r="AN22" s="61"/>
      <c r="AO22" s="61"/>
      <c r="AP22" s="61"/>
      <c r="AQ22" s="61"/>
      <c r="AR22" s="61"/>
      <c r="AS22" s="61"/>
      <c r="AT22" s="61"/>
      <c r="AU22" s="5"/>
      <c r="AV22" s="71"/>
      <c r="AW22" s="5"/>
      <c r="AX22" s="5"/>
      <c r="AY22" s="5"/>
      <c r="AZ22" s="69"/>
      <c r="BA22" s="69"/>
      <c r="BB22" s="69"/>
      <c r="BC22" s="5"/>
      <c r="BD22" s="61"/>
      <c r="BE22" s="61"/>
      <c r="BF22" s="63"/>
      <c r="BG22" s="67"/>
      <c r="BH22" s="67"/>
      <c r="BI22" s="67"/>
      <c r="BJ22" s="67"/>
      <c r="BK22" s="67"/>
      <c r="BL22" s="5"/>
      <c r="BM22" s="5"/>
      <c r="BN22" s="5"/>
      <c r="BO22" s="5"/>
      <c r="BP22" s="5"/>
      <c r="BQ22" s="5"/>
      <c r="BR22" s="5"/>
      <c r="BS22" s="5"/>
      <c r="BT22" s="61"/>
      <c r="BU22" s="61"/>
      <c r="BV22" s="61"/>
      <c r="BW22" s="61"/>
      <c r="BX22" s="61"/>
      <c r="BY22" s="61"/>
      <c r="BZ22" s="61"/>
      <c r="CA22" s="61"/>
      <c r="CB22" s="5"/>
      <c r="CC22" s="61"/>
      <c r="CD22" s="61"/>
      <c r="CE22" s="5"/>
      <c r="CF22" s="61"/>
      <c r="CG22" s="5"/>
      <c r="CH22" s="61"/>
      <c r="CI22" s="61"/>
      <c r="CJ22" s="61"/>
      <c r="CK22" s="61"/>
      <c r="CL22" s="61"/>
      <c r="CM22" s="69"/>
      <c r="CN22" s="5"/>
      <c r="CO22" s="61"/>
      <c r="CP22" s="61"/>
      <c r="CQ22" s="73"/>
      <c r="CR22" s="73"/>
      <c r="CS22" s="73"/>
      <c r="CT22" s="5"/>
      <c r="CU22" s="73"/>
      <c r="CV22" s="5"/>
      <c r="CW22" s="5"/>
      <c r="CX22" s="5"/>
      <c r="CY22" s="5"/>
      <c r="CZ22" s="5"/>
      <c r="DA22" s="5"/>
      <c r="DB22" s="5"/>
      <c r="DC22" s="61"/>
      <c r="DD22" s="61"/>
      <c r="DE22" s="61"/>
      <c r="DF22" s="61"/>
      <c r="DG22" s="61"/>
      <c r="DH22" s="61"/>
      <c r="DI22" s="61"/>
      <c r="DJ22" s="61"/>
      <c r="DK22" s="61"/>
      <c r="DL22" s="61"/>
      <c r="DM22" s="61"/>
      <c r="DN22" s="61"/>
      <c r="DO22" s="61"/>
      <c r="DP22" s="61"/>
      <c r="DQ22" s="61"/>
      <c r="DR22" s="61"/>
      <c r="DS22" s="61"/>
      <c r="DT22" s="61"/>
      <c r="DU22" s="61"/>
      <c r="DV22" s="61"/>
      <c r="DW22" s="61"/>
      <c r="DX22" s="61"/>
      <c r="DY22" s="61"/>
      <c r="DZ22" s="61"/>
      <c r="EA22" s="61"/>
      <c r="EB22" s="61"/>
      <c r="EC22" s="61"/>
      <c r="ED22" s="74"/>
      <c r="EE22" s="6"/>
      <c r="EF22" s="5"/>
      <c r="EG22" s="5"/>
      <c r="EH22" s="5"/>
      <c r="EI22" s="61"/>
      <c r="EJ22" s="61"/>
      <c r="EK22" s="61"/>
      <c r="EL22" s="61"/>
      <c r="EM22" s="61"/>
      <c r="EN22" s="61"/>
      <c r="EO22" s="61"/>
      <c r="EP22" s="68"/>
      <c r="EQ22" s="9"/>
      <c r="ER22" s="9"/>
      <c r="ES22" s="61"/>
      <c r="ET22" s="61"/>
      <c r="EU22" s="61"/>
      <c r="EV22" s="61"/>
      <c r="EW22" s="61"/>
      <c r="EX22" s="61"/>
      <c r="EY22" s="61"/>
      <c r="EZ22" s="61"/>
      <c r="FA22" s="61"/>
      <c r="FB22" s="61"/>
      <c r="FC22" s="61"/>
      <c r="FD22" s="61"/>
      <c r="FE22" s="61"/>
      <c r="FF22" s="61"/>
      <c r="FG22" s="61"/>
      <c r="FH22" s="61"/>
      <c r="FI22" s="61"/>
      <c r="FJ22" s="61"/>
      <c r="FK22" s="61"/>
      <c r="FL22" s="5"/>
      <c r="FM22" s="61"/>
      <c r="FN22" s="61"/>
      <c r="FO22" s="61"/>
      <c r="FP22" s="61"/>
      <c r="FQ22" s="61"/>
      <c r="FR22" s="61"/>
      <c r="FS22" s="61"/>
      <c r="FT22" s="61"/>
      <c r="FU22" s="61"/>
      <c r="FV22" s="61"/>
      <c r="FW22" s="61"/>
      <c r="FX22" s="61"/>
      <c r="FY22" s="61"/>
      <c r="FZ22" s="61"/>
      <c r="GA22" s="61"/>
      <c r="GB22" s="61"/>
      <c r="GC22" s="61"/>
      <c r="GD22" s="61"/>
      <c r="GE22" s="61"/>
      <c r="GF22" s="61"/>
      <c r="GG22" s="61"/>
      <c r="GH22" s="61"/>
      <c r="GI22" s="61"/>
      <c r="GJ22" s="61"/>
    </row>
    <row r="23" customFormat="1" ht="16.8" spans="1:192">
      <c r="A23" s="5"/>
      <c r="B23" s="64"/>
      <c r="C23" s="5"/>
      <c r="D23" s="61"/>
      <c r="E23" s="61"/>
      <c r="F23" s="62"/>
      <c r="G23" s="5"/>
      <c r="H23" s="5"/>
      <c r="I23" s="5"/>
      <c r="J23" s="5"/>
      <c r="K23" s="61"/>
      <c r="L23" s="67"/>
      <c r="M23" s="61"/>
      <c r="N23" s="61"/>
      <c r="O23" s="61"/>
      <c r="P23" s="61"/>
      <c r="Q23" s="61"/>
      <c r="R23" s="61"/>
      <c r="S23" s="61"/>
      <c r="T23" s="61"/>
      <c r="U23" s="61"/>
      <c r="V23" s="68"/>
      <c r="W23" s="7"/>
      <c r="X23" s="5"/>
      <c r="Y23" s="5"/>
      <c r="Z23" s="5"/>
      <c r="AA23" s="5"/>
      <c r="AB23" s="69"/>
      <c r="AC23" s="61"/>
      <c r="AD23" s="5"/>
      <c r="AE23" s="5"/>
      <c r="AF23" s="75"/>
      <c r="AG23" s="75"/>
      <c r="AH23" s="70"/>
      <c r="AI23" s="75"/>
      <c r="AJ23" s="75"/>
      <c r="AK23" s="75"/>
      <c r="AL23" s="61"/>
      <c r="AM23" s="61"/>
      <c r="AN23" s="61"/>
      <c r="AO23" s="61"/>
      <c r="AP23" s="61"/>
      <c r="AQ23" s="61"/>
      <c r="AR23" s="61"/>
      <c r="AS23" s="61"/>
      <c r="AT23" s="61"/>
      <c r="AU23" s="5"/>
      <c r="AV23" s="71"/>
      <c r="AW23" s="5"/>
      <c r="AX23" s="5"/>
      <c r="AY23" s="5"/>
      <c r="AZ23" s="69"/>
      <c r="BA23" s="69"/>
      <c r="BB23" s="69"/>
      <c r="BC23" s="5"/>
      <c r="BD23" s="61"/>
      <c r="BE23" s="61"/>
      <c r="BF23" s="63"/>
      <c r="BG23" s="67"/>
      <c r="BH23" s="67"/>
      <c r="BI23" s="67"/>
      <c r="BJ23" s="67"/>
      <c r="BK23" s="67"/>
      <c r="BL23" s="5"/>
      <c r="BM23" s="5"/>
      <c r="BN23" s="5"/>
      <c r="BO23" s="5"/>
      <c r="BP23" s="5"/>
      <c r="BQ23" s="5"/>
      <c r="BR23" s="5"/>
      <c r="BS23" s="5"/>
      <c r="BT23" s="61"/>
      <c r="BU23" s="61"/>
      <c r="BV23" s="61"/>
      <c r="BW23" s="61"/>
      <c r="BX23" s="61"/>
      <c r="BY23" s="61"/>
      <c r="BZ23" s="61"/>
      <c r="CA23" s="61"/>
      <c r="CB23" s="5"/>
      <c r="CC23" s="61"/>
      <c r="CD23" s="61"/>
      <c r="CE23" s="5"/>
      <c r="CF23" s="61"/>
      <c r="CG23" s="5"/>
      <c r="CH23" s="61"/>
      <c r="CI23" s="61"/>
      <c r="CJ23" s="61"/>
      <c r="CK23" s="61"/>
      <c r="CL23" s="61"/>
      <c r="CM23" s="69"/>
      <c r="CN23" s="5"/>
      <c r="CO23" s="61"/>
      <c r="CP23" s="61"/>
      <c r="CQ23" s="73"/>
      <c r="CR23" s="73"/>
      <c r="CS23" s="73"/>
      <c r="CT23" s="5"/>
      <c r="CU23" s="73"/>
      <c r="CV23" s="5"/>
      <c r="CW23" s="5"/>
      <c r="CX23" s="5"/>
      <c r="CY23" s="5"/>
      <c r="CZ23" s="5"/>
      <c r="DA23" s="5"/>
      <c r="DB23" s="5"/>
      <c r="DC23" s="61"/>
      <c r="DD23" s="61"/>
      <c r="DE23" s="61"/>
      <c r="DF23" s="61"/>
      <c r="DG23" s="61"/>
      <c r="DH23" s="61"/>
      <c r="DI23" s="61"/>
      <c r="DJ23" s="61"/>
      <c r="DK23" s="61"/>
      <c r="DL23" s="61"/>
      <c r="DM23" s="61"/>
      <c r="DN23" s="61"/>
      <c r="DO23" s="61"/>
      <c r="DP23" s="61"/>
      <c r="DQ23" s="61"/>
      <c r="DR23" s="61"/>
      <c r="DS23" s="61"/>
      <c r="DT23" s="61"/>
      <c r="DU23" s="61"/>
      <c r="DV23" s="61"/>
      <c r="DW23" s="61"/>
      <c r="DX23" s="61"/>
      <c r="DY23" s="61"/>
      <c r="DZ23" s="61"/>
      <c r="EA23" s="61"/>
      <c r="EB23" s="61"/>
      <c r="EC23" s="61"/>
      <c r="ED23" s="74"/>
      <c r="EE23" s="6"/>
      <c r="EF23" s="5"/>
      <c r="EG23" s="5"/>
      <c r="EH23" s="5"/>
      <c r="EI23" s="61"/>
      <c r="EJ23" s="61"/>
      <c r="EK23" s="61"/>
      <c r="EL23" s="61"/>
      <c r="EM23" s="61"/>
      <c r="EN23" s="61"/>
      <c r="EO23" s="61"/>
      <c r="EP23" s="68"/>
      <c r="EQ23" s="9"/>
      <c r="ER23" s="9"/>
      <c r="ES23" s="61"/>
      <c r="ET23" s="61"/>
      <c r="EU23" s="61"/>
      <c r="EV23" s="61"/>
      <c r="EW23" s="61"/>
      <c r="EX23" s="61"/>
      <c r="EY23" s="61"/>
      <c r="EZ23" s="61"/>
      <c r="FA23" s="61"/>
      <c r="FB23" s="61"/>
      <c r="FC23" s="61"/>
      <c r="FD23" s="61"/>
      <c r="FE23" s="61"/>
      <c r="FF23" s="61"/>
      <c r="FG23" s="61"/>
      <c r="FH23" s="61"/>
      <c r="FI23" s="61"/>
      <c r="FJ23" s="61"/>
      <c r="FK23" s="61"/>
      <c r="FL23" s="5"/>
      <c r="FM23" s="61"/>
      <c r="FN23" s="61"/>
      <c r="FO23" s="61"/>
      <c r="FP23" s="61"/>
      <c r="FQ23" s="61"/>
      <c r="FR23" s="61"/>
      <c r="FS23" s="61"/>
      <c r="FT23" s="61"/>
      <c r="FU23" s="61"/>
      <c r="FV23" s="61"/>
      <c r="FW23" s="61"/>
      <c r="FX23" s="61"/>
      <c r="FY23" s="61"/>
      <c r="FZ23" s="61"/>
      <c r="GA23" s="61"/>
      <c r="GB23" s="61"/>
      <c r="GC23" s="61"/>
      <c r="GD23" s="61"/>
      <c r="GE23" s="61"/>
      <c r="GF23" s="61"/>
      <c r="GG23" s="61"/>
      <c r="GH23" s="61"/>
      <c r="GI23" s="61"/>
      <c r="GJ23" s="61"/>
    </row>
    <row r="24" s="3" customFormat="1" ht="16.8" spans="1:192">
      <c r="A24" s="8"/>
      <c r="B24" s="76"/>
      <c r="C24" s="8"/>
      <c r="D24" s="77"/>
      <c r="E24" s="77"/>
      <c r="F24" s="62"/>
      <c r="G24" s="5"/>
      <c r="H24" s="8"/>
      <c r="I24" s="8"/>
      <c r="J24" s="8"/>
      <c r="K24" s="77"/>
      <c r="L24" s="8"/>
      <c r="M24" s="77"/>
      <c r="N24" s="77"/>
      <c r="O24" s="77"/>
      <c r="P24" s="77"/>
      <c r="Q24" s="77"/>
      <c r="R24" s="77"/>
      <c r="S24" s="77"/>
      <c r="T24" s="77"/>
      <c r="U24" s="77"/>
      <c r="V24" s="68"/>
      <c r="W24" s="78"/>
      <c r="X24" s="8"/>
      <c r="Y24" s="8"/>
      <c r="Z24" s="8"/>
      <c r="AA24" s="8"/>
      <c r="AB24" s="2"/>
      <c r="AC24" s="77"/>
      <c r="AD24" s="8"/>
      <c r="AE24" s="8"/>
      <c r="AF24" s="79"/>
      <c r="AG24" s="79"/>
      <c r="AH24" s="80"/>
      <c r="AI24" s="79"/>
      <c r="AJ24" s="79"/>
      <c r="AK24" s="79"/>
      <c r="AL24" s="77"/>
      <c r="AM24" s="77"/>
      <c r="AN24" s="77"/>
      <c r="AO24" s="77"/>
      <c r="AP24" s="77"/>
      <c r="AQ24" s="77"/>
      <c r="AR24" s="77"/>
      <c r="AS24" s="77"/>
      <c r="AT24" s="77"/>
      <c r="AU24" s="8"/>
      <c r="AV24" s="71"/>
      <c r="AW24" s="8"/>
      <c r="AX24" s="8"/>
      <c r="AY24" s="8"/>
      <c r="AZ24" s="2"/>
      <c r="BA24" s="2"/>
      <c r="BB24" s="2"/>
      <c r="BC24" s="8"/>
      <c r="BD24" s="77"/>
      <c r="BE24" s="77"/>
      <c r="BF24" s="63"/>
      <c r="BG24" s="8"/>
      <c r="BH24" s="8"/>
      <c r="BI24" s="67"/>
      <c r="BJ24" s="67"/>
      <c r="BK24" s="67"/>
      <c r="BL24" s="8"/>
      <c r="BM24" s="8"/>
      <c r="BN24" s="8"/>
      <c r="BO24" s="8"/>
      <c r="BP24" s="8"/>
      <c r="BQ24" s="8"/>
      <c r="BR24" s="8"/>
      <c r="BS24" s="8"/>
      <c r="BT24" s="77"/>
      <c r="BU24" s="77"/>
      <c r="BV24" s="77"/>
      <c r="BW24" s="77"/>
      <c r="BX24" s="77"/>
      <c r="BY24" s="77"/>
      <c r="BZ24" s="77"/>
      <c r="CA24" s="77"/>
      <c r="CB24" s="5"/>
      <c r="CC24" s="77"/>
      <c r="CD24" s="77"/>
      <c r="CE24" s="8"/>
      <c r="CF24" s="77"/>
      <c r="CG24" s="5"/>
      <c r="CH24" s="77"/>
      <c r="CI24" s="77"/>
      <c r="CJ24" s="77"/>
      <c r="CK24" s="77"/>
      <c r="CL24" s="77"/>
      <c r="CM24" s="2"/>
      <c r="CN24" s="5"/>
      <c r="CO24" s="77"/>
      <c r="CP24" s="77"/>
      <c r="CQ24" s="81"/>
      <c r="CR24" s="81"/>
      <c r="CS24" s="81"/>
      <c r="CT24" s="8"/>
      <c r="CU24" s="81"/>
      <c r="CV24" s="8"/>
      <c r="CW24" s="8"/>
      <c r="CX24" s="8"/>
      <c r="CY24" s="8"/>
      <c r="CZ24" s="8"/>
      <c r="DA24" s="8"/>
      <c r="DB24" s="8"/>
      <c r="DC24" s="77"/>
      <c r="DD24" s="77"/>
      <c r="DE24" s="77"/>
      <c r="DF24" s="77"/>
      <c r="DG24" s="77"/>
      <c r="DH24" s="77"/>
      <c r="DI24" s="77"/>
      <c r="DJ24" s="77"/>
      <c r="DK24" s="77"/>
      <c r="DL24" s="77"/>
      <c r="DM24" s="77"/>
      <c r="DN24" s="77"/>
      <c r="DO24" s="77"/>
      <c r="DP24" s="77"/>
      <c r="DQ24" s="77"/>
      <c r="DR24" s="77"/>
      <c r="DS24" s="77"/>
      <c r="DT24" s="77"/>
      <c r="DU24" s="77"/>
      <c r="DV24" s="77"/>
      <c r="DW24" s="77"/>
      <c r="DX24" s="77"/>
      <c r="DY24" s="77"/>
      <c r="DZ24" s="77"/>
      <c r="EA24" s="77"/>
      <c r="EB24" s="77"/>
      <c r="EC24" s="77"/>
      <c r="ED24" s="74"/>
      <c r="EE24" s="81"/>
      <c r="EF24" s="8"/>
      <c r="EG24" s="8"/>
      <c r="EH24" s="8"/>
      <c r="EI24" s="77"/>
      <c r="EJ24" s="77"/>
      <c r="EK24" s="77"/>
      <c r="EL24" s="77"/>
      <c r="EM24" s="77"/>
      <c r="EN24" s="77"/>
      <c r="EO24" s="77"/>
      <c r="EP24" s="68"/>
      <c r="EQ24" s="9"/>
      <c r="ER24" s="82"/>
      <c r="ES24" s="77"/>
      <c r="ET24" s="77"/>
      <c r="EU24" s="77"/>
      <c r="EV24" s="77"/>
      <c r="EW24" s="77"/>
      <c r="EX24" s="77"/>
      <c r="EY24" s="77"/>
      <c r="EZ24" s="77"/>
      <c r="FA24" s="77"/>
      <c r="FB24" s="77"/>
      <c r="FC24" s="77"/>
      <c r="FD24" s="77"/>
      <c r="FE24" s="77"/>
      <c r="FF24" s="77"/>
      <c r="FG24" s="77"/>
      <c r="FH24" s="77"/>
      <c r="FI24" s="77"/>
      <c r="FJ24" s="77"/>
      <c r="FK24" s="77"/>
      <c r="FL24" s="8"/>
      <c r="FM24" s="77"/>
      <c r="FN24" s="77"/>
      <c r="FO24" s="77"/>
      <c r="FP24" s="77"/>
      <c r="FQ24" s="77"/>
      <c r="FR24" s="77"/>
      <c r="FS24" s="77"/>
      <c r="FT24" s="77"/>
      <c r="FU24" s="77"/>
      <c r="FV24" s="77"/>
      <c r="FW24" s="77"/>
      <c r="FX24" s="77"/>
      <c r="FY24" s="77"/>
      <c r="FZ24" s="77"/>
      <c r="GA24" s="77"/>
      <c r="GB24" s="77"/>
      <c r="GC24" s="77"/>
      <c r="GD24" s="77"/>
      <c r="GE24" s="77"/>
      <c r="GF24" s="77"/>
      <c r="GG24" s="77"/>
      <c r="GH24" s="77"/>
      <c r="GI24" s="77"/>
      <c r="GJ24" s="77"/>
    </row>
    <row r="25" customFormat="1" ht="16.8" spans="1:192">
      <c r="A25" s="5"/>
      <c r="B25" s="64"/>
      <c r="C25" s="5"/>
      <c r="D25" s="61"/>
      <c r="E25" s="61"/>
      <c r="F25" s="62"/>
      <c r="G25" s="5"/>
      <c r="H25" s="5"/>
      <c r="I25" s="5"/>
      <c r="J25" s="5"/>
      <c r="K25" s="61"/>
      <c r="L25" s="67"/>
      <c r="M25" s="61"/>
      <c r="N25" s="61"/>
      <c r="O25" s="61"/>
      <c r="P25" s="61"/>
      <c r="Q25" s="61"/>
      <c r="R25" s="61"/>
      <c r="S25" s="61"/>
      <c r="T25" s="61"/>
      <c r="U25" s="61"/>
      <c r="V25" s="68"/>
      <c r="W25" s="7"/>
      <c r="X25" s="5"/>
      <c r="Y25" s="5"/>
      <c r="Z25" s="5"/>
      <c r="AA25" s="5"/>
      <c r="AB25" s="69"/>
      <c r="AC25" s="61"/>
      <c r="AD25" s="5"/>
      <c r="AE25" s="5"/>
      <c r="AF25" s="75"/>
      <c r="AG25" s="75"/>
      <c r="AH25" s="70"/>
      <c r="AI25" s="75"/>
      <c r="AJ25" s="75"/>
      <c r="AK25" s="75"/>
      <c r="AL25" s="61"/>
      <c r="AM25" s="61"/>
      <c r="AN25" s="61"/>
      <c r="AO25" s="61"/>
      <c r="AP25" s="61"/>
      <c r="AQ25" s="61"/>
      <c r="AR25" s="61"/>
      <c r="AS25" s="61"/>
      <c r="AT25" s="61"/>
      <c r="AU25" s="5"/>
      <c r="AV25" s="71"/>
      <c r="AW25" s="5"/>
      <c r="AX25" s="5"/>
      <c r="AY25" s="5"/>
      <c r="AZ25" s="69"/>
      <c r="BA25" s="69"/>
      <c r="BB25" s="69"/>
      <c r="BC25" s="5"/>
      <c r="BD25" s="61"/>
      <c r="BE25" s="61"/>
      <c r="BF25" s="63"/>
      <c r="BG25" s="67"/>
      <c r="BH25" s="67"/>
      <c r="BI25" s="67"/>
      <c r="BJ25" s="67"/>
      <c r="BK25" s="67"/>
      <c r="BL25" s="5"/>
      <c r="BM25" s="5"/>
      <c r="BN25" s="5"/>
      <c r="BO25" s="5"/>
      <c r="BP25" s="5"/>
      <c r="BQ25" s="5"/>
      <c r="BR25" s="5"/>
      <c r="BS25" s="5"/>
      <c r="BT25" s="61"/>
      <c r="BU25" s="61"/>
      <c r="BV25" s="61"/>
      <c r="BW25" s="61"/>
      <c r="BX25" s="61"/>
      <c r="BY25" s="61"/>
      <c r="BZ25" s="61"/>
      <c r="CA25" s="61"/>
      <c r="CB25" s="5"/>
      <c r="CC25" s="61"/>
      <c r="CD25" s="61"/>
      <c r="CE25" s="5"/>
      <c r="CF25" s="61"/>
      <c r="CG25" s="5"/>
      <c r="CH25" s="61"/>
      <c r="CI25" s="61"/>
      <c r="CJ25" s="61"/>
      <c r="CK25" s="61"/>
      <c r="CL25" s="61"/>
      <c r="CM25" s="69"/>
      <c r="CN25" s="5"/>
      <c r="CO25" s="61"/>
      <c r="CP25" s="61"/>
      <c r="CQ25" s="73"/>
      <c r="CR25" s="73"/>
      <c r="CS25" s="73"/>
      <c r="CT25" s="5"/>
      <c r="CU25" s="73"/>
      <c r="CV25" s="5"/>
      <c r="CW25" s="5"/>
      <c r="CX25" s="5"/>
      <c r="CY25" s="5"/>
      <c r="CZ25" s="5"/>
      <c r="DA25" s="5"/>
      <c r="DB25" s="5"/>
      <c r="DC25" s="61"/>
      <c r="DD25" s="61"/>
      <c r="DE25" s="61"/>
      <c r="DF25" s="61"/>
      <c r="DG25" s="61"/>
      <c r="DH25" s="61"/>
      <c r="DI25" s="61"/>
      <c r="DJ25" s="61"/>
      <c r="DK25" s="61"/>
      <c r="DL25" s="61"/>
      <c r="DM25" s="61"/>
      <c r="DN25" s="61"/>
      <c r="DO25" s="61"/>
      <c r="DP25" s="61"/>
      <c r="DQ25" s="61"/>
      <c r="DR25" s="61"/>
      <c r="DS25" s="61"/>
      <c r="DT25" s="61"/>
      <c r="DU25" s="61"/>
      <c r="DV25" s="61"/>
      <c r="DW25" s="61"/>
      <c r="DX25" s="61"/>
      <c r="DY25" s="61"/>
      <c r="DZ25" s="61"/>
      <c r="EA25" s="61"/>
      <c r="EB25" s="61"/>
      <c r="EC25" s="61"/>
      <c r="ED25" s="74"/>
      <c r="EE25" s="6"/>
      <c r="EF25" s="5"/>
      <c r="EG25" s="5"/>
      <c r="EH25" s="5"/>
      <c r="EI25" s="61"/>
      <c r="EJ25" s="61"/>
      <c r="EK25" s="61"/>
      <c r="EL25" s="61"/>
      <c r="EM25" s="61"/>
      <c r="EN25" s="61"/>
      <c r="EO25" s="61"/>
      <c r="EP25" s="68"/>
      <c r="EQ25" s="9"/>
      <c r="ER25" s="9"/>
      <c r="ES25" s="61"/>
      <c r="ET25" s="61"/>
      <c r="EU25" s="61"/>
      <c r="EV25" s="61"/>
      <c r="EW25" s="61"/>
      <c r="EX25" s="61"/>
      <c r="EY25" s="61"/>
      <c r="EZ25" s="61"/>
      <c r="FA25" s="61"/>
      <c r="FB25" s="61"/>
      <c r="FC25" s="61"/>
      <c r="FD25" s="61"/>
      <c r="FE25" s="61"/>
      <c r="FF25" s="61"/>
      <c r="FG25" s="61"/>
      <c r="FH25" s="61"/>
      <c r="FI25" s="61"/>
      <c r="FJ25" s="61"/>
      <c r="FK25" s="61"/>
      <c r="FL25" s="5"/>
      <c r="FM25" s="61"/>
      <c r="FN25" s="61"/>
      <c r="FO25" s="61"/>
      <c r="FP25" s="61"/>
      <c r="FQ25" s="61"/>
      <c r="FR25" s="61"/>
      <c r="FS25" s="61"/>
      <c r="FT25" s="61"/>
      <c r="FU25" s="61"/>
      <c r="FV25" s="61"/>
      <c r="FW25" s="61"/>
      <c r="FX25" s="61"/>
      <c r="FY25" s="61"/>
      <c r="FZ25" s="61"/>
      <c r="GA25" s="61"/>
      <c r="GB25" s="61"/>
      <c r="GC25" s="61"/>
      <c r="GD25" s="61"/>
      <c r="GE25" s="61"/>
      <c r="GF25" s="61"/>
      <c r="GG25" s="61"/>
      <c r="GH25" s="61"/>
      <c r="GI25" s="61"/>
      <c r="GJ25" s="61"/>
    </row>
    <row r="26" customFormat="1" ht="16.8" spans="1:192">
      <c r="A26" s="5"/>
      <c r="B26" s="64"/>
      <c r="C26" s="5"/>
      <c r="D26" s="61"/>
      <c r="E26" s="61"/>
      <c r="F26" s="62"/>
      <c r="G26" s="5"/>
      <c r="H26" s="5"/>
      <c r="I26" s="5"/>
      <c r="J26" s="5"/>
      <c r="K26" s="61"/>
      <c r="L26" s="67"/>
      <c r="M26" s="61"/>
      <c r="N26" s="61"/>
      <c r="O26" s="61"/>
      <c r="P26" s="61"/>
      <c r="Q26" s="61"/>
      <c r="R26" s="61"/>
      <c r="S26" s="61"/>
      <c r="T26" s="61"/>
      <c r="U26" s="61"/>
      <c r="V26" s="68"/>
      <c r="W26" s="7"/>
      <c r="X26" s="5"/>
      <c r="Y26" s="5"/>
      <c r="Z26" s="5"/>
      <c r="AA26" s="5"/>
      <c r="AB26" s="69"/>
      <c r="AC26" s="61"/>
      <c r="AD26" s="5"/>
      <c r="AE26" s="5"/>
      <c r="AF26" s="75"/>
      <c r="AG26" s="75"/>
      <c r="AH26" s="70"/>
      <c r="AI26" s="75"/>
      <c r="AJ26" s="75"/>
      <c r="AK26" s="75"/>
      <c r="AL26" s="61"/>
      <c r="AM26" s="61"/>
      <c r="AN26" s="61"/>
      <c r="AO26" s="61"/>
      <c r="AP26" s="61"/>
      <c r="AQ26" s="61"/>
      <c r="AR26" s="61"/>
      <c r="AS26" s="61"/>
      <c r="AT26" s="61"/>
      <c r="AU26" s="5"/>
      <c r="AV26" s="71"/>
      <c r="AW26" s="5"/>
      <c r="AX26" s="5"/>
      <c r="AY26" s="5"/>
      <c r="AZ26" s="69"/>
      <c r="BA26" s="69"/>
      <c r="BB26" s="69"/>
      <c r="BC26" s="5"/>
      <c r="BD26" s="61"/>
      <c r="BE26" s="61"/>
      <c r="BF26" s="63"/>
      <c r="BG26" s="67"/>
      <c r="BH26" s="67"/>
      <c r="BI26" s="67"/>
      <c r="BJ26" s="67"/>
      <c r="BK26" s="67"/>
      <c r="BL26" s="5"/>
      <c r="BM26" s="5"/>
      <c r="BN26" s="5"/>
      <c r="BO26" s="5"/>
      <c r="BP26" s="5"/>
      <c r="BQ26" s="5"/>
      <c r="BR26" s="5"/>
      <c r="BS26" s="5"/>
      <c r="BT26" s="61"/>
      <c r="BU26" s="61"/>
      <c r="BV26" s="61"/>
      <c r="BW26" s="61"/>
      <c r="BX26" s="61"/>
      <c r="BY26" s="61"/>
      <c r="BZ26" s="61"/>
      <c r="CA26" s="61"/>
      <c r="CB26" s="5"/>
      <c r="CC26" s="61"/>
      <c r="CD26" s="61"/>
      <c r="CE26" s="5"/>
      <c r="CF26" s="61"/>
      <c r="CG26" s="5"/>
      <c r="CH26" s="61"/>
      <c r="CI26" s="61"/>
      <c r="CJ26" s="61"/>
      <c r="CK26" s="61"/>
      <c r="CL26" s="61"/>
      <c r="CM26" s="69"/>
      <c r="CN26" s="5"/>
      <c r="CO26" s="61"/>
      <c r="CP26" s="61"/>
      <c r="CQ26" s="73"/>
      <c r="CR26" s="73"/>
      <c r="CS26" s="73"/>
      <c r="CT26" s="5"/>
      <c r="CU26" s="73"/>
      <c r="CV26" s="5"/>
      <c r="CW26" s="5"/>
      <c r="CX26" s="5"/>
      <c r="CY26" s="5"/>
      <c r="CZ26" s="5"/>
      <c r="DA26" s="5"/>
      <c r="DB26" s="5"/>
      <c r="DC26" s="61"/>
      <c r="DD26" s="61"/>
      <c r="DE26" s="61"/>
      <c r="DF26" s="61"/>
      <c r="DG26" s="61"/>
      <c r="DH26" s="61"/>
      <c r="DI26" s="61"/>
      <c r="DJ26" s="61"/>
      <c r="DK26" s="61"/>
      <c r="DL26" s="61"/>
      <c r="DM26" s="61"/>
      <c r="DN26" s="61"/>
      <c r="DO26" s="61"/>
      <c r="DP26" s="61"/>
      <c r="DQ26" s="61"/>
      <c r="DR26" s="61"/>
      <c r="DS26" s="61"/>
      <c r="DT26" s="61"/>
      <c r="DU26" s="61"/>
      <c r="DV26" s="61"/>
      <c r="DW26" s="61"/>
      <c r="DX26" s="61"/>
      <c r="DY26" s="61"/>
      <c r="DZ26" s="61"/>
      <c r="EA26" s="61"/>
      <c r="EB26" s="61"/>
      <c r="EC26" s="61"/>
      <c r="ED26" s="74"/>
      <c r="EE26" s="6"/>
      <c r="EF26" s="5"/>
      <c r="EG26" s="5"/>
      <c r="EH26" s="5"/>
      <c r="EI26" s="61"/>
      <c r="EJ26" s="61"/>
      <c r="EK26" s="61"/>
      <c r="EL26" s="61"/>
      <c r="EM26" s="61"/>
      <c r="EN26" s="61"/>
      <c r="EO26" s="61"/>
      <c r="EP26" s="68"/>
      <c r="EQ26" s="9"/>
      <c r="ER26" s="9"/>
      <c r="ES26" s="61"/>
      <c r="ET26" s="61"/>
      <c r="EU26" s="61"/>
      <c r="EV26" s="61"/>
      <c r="EW26" s="61"/>
      <c r="EX26" s="61"/>
      <c r="EY26" s="61"/>
      <c r="EZ26" s="61"/>
      <c r="FA26" s="61"/>
      <c r="FB26" s="61"/>
      <c r="FC26" s="61"/>
      <c r="FD26" s="61"/>
      <c r="FE26" s="61"/>
      <c r="FF26" s="61"/>
      <c r="FG26" s="61"/>
      <c r="FH26" s="61"/>
      <c r="FI26" s="61"/>
      <c r="FJ26" s="61"/>
      <c r="FK26" s="61"/>
      <c r="FL26" s="5"/>
      <c r="FM26" s="61"/>
      <c r="FN26" s="61"/>
      <c r="FO26" s="61"/>
      <c r="FP26" s="61"/>
      <c r="FQ26" s="61"/>
      <c r="FR26" s="61"/>
      <c r="FS26" s="61"/>
      <c r="FT26" s="61"/>
      <c r="FU26" s="61"/>
      <c r="FV26" s="61"/>
      <c r="FW26" s="61"/>
      <c r="FX26" s="61"/>
      <c r="FY26" s="61"/>
      <c r="FZ26" s="61"/>
      <c r="GA26" s="61"/>
      <c r="GB26" s="61"/>
      <c r="GC26" s="61"/>
      <c r="GD26" s="61"/>
      <c r="GE26" s="61"/>
      <c r="GF26" s="61"/>
      <c r="GG26" s="61"/>
      <c r="GH26" s="61"/>
      <c r="GI26" s="61"/>
      <c r="GJ26" s="61"/>
    </row>
    <row r="27" customFormat="1" ht="16.8" spans="1:192">
      <c r="A27" s="5"/>
      <c r="B27" s="64"/>
      <c r="C27" s="5"/>
      <c r="D27" s="61"/>
      <c r="E27" s="61"/>
      <c r="F27" s="62"/>
      <c r="G27" s="5"/>
      <c r="H27" s="5"/>
      <c r="I27" s="5"/>
      <c r="J27" s="5"/>
      <c r="K27" s="61"/>
      <c r="L27" s="67"/>
      <c r="M27" s="61"/>
      <c r="N27" s="61"/>
      <c r="O27" s="61"/>
      <c r="P27" s="61"/>
      <c r="Q27" s="61"/>
      <c r="R27" s="61"/>
      <c r="S27" s="61"/>
      <c r="T27" s="61"/>
      <c r="U27" s="61"/>
      <c r="V27" s="68"/>
      <c r="W27" s="7"/>
      <c r="X27" s="5"/>
      <c r="Y27" s="5"/>
      <c r="Z27" s="5"/>
      <c r="AA27" s="5"/>
      <c r="AB27" s="69"/>
      <c r="AC27" s="61"/>
      <c r="AD27" s="5"/>
      <c r="AE27" s="5"/>
      <c r="AF27" s="75"/>
      <c r="AG27" s="75"/>
      <c r="AH27" s="70"/>
      <c r="AI27" s="75"/>
      <c r="AJ27" s="75"/>
      <c r="AK27" s="75"/>
      <c r="AL27" s="61"/>
      <c r="AM27" s="61"/>
      <c r="AN27" s="61"/>
      <c r="AO27" s="61"/>
      <c r="AP27" s="61"/>
      <c r="AQ27" s="61"/>
      <c r="AR27" s="61"/>
      <c r="AS27" s="61"/>
      <c r="AT27" s="61"/>
      <c r="AU27" s="5"/>
      <c r="AV27" s="71"/>
      <c r="AW27" s="5"/>
      <c r="AX27" s="5"/>
      <c r="AY27" s="5"/>
      <c r="AZ27" s="69"/>
      <c r="BA27" s="69"/>
      <c r="BB27" s="69"/>
      <c r="BC27" s="5"/>
      <c r="BD27" s="61"/>
      <c r="BE27" s="61"/>
      <c r="BF27" s="63"/>
      <c r="BG27" s="67"/>
      <c r="BH27" s="67"/>
      <c r="BI27" s="67"/>
      <c r="BJ27" s="67"/>
      <c r="BK27" s="67"/>
      <c r="BL27" s="5"/>
      <c r="BM27" s="5"/>
      <c r="BN27" s="5"/>
      <c r="BO27" s="5"/>
      <c r="BP27" s="5"/>
      <c r="BQ27" s="5"/>
      <c r="BR27" s="5"/>
      <c r="BS27" s="5"/>
      <c r="BT27" s="61"/>
      <c r="BU27" s="61"/>
      <c r="BV27" s="61"/>
      <c r="BW27" s="61"/>
      <c r="BX27" s="61"/>
      <c r="BY27" s="61"/>
      <c r="BZ27" s="61"/>
      <c r="CA27" s="61"/>
      <c r="CB27" s="5"/>
      <c r="CC27" s="61"/>
      <c r="CD27" s="61"/>
      <c r="CE27" s="5"/>
      <c r="CF27" s="61"/>
      <c r="CG27" s="5"/>
      <c r="CH27" s="61"/>
      <c r="CI27" s="61"/>
      <c r="CJ27" s="61"/>
      <c r="CK27" s="61"/>
      <c r="CL27" s="61"/>
      <c r="CM27" s="69"/>
      <c r="CN27" s="5"/>
      <c r="CO27" s="61"/>
      <c r="CP27" s="61"/>
      <c r="CQ27" s="73"/>
      <c r="CR27" s="73"/>
      <c r="CS27" s="73"/>
      <c r="CT27" s="5"/>
      <c r="CU27" s="73"/>
      <c r="CV27" s="5"/>
      <c r="CW27" s="5"/>
      <c r="CX27" s="5"/>
      <c r="CY27" s="5"/>
      <c r="CZ27" s="5"/>
      <c r="DA27" s="5"/>
      <c r="DB27" s="5"/>
      <c r="DC27" s="61"/>
      <c r="DD27" s="61"/>
      <c r="DE27" s="61"/>
      <c r="DF27" s="61"/>
      <c r="DG27" s="61"/>
      <c r="DH27" s="61"/>
      <c r="DI27" s="61"/>
      <c r="DJ27" s="61"/>
      <c r="DK27" s="61"/>
      <c r="DL27" s="61"/>
      <c r="DM27" s="61"/>
      <c r="DN27" s="61"/>
      <c r="DO27" s="61"/>
      <c r="DP27" s="61"/>
      <c r="DQ27" s="61"/>
      <c r="DR27" s="61"/>
      <c r="DS27" s="61"/>
      <c r="DT27" s="61"/>
      <c r="DU27" s="61"/>
      <c r="DV27" s="61"/>
      <c r="DW27" s="61"/>
      <c r="DX27" s="61"/>
      <c r="DY27" s="61"/>
      <c r="DZ27" s="61"/>
      <c r="EA27" s="61"/>
      <c r="EB27" s="61"/>
      <c r="EC27" s="61"/>
      <c r="ED27" s="74"/>
      <c r="EE27" s="6"/>
      <c r="EF27" s="5"/>
      <c r="EG27" s="5"/>
      <c r="EH27" s="5"/>
      <c r="EI27" s="61"/>
      <c r="EJ27" s="61"/>
      <c r="EK27" s="61"/>
      <c r="EL27" s="61"/>
      <c r="EM27" s="61"/>
      <c r="EN27" s="61"/>
      <c r="EO27" s="61"/>
      <c r="EP27" s="68"/>
      <c r="EQ27" s="9"/>
      <c r="ER27" s="9"/>
      <c r="ES27" s="61"/>
      <c r="ET27" s="61"/>
      <c r="EU27" s="61"/>
      <c r="EV27" s="61"/>
      <c r="EW27" s="61"/>
      <c r="EX27" s="61"/>
      <c r="EY27" s="61"/>
      <c r="EZ27" s="61"/>
      <c r="FA27" s="61"/>
      <c r="FB27" s="61"/>
      <c r="FC27" s="61"/>
      <c r="FD27" s="61"/>
      <c r="FE27" s="61"/>
      <c r="FF27" s="61"/>
      <c r="FG27" s="61"/>
      <c r="FH27" s="61"/>
      <c r="FI27" s="61"/>
      <c r="FJ27" s="61"/>
      <c r="FK27" s="61"/>
      <c r="FL27" s="5"/>
      <c r="FM27" s="61"/>
      <c r="FN27" s="61"/>
      <c r="FO27" s="61"/>
      <c r="FP27" s="61"/>
      <c r="FQ27" s="61"/>
      <c r="FR27" s="61"/>
      <c r="FS27" s="61"/>
      <c r="FT27" s="61"/>
      <c r="FU27" s="61"/>
      <c r="FV27" s="61"/>
      <c r="FW27" s="61"/>
      <c r="FX27" s="61"/>
      <c r="FY27" s="61"/>
      <c r="FZ27" s="61"/>
      <c r="GA27" s="61"/>
      <c r="GB27" s="61"/>
      <c r="GC27" s="61"/>
      <c r="GD27" s="61"/>
      <c r="GE27" s="61"/>
      <c r="GF27" s="61"/>
      <c r="GG27" s="61"/>
      <c r="GH27" s="61"/>
      <c r="GI27" s="61"/>
      <c r="GJ27" s="61"/>
    </row>
    <row r="28" customFormat="1" ht="16.8" spans="1:192">
      <c r="A28" s="5"/>
      <c r="B28" s="64"/>
      <c r="C28" s="5"/>
      <c r="D28" s="61"/>
      <c r="E28" s="61"/>
      <c r="F28" s="62"/>
      <c r="G28" s="5"/>
      <c r="H28" s="5"/>
      <c r="I28" s="5"/>
      <c r="J28" s="5"/>
      <c r="K28" s="61"/>
      <c r="L28" s="67"/>
      <c r="M28" s="61"/>
      <c r="N28" s="61"/>
      <c r="O28" s="61"/>
      <c r="P28" s="61"/>
      <c r="Q28" s="61"/>
      <c r="R28" s="61"/>
      <c r="S28" s="61"/>
      <c r="T28" s="61"/>
      <c r="U28" s="61"/>
      <c r="V28" s="68"/>
      <c r="W28" s="7"/>
      <c r="X28" s="5"/>
      <c r="Y28" s="5"/>
      <c r="Z28" s="5"/>
      <c r="AA28" s="5"/>
      <c r="AB28" s="69"/>
      <c r="AC28" s="61"/>
      <c r="AD28" s="5"/>
      <c r="AE28" s="5"/>
      <c r="AF28" s="75"/>
      <c r="AG28" s="75"/>
      <c r="AH28" s="70"/>
      <c r="AI28" s="75"/>
      <c r="AJ28" s="75"/>
      <c r="AK28" s="75"/>
      <c r="AL28" s="61"/>
      <c r="AM28" s="61"/>
      <c r="AN28" s="61"/>
      <c r="AO28" s="61"/>
      <c r="AP28" s="61"/>
      <c r="AQ28" s="61"/>
      <c r="AR28" s="61"/>
      <c r="AS28" s="61"/>
      <c r="AT28" s="61"/>
      <c r="AU28" s="5"/>
      <c r="AV28" s="71"/>
      <c r="AW28" s="5"/>
      <c r="AX28" s="5"/>
      <c r="AY28" s="5"/>
      <c r="AZ28" s="69"/>
      <c r="BA28" s="69"/>
      <c r="BB28" s="69"/>
      <c r="BC28" s="5"/>
      <c r="BD28" s="61"/>
      <c r="BE28" s="61"/>
      <c r="BF28" s="63"/>
      <c r="BG28" s="67"/>
      <c r="BH28" s="67"/>
      <c r="BI28" s="67"/>
      <c r="BJ28" s="67"/>
      <c r="BK28" s="67"/>
      <c r="BL28" s="5"/>
      <c r="BM28" s="5"/>
      <c r="BN28" s="5"/>
      <c r="BO28" s="5"/>
      <c r="BP28" s="5"/>
      <c r="BQ28" s="5"/>
      <c r="BR28" s="5"/>
      <c r="BS28" s="5"/>
      <c r="BT28" s="61"/>
      <c r="BU28" s="61"/>
      <c r="BV28" s="61"/>
      <c r="BW28" s="61"/>
      <c r="BX28" s="61"/>
      <c r="BY28" s="61"/>
      <c r="BZ28" s="61"/>
      <c r="CA28" s="61"/>
      <c r="CB28" s="5"/>
      <c r="CC28" s="61"/>
      <c r="CD28" s="61"/>
      <c r="CE28" s="5"/>
      <c r="CF28" s="61"/>
      <c r="CG28" s="5"/>
      <c r="CH28" s="61"/>
      <c r="CI28" s="61"/>
      <c r="CJ28" s="61"/>
      <c r="CK28" s="61"/>
      <c r="CL28" s="61"/>
      <c r="CM28" s="69"/>
      <c r="CN28" s="5"/>
      <c r="CO28" s="61"/>
      <c r="CP28" s="61"/>
      <c r="CQ28" s="73"/>
      <c r="CR28" s="73"/>
      <c r="CS28" s="73"/>
      <c r="CT28" s="5"/>
      <c r="CU28" s="73"/>
      <c r="CV28" s="5"/>
      <c r="CW28" s="5"/>
      <c r="CX28" s="5"/>
      <c r="CY28" s="5"/>
      <c r="CZ28" s="5"/>
      <c r="DA28" s="5"/>
      <c r="DB28" s="5"/>
      <c r="DC28" s="61"/>
      <c r="DD28" s="61"/>
      <c r="DE28" s="61"/>
      <c r="DF28" s="61"/>
      <c r="DG28" s="61"/>
      <c r="DH28" s="61"/>
      <c r="DI28" s="61"/>
      <c r="DJ28" s="61"/>
      <c r="DK28" s="61"/>
      <c r="DL28" s="61"/>
      <c r="DM28" s="61"/>
      <c r="DN28" s="61"/>
      <c r="DO28" s="61"/>
      <c r="DP28" s="61"/>
      <c r="DQ28" s="61"/>
      <c r="DR28" s="61"/>
      <c r="DS28" s="61"/>
      <c r="DT28" s="61"/>
      <c r="DU28" s="61"/>
      <c r="DV28" s="61"/>
      <c r="DW28" s="61"/>
      <c r="DX28" s="61"/>
      <c r="DY28" s="61"/>
      <c r="DZ28" s="61"/>
      <c r="EA28" s="61"/>
      <c r="EB28" s="61"/>
      <c r="EC28" s="61"/>
      <c r="ED28" s="74"/>
      <c r="EE28" s="6"/>
      <c r="EF28" s="5"/>
      <c r="EG28" s="5"/>
      <c r="EH28" s="5"/>
      <c r="EI28" s="61"/>
      <c r="EJ28" s="61"/>
      <c r="EK28" s="61"/>
      <c r="EL28" s="61"/>
      <c r="EM28" s="61"/>
      <c r="EN28" s="61"/>
      <c r="EO28" s="61"/>
      <c r="EP28" s="68"/>
      <c r="EQ28" s="9"/>
      <c r="ER28" s="9"/>
      <c r="ES28" s="61"/>
      <c r="ET28" s="61"/>
      <c r="EU28" s="61"/>
      <c r="EV28" s="61"/>
      <c r="EW28" s="61"/>
      <c r="EX28" s="61"/>
      <c r="EY28" s="61"/>
      <c r="EZ28" s="61"/>
      <c r="FA28" s="61"/>
      <c r="FB28" s="61"/>
      <c r="FC28" s="61"/>
      <c r="FD28" s="61"/>
      <c r="FE28" s="61"/>
      <c r="FF28" s="61"/>
      <c r="FG28" s="61"/>
      <c r="FH28" s="61"/>
      <c r="FI28" s="61"/>
      <c r="FJ28" s="61"/>
      <c r="FK28" s="61"/>
      <c r="FL28" s="5"/>
      <c r="FM28" s="61"/>
      <c r="FN28" s="61"/>
      <c r="FO28" s="61"/>
      <c r="FP28" s="61"/>
      <c r="FQ28" s="61"/>
      <c r="FR28" s="61"/>
      <c r="FS28" s="61"/>
      <c r="FT28" s="61"/>
      <c r="FU28" s="61"/>
      <c r="FV28" s="61"/>
      <c r="FW28" s="61"/>
      <c r="FX28" s="61"/>
      <c r="FY28" s="61"/>
      <c r="FZ28" s="61"/>
      <c r="GA28" s="61"/>
      <c r="GB28" s="61"/>
      <c r="GC28" s="61"/>
      <c r="GD28" s="61"/>
      <c r="GE28" s="61"/>
      <c r="GF28" s="61"/>
      <c r="GG28" s="61"/>
      <c r="GH28" s="61"/>
      <c r="GI28" s="61"/>
      <c r="GJ28" s="61"/>
    </row>
    <row r="29" customFormat="1" ht="16.8" spans="1:192">
      <c r="A29" s="5"/>
      <c r="B29" s="64"/>
      <c r="C29" s="5"/>
      <c r="D29" s="61"/>
      <c r="E29" s="61"/>
      <c r="F29" s="62"/>
      <c r="G29" s="5"/>
      <c r="H29" s="5"/>
      <c r="I29" s="5"/>
      <c r="J29" s="5"/>
      <c r="K29" s="61"/>
      <c r="L29" s="67"/>
      <c r="M29" s="61"/>
      <c r="N29" s="61"/>
      <c r="O29" s="61"/>
      <c r="P29" s="61"/>
      <c r="Q29" s="61"/>
      <c r="R29" s="61"/>
      <c r="S29" s="61"/>
      <c r="T29" s="61"/>
      <c r="U29" s="61"/>
      <c r="V29" s="68"/>
      <c r="W29" s="7"/>
      <c r="X29" s="5"/>
      <c r="Y29" s="5"/>
      <c r="Z29" s="5"/>
      <c r="AA29" s="5"/>
      <c r="AB29" s="69"/>
      <c r="AC29" s="61"/>
      <c r="AD29" s="5"/>
      <c r="AE29" s="5"/>
      <c r="AF29" s="75"/>
      <c r="AG29" s="75"/>
      <c r="AH29" s="70"/>
      <c r="AI29" s="75"/>
      <c r="AJ29" s="75"/>
      <c r="AK29" s="75"/>
      <c r="AL29" s="61"/>
      <c r="AM29" s="61"/>
      <c r="AN29" s="61"/>
      <c r="AO29" s="61"/>
      <c r="AP29" s="61"/>
      <c r="AQ29" s="61"/>
      <c r="AR29" s="61"/>
      <c r="AS29" s="61"/>
      <c r="AT29" s="61"/>
      <c r="AU29" s="5"/>
      <c r="AV29" s="71"/>
      <c r="AW29" s="5"/>
      <c r="AX29" s="5"/>
      <c r="AY29" s="5"/>
      <c r="AZ29" s="69"/>
      <c r="BA29" s="69"/>
      <c r="BB29" s="69"/>
      <c r="BC29" s="5"/>
      <c r="BD29" s="61"/>
      <c r="BE29" s="61"/>
      <c r="BF29" s="63"/>
      <c r="BG29" s="67"/>
      <c r="BH29" s="67"/>
      <c r="BI29" s="67"/>
      <c r="BJ29" s="67"/>
      <c r="BK29" s="67"/>
      <c r="BL29" s="5"/>
      <c r="BM29" s="5"/>
      <c r="BN29" s="5"/>
      <c r="BO29" s="5"/>
      <c r="BP29" s="5"/>
      <c r="BQ29" s="5"/>
      <c r="BR29" s="5"/>
      <c r="BS29" s="5"/>
      <c r="BT29" s="61"/>
      <c r="BU29" s="61"/>
      <c r="BV29" s="61"/>
      <c r="BW29" s="61"/>
      <c r="BX29" s="61"/>
      <c r="BY29" s="61"/>
      <c r="BZ29" s="61"/>
      <c r="CA29" s="61"/>
      <c r="CB29" s="5"/>
      <c r="CC29" s="61"/>
      <c r="CD29" s="61"/>
      <c r="CE29" s="5"/>
      <c r="CF29" s="61"/>
      <c r="CG29" s="5"/>
      <c r="CH29" s="61"/>
      <c r="CI29" s="61"/>
      <c r="CJ29" s="61"/>
      <c r="CK29" s="61"/>
      <c r="CL29" s="61"/>
      <c r="CM29" s="69"/>
      <c r="CN29" s="5"/>
      <c r="CO29" s="61"/>
      <c r="CP29" s="61"/>
      <c r="CQ29" s="73"/>
      <c r="CR29" s="73"/>
      <c r="CS29" s="73"/>
      <c r="CT29" s="5"/>
      <c r="CU29" s="73"/>
      <c r="CV29" s="5"/>
      <c r="CW29" s="5"/>
      <c r="CX29" s="5"/>
      <c r="CY29" s="5"/>
      <c r="CZ29" s="5"/>
      <c r="DA29" s="5"/>
      <c r="DB29" s="5"/>
      <c r="DC29" s="61"/>
      <c r="DD29" s="61"/>
      <c r="DE29" s="61"/>
      <c r="DF29" s="61"/>
      <c r="DG29" s="61"/>
      <c r="DH29" s="61"/>
      <c r="DI29" s="61"/>
      <c r="DJ29" s="61"/>
      <c r="DK29" s="61"/>
      <c r="DL29" s="61"/>
      <c r="DM29" s="61"/>
      <c r="DN29" s="61"/>
      <c r="DO29" s="61"/>
      <c r="DP29" s="61"/>
      <c r="DQ29" s="61"/>
      <c r="DR29" s="61"/>
      <c r="DS29" s="61"/>
      <c r="DT29" s="61"/>
      <c r="DU29" s="61"/>
      <c r="DV29" s="61"/>
      <c r="DW29" s="61"/>
      <c r="DX29" s="61"/>
      <c r="DY29" s="61"/>
      <c r="DZ29" s="61"/>
      <c r="EA29" s="61"/>
      <c r="EB29" s="61"/>
      <c r="EC29" s="61"/>
      <c r="ED29" s="74"/>
      <c r="EE29" s="6"/>
      <c r="EF29" s="5"/>
      <c r="EG29" s="5"/>
      <c r="EH29" s="5"/>
      <c r="EI29" s="61"/>
      <c r="EJ29" s="61"/>
      <c r="EK29" s="61"/>
      <c r="EL29" s="61"/>
      <c r="EM29" s="61"/>
      <c r="EN29" s="61"/>
      <c r="EO29" s="61"/>
      <c r="EP29" s="68"/>
      <c r="EQ29" s="9"/>
      <c r="ER29" s="9"/>
      <c r="ES29" s="61"/>
      <c r="ET29" s="61"/>
      <c r="EU29" s="61"/>
      <c r="EV29" s="61"/>
      <c r="EW29" s="61"/>
      <c r="EX29" s="61"/>
      <c r="EY29" s="61"/>
      <c r="EZ29" s="61"/>
      <c r="FA29" s="61"/>
      <c r="FB29" s="61"/>
      <c r="FC29" s="61"/>
      <c r="FD29" s="61"/>
      <c r="FE29" s="61"/>
      <c r="FF29" s="61"/>
      <c r="FG29" s="61"/>
      <c r="FH29" s="61"/>
      <c r="FI29" s="61"/>
      <c r="FJ29" s="61"/>
      <c r="FK29" s="61"/>
      <c r="FL29" s="5"/>
      <c r="FM29" s="61"/>
      <c r="FN29" s="61"/>
      <c r="FO29" s="61"/>
      <c r="FP29" s="61"/>
      <c r="FQ29" s="61"/>
      <c r="FR29" s="61"/>
      <c r="FS29" s="61"/>
      <c r="FT29" s="61"/>
      <c r="FU29" s="61"/>
      <c r="FV29" s="61"/>
      <c r="FW29" s="61"/>
      <c r="FX29" s="61"/>
      <c r="FY29" s="61"/>
      <c r="FZ29" s="61"/>
      <c r="GA29" s="61"/>
      <c r="GB29" s="61"/>
      <c r="GC29" s="61"/>
      <c r="GD29" s="61"/>
      <c r="GE29" s="61"/>
      <c r="GF29" s="61"/>
      <c r="GG29" s="61"/>
      <c r="GH29" s="61"/>
      <c r="GI29" s="61"/>
      <c r="GJ29" s="61"/>
    </row>
    <row r="30" customFormat="1" ht="16.8" spans="1:192">
      <c r="A30" s="5"/>
      <c r="B30" s="64"/>
      <c r="C30" s="5"/>
      <c r="D30" s="61"/>
      <c r="E30" s="61"/>
      <c r="F30" s="62"/>
      <c r="G30" s="5"/>
      <c r="H30" s="5"/>
      <c r="I30" s="5"/>
      <c r="J30" s="5"/>
      <c r="K30" s="61"/>
      <c r="L30" s="67"/>
      <c r="M30" s="61"/>
      <c r="N30" s="61"/>
      <c r="O30" s="61"/>
      <c r="P30" s="61"/>
      <c r="Q30" s="61"/>
      <c r="R30" s="61"/>
      <c r="S30" s="61"/>
      <c r="T30" s="61"/>
      <c r="U30" s="61"/>
      <c r="V30" s="68"/>
      <c r="W30" s="7"/>
      <c r="X30" s="5"/>
      <c r="Y30" s="5"/>
      <c r="Z30" s="5"/>
      <c r="AA30" s="5"/>
      <c r="AB30" s="69"/>
      <c r="AC30" s="61"/>
      <c r="AD30" s="5"/>
      <c r="AE30" s="5"/>
      <c r="AF30" s="75"/>
      <c r="AG30" s="75"/>
      <c r="AH30" s="70"/>
      <c r="AI30" s="75"/>
      <c r="AJ30" s="75"/>
      <c r="AK30" s="75"/>
      <c r="AL30" s="61"/>
      <c r="AM30" s="61"/>
      <c r="AN30" s="61"/>
      <c r="AO30" s="61"/>
      <c r="AP30" s="61"/>
      <c r="AQ30" s="61"/>
      <c r="AR30" s="61"/>
      <c r="AS30" s="61"/>
      <c r="AT30" s="61"/>
      <c r="AU30" s="5"/>
      <c r="AV30" s="71"/>
      <c r="AW30" s="5"/>
      <c r="AX30" s="5"/>
      <c r="AY30" s="5"/>
      <c r="AZ30" s="69"/>
      <c r="BA30" s="69"/>
      <c r="BB30" s="69"/>
      <c r="BC30" s="5"/>
      <c r="BD30" s="61"/>
      <c r="BE30" s="61"/>
      <c r="BF30" s="63"/>
      <c r="BG30" s="67"/>
      <c r="BH30" s="67"/>
      <c r="BI30" s="67"/>
      <c r="BJ30" s="67"/>
      <c r="BK30" s="67"/>
      <c r="BL30" s="5"/>
      <c r="BM30" s="5"/>
      <c r="BN30" s="5"/>
      <c r="BO30" s="5"/>
      <c r="BP30" s="5"/>
      <c r="BQ30" s="5"/>
      <c r="BR30" s="5"/>
      <c r="BS30" s="5"/>
      <c r="BT30" s="61"/>
      <c r="BU30" s="61"/>
      <c r="BV30" s="61"/>
      <c r="BW30" s="61"/>
      <c r="BX30" s="61"/>
      <c r="BY30" s="61"/>
      <c r="BZ30" s="61"/>
      <c r="CA30" s="61"/>
      <c r="CB30" s="5"/>
      <c r="CC30" s="61"/>
      <c r="CD30" s="61"/>
      <c r="CE30" s="5"/>
      <c r="CF30" s="61"/>
      <c r="CG30" s="5"/>
      <c r="CH30" s="61"/>
      <c r="CI30" s="61"/>
      <c r="CJ30" s="61"/>
      <c r="CK30" s="61"/>
      <c r="CL30" s="61"/>
      <c r="CM30" s="69"/>
      <c r="CN30" s="5"/>
      <c r="CO30" s="61"/>
      <c r="CP30" s="61"/>
      <c r="CQ30" s="73"/>
      <c r="CR30" s="73"/>
      <c r="CS30" s="73"/>
      <c r="CT30" s="5"/>
      <c r="CU30" s="73"/>
      <c r="CV30" s="5"/>
      <c r="CW30" s="5"/>
      <c r="CX30" s="5"/>
      <c r="CY30" s="5"/>
      <c r="CZ30" s="5"/>
      <c r="DA30" s="5"/>
      <c r="DB30" s="5"/>
      <c r="DC30" s="61"/>
      <c r="DD30" s="61"/>
      <c r="DE30" s="61"/>
      <c r="DF30" s="61"/>
      <c r="DG30" s="61"/>
      <c r="DH30" s="61"/>
      <c r="DI30" s="61"/>
      <c r="DJ30" s="61"/>
      <c r="DK30" s="61"/>
      <c r="DL30" s="61"/>
      <c r="DM30" s="61"/>
      <c r="DN30" s="61"/>
      <c r="DO30" s="61"/>
      <c r="DP30" s="61"/>
      <c r="DQ30" s="61"/>
      <c r="DR30" s="61"/>
      <c r="DS30" s="61"/>
      <c r="DT30" s="61"/>
      <c r="DU30" s="61"/>
      <c r="DV30" s="61"/>
      <c r="DW30" s="61"/>
      <c r="DX30" s="61"/>
      <c r="DY30" s="61"/>
      <c r="DZ30" s="61"/>
      <c r="EA30" s="61"/>
      <c r="EB30" s="61"/>
      <c r="EC30" s="61"/>
      <c r="ED30" s="74"/>
      <c r="EE30" s="6"/>
      <c r="EF30" s="5"/>
      <c r="EG30" s="5"/>
      <c r="EH30" s="5"/>
      <c r="EI30" s="61"/>
      <c r="EJ30" s="61"/>
      <c r="EK30" s="61"/>
      <c r="EL30" s="61"/>
      <c r="EM30" s="61"/>
      <c r="EN30" s="61"/>
      <c r="EO30" s="61"/>
      <c r="EP30" s="68"/>
      <c r="EQ30" s="9"/>
      <c r="ER30" s="9"/>
      <c r="ES30" s="61"/>
      <c r="ET30" s="61"/>
      <c r="EU30" s="61"/>
      <c r="EV30" s="61"/>
      <c r="EW30" s="61"/>
      <c r="EX30" s="61"/>
      <c r="EY30" s="61"/>
      <c r="EZ30" s="61"/>
      <c r="FA30" s="61"/>
      <c r="FB30" s="61"/>
      <c r="FC30" s="61"/>
      <c r="FD30" s="61"/>
      <c r="FE30" s="61"/>
      <c r="FF30" s="61"/>
      <c r="FG30" s="61"/>
      <c r="FH30" s="61"/>
      <c r="FI30" s="61"/>
      <c r="FJ30" s="61"/>
      <c r="FK30" s="61"/>
      <c r="FL30" s="5"/>
      <c r="FM30" s="61"/>
      <c r="FN30" s="61"/>
      <c r="FO30" s="61"/>
      <c r="FP30" s="61"/>
      <c r="FQ30" s="61"/>
      <c r="FR30" s="61"/>
      <c r="FS30" s="61"/>
      <c r="FT30" s="61"/>
      <c r="FU30" s="61"/>
      <c r="FV30" s="61"/>
      <c r="FW30" s="61"/>
      <c r="FX30" s="61"/>
      <c r="FY30" s="61"/>
      <c r="FZ30" s="61"/>
      <c r="GA30" s="61"/>
      <c r="GB30" s="61"/>
      <c r="GC30" s="61"/>
      <c r="GD30" s="61"/>
      <c r="GE30" s="61"/>
      <c r="GF30" s="61"/>
      <c r="GG30" s="61"/>
      <c r="GH30" s="61"/>
      <c r="GI30" s="61"/>
      <c r="GJ30" s="61"/>
    </row>
    <row r="31" customFormat="1" ht="16.8" spans="1:192">
      <c r="A31" s="5"/>
      <c r="B31" s="64"/>
      <c r="C31" s="5"/>
      <c r="D31" s="61"/>
      <c r="E31" s="61"/>
      <c r="F31" s="62"/>
      <c r="G31" s="5"/>
      <c r="H31" s="5"/>
      <c r="I31" s="5"/>
      <c r="J31" s="5"/>
      <c r="K31" s="61"/>
      <c r="L31" s="67"/>
      <c r="M31" s="61"/>
      <c r="N31" s="61"/>
      <c r="O31" s="61"/>
      <c r="P31" s="61"/>
      <c r="Q31" s="61"/>
      <c r="R31" s="61"/>
      <c r="S31" s="61"/>
      <c r="T31" s="61"/>
      <c r="U31" s="61"/>
      <c r="V31" s="68"/>
      <c r="W31" s="7"/>
      <c r="X31" s="5"/>
      <c r="Y31" s="5"/>
      <c r="Z31" s="5"/>
      <c r="AA31" s="5"/>
      <c r="AB31" s="69"/>
      <c r="AC31" s="61"/>
      <c r="AD31" s="5"/>
      <c r="AE31" s="5"/>
      <c r="AF31" s="75"/>
      <c r="AG31" s="75"/>
      <c r="AH31" s="70"/>
      <c r="AI31" s="75"/>
      <c r="AJ31" s="75"/>
      <c r="AK31" s="75"/>
      <c r="AL31" s="61"/>
      <c r="AM31" s="61"/>
      <c r="AN31" s="61"/>
      <c r="AO31" s="61"/>
      <c r="AP31" s="61"/>
      <c r="AQ31" s="61"/>
      <c r="AR31" s="61"/>
      <c r="AS31" s="61"/>
      <c r="AT31" s="61"/>
      <c r="AU31" s="5"/>
      <c r="AV31" s="71"/>
      <c r="AW31" s="5"/>
      <c r="AX31" s="5"/>
      <c r="AY31" s="5"/>
      <c r="AZ31" s="69"/>
      <c r="BA31" s="69"/>
      <c r="BB31" s="69"/>
      <c r="BC31" s="5"/>
      <c r="BD31" s="61"/>
      <c r="BE31" s="61"/>
      <c r="BF31" s="63"/>
      <c r="BG31" s="67"/>
      <c r="BH31" s="67"/>
      <c r="BI31" s="67"/>
      <c r="BJ31" s="67"/>
      <c r="BK31" s="67"/>
      <c r="BL31" s="5"/>
      <c r="BM31" s="5"/>
      <c r="BN31" s="5"/>
      <c r="BO31" s="5"/>
      <c r="BP31" s="5"/>
      <c r="BQ31" s="5"/>
      <c r="BR31" s="5"/>
      <c r="BS31" s="5"/>
      <c r="BT31" s="61"/>
      <c r="BU31" s="61"/>
      <c r="BV31" s="61"/>
      <c r="BW31" s="61"/>
      <c r="BX31" s="61"/>
      <c r="BY31" s="61"/>
      <c r="BZ31" s="61"/>
      <c r="CA31" s="61"/>
      <c r="CB31" s="5"/>
      <c r="CC31" s="61"/>
      <c r="CD31" s="61"/>
      <c r="CE31" s="5"/>
      <c r="CF31" s="61"/>
      <c r="CG31" s="5"/>
      <c r="CH31" s="61"/>
      <c r="CI31" s="61"/>
      <c r="CJ31" s="61"/>
      <c r="CK31" s="61"/>
      <c r="CL31" s="61"/>
      <c r="CM31" s="69"/>
      <c r="CN31" s="5"/>
      <c r="CO31" s="61"/>
      <c r="CP31" s="61"/>
      <c r="CQ31" s="73"/>
      <c r="CR31" s="73"/>
      <c r="CS31" s="73"/>
      <c r="CT31" s="5"/>
      <c r="CU31" s="73"/>
      <c r="CV31" s="5"/>
      <c r="CW31" s="5"/>
      <c r="CX31" s="5"/>
      <c r="CY31" s="5"/>
      <c r="CZ31" s="5"/>
      <c r="DA31" s="5"/>
      <c r="DB31" s="5"/>
      <c r="DC31" s="61"/>
      <c r="DD31" s="61"/>
      <c r="DE31" s="61"/>
      <c r="DF31" s="61"/>
      <c r="DG31" s="61"/>
      <c r="DH31" s="61"/>
      <c r="DI31" s="61"/>
      <c r="DJ31" s="61"/>
      <c r="DK31" s="61"/>
      <c r="DL31" s="61"/>
      <c r="DM31" s="61"/>
      <c r="DN31" s="61"/>
      <c r="DO31" s="61"/>
      <c r="DP31" s="61"/>
      <c r="DQ31" s="61"/>
      <c r="DR31" s="61"/>
      <c r="DS31" s="61"/>
      <c r="DT31" s="61"/>
      <c r="DU31" s="61"/>
      <c r="DV31" s="61"/>
      <c r="DW31" s="61"/>
      <c r="DX31" s="61"/>
      <c r="DY31" s="61"/>
      <c r="DZ31" s="61"/>
      <c r="EA31" s="61"/>
      <c r="EB31" s="61"/>
      <c r="EC31" s="61"/>
      <c r="ED31" s="74"/>
      <c r="EE31" s="6"/>
      <c r="EF31" s="5"/>
      <c r="EG31" s="5"/>
      <c r="EH31" s="5"/>
      <c r="EI31" s="61"/>
      <c r="EJ31" s="61"/>
      <c r="EK31" s="61"/>
      <c r="EL31" s="61"/>
      <c r="EM31" s="61"/>
      <c r="EN31" s="61"/>
      <c r="EO31" s="61"/>
      <c r="EP31" s="68"/>
      <c r="EQ31" s="9"/>
      <c r="ER31" s="9"/>
      <c r="ES31" s="61"/>
      <c r="ET31" s="61"/>
      <c r="EU31" s="61"/>
      <c r="EV31" s="61"/>
      <c r="EW31" s="61"/>
      <c r="EX31" s="61"/>
      <c r="EY31" s="61"/>
      <c r="EZ31" s="61"/>
      <c r="FA31" s="61"/>
      <c r="FB31" s="61"/>
      <c r="FC31" s="61"/>
      <c r="FD31" s="61"/>
      <c r="FE31" s="61"/>
      <c r="FF31" s="61"/>
      <c r="FG31" s="61"/>
      <c r="FH31" s="61"/>
      <c r="FI31" s="61"/>
      <c r="FJ31" s="61"/>
      <c r="FK31" s="61"/>
      <c r="FL31" s="5"/>
      <c r="FM31" s="61"/>
      <c r="FN31" s="61"/>
      <c r="FO31" s="61"/>
      <c r="FP31" s="61"/>
      <c r="FQ31" s="61"/>
      <c r="FR31" s="61"/>
      <c r="FS31" s="61"/>
      <c r="FT31" s="61"/>
      <c r="FU31" s="61"/>
      <c r="FV31" s="61"/>
      <c r="FW31" s="61"/>
      <c r="FX31" s="61"/>
      <c r="FY31" s="61"/>
      <c r="FZ31" s="61"/>
      <c r="GA31" s="61"/>
      <c r="GB31" s="61"/>
      <c r="GC31" s="61"/>
      <c r="GD31" s="61"/>
      <c r="GE31" s="61"/>
      <c r="GF31" s="61"/>
      <c r="GG31" s="61"/>
      <c r="GH31" s="61"/>
      <c r="GI31" s="61"/>
      <c r="GJ31" s="61"/>
    </row>
    <row r="32" customFormat="1" ht="16.8" spans="1:192">
      <c r="A32" s="5"/>
      <c r="B32" s="64"/>
      <c r="C32" s="5"/>
      <c r="D32" s="61"/>
      <c r="E32" s="61"/>
      <c r="F32" s="62"/>
      <c r="G32" s="5"/>
      <c r="H32" s="5"/>
      <c r="I32" s="5"/>
      <c r="J32" s="5"/>
      <c r="K32" s="61"/>
      <c r="L32" s="67"/>
      <c r="M32" s="61"/>
      <c r="N32" s="61"/>
      <c r="O32" s="61"/>
      <c r="P32" s="61"/>
      <c r="Q32" s="61"/>
      <c r="R32" s="61"/>
      <c r="S32" s="61"/>
      <c r="T32" s="61"/>
      <c r="U32" s="61"/>
      <c r="V32" s="68"/>
      <c r="W32" s="7"/>
      <c r="X32" s="5"/>
      <c r="Y32" s="5"/>
      <c r="Z32" s="5"/>
      <c r="AA32" s="5"/>
      <c r="AB32" s="69"/>
      <c r="AC32" s="61"/>
      <c r="AD32" s="5"/>
      <c r="AE32" s="5"/>
      <c r="AF32" s="75"/>
      <c r="AG32" s="75"/>
      <c r="AH32" s="70"/>
      <c r="AI32" s="75"/>
      <c r="AJ32" s="75"/>
      <c r="AK32" s="75"/>
      <c r="AL32" s="61"/>
      <c r="AM32" s="61"/>
      <c r="AN32" s="61"/>
      <c r="AO32" s="61"/>
      <c r="AP32" s="61"/>
      <c r="AQ32" s="61"/>
      <c r="AR32" s="61"/>
      <c r="AS32" s="61"/>
      <c r="AT32" s="61"/>
      <c r="AU32" s="5"/>
      <c r="AV32" s="71"/>
      <c r="AW32" s="5"/>
      <c r="AX32" s="5"/>
      <c r="AY32" s="5"/>
      <c r="AZ32" s="69"/>
      <c r="BA32" s="69"/>
      <c r="BB32" s="69"/>
      <c r="BC32" s="5"/>
      <c r="BD32" s="61"/>
      <c r="BE32" s="61"/>
      <c r="BF32" s="63"/>
      <c r="BG32" s="67"/>
      <c r="BH32" s="67"/>
      <c r="BI32" s="67"/>
      <c r="BJ32" s="67"/>
      <c r="BK32" s="67"/>
      <c r="BL32" s="5"/>
      <c r="BM32" s="5"/>
      <c r="BN32" s="5"/>
      <c r="BO32" s="5"/>
      <c r="BP32" s="5"/>
      <c r="BQ32" s="5"/>
      <c r="BR32" s="5"/>
      <c r="BS32" s="5"/>
      <c r="BT32" s="61"/>
      <c r="BU32" s="61"/>
      <c r="BV32" s="61"/>
      <c r="BW32" s="61"/>
      <c r="BX32" s="61"/>
      <c r="BY32" s="61"/>
      <c r="BZ32" s="61"/>
      <c r="CA32" s="61"/>
      <c r="CB32" s="5"/>
      <c r="CC32" s="61"/>
      <c r="CD32" s="61"/>
      <c r="CE32" s="5"/>
      <c r="CF32" s="61"/>
      <c r="CG32" s="5"/>
      <c r="CH32" s="61"/>
      <c r="CI32" s="61"/>
      <c r="CJ32" s="61"/>
      <c r="CK32" s="61"/>
      <c r="CL32" s="61"/>
      <c r="CM32" s="69"/>
      <c r="CN32" s="5"/>
      <c r="CO32" s="61"/>
      <c r="CP32" s="61"/>
      <c r="CQ32" s="73"/>
      <c r="CR32" s="73"/>
      <c r="CS32" s="73"/>
      <c r="CT32" s="5"/>
      <c r="CU32" s="73"/>
      <c r="CV32" s="5"/>
      <c r="CW32" s="5"/>
      <c r="CX32" s="5"/>
      <c r="CY32" s="5"/>
      <c r="CZ32" s="5"/>
      <c r="DA32" s="5"/>
      <c r="DB32" s="5"/>
      <c r="DC32" s="61"/>
      <c r="DD32" s="61"/>
      <c r="DE32" s="61"/>
      <c r="DF32" s="61"/>
      <c r="DG32" s="61"/>
      <c r="DH32" s="61"/>
      <c r="DI32" s="61"/>
      <c r="DJ32" s="61"/>
      <c r="DK32" s="61"/>
      <c r="DL32" s="61"/>
      <c r="DM32" s="61"/>
      <c r="DN32" s="61"/>
      <c r="DO32" s="61"/>
      <c r="DP32" s="61"/>
      <c r="DQ32" s="61"/>
      <c r="DR32" s="61"/>
      <c r="DS32" s="61"/>
      <c r="DT32" s="61"/>
      <c r="DU32" s="61"/>
      <c r="DV32" s="61"/>
      <c r="DW32" s="61"/>
      <c r="DX32" s="61"/>
      <c r="DY32" s="61"/>
      <c r="DZ32" s="61"/>
      <c r="EA32" s="61"/>
      <c r="EB32" s="61"/>
      <c r="EC32" s="61"/>
      <c r="ED32" s="74"/>
      <c r="EE32" s="6"/>
      <c r="EF32" s="5"/>
      <c r="EG32" s="5"/>
      <c r="EH32" s="5"/>
      <c r="EI32" s="61"/>
      <c r="EJ32" s="61"/>
      <c r="EK32" s="61"/>
      <c r="EL32" s="61"/>
      <c r="EM32" s="61"/>
      <c r="EN32" s="61"/>
      <c r="EO32" s="61"/>
      <c r="EP32" s="68"/>
      <c r="EQ32" s="9"/>
      <c r="ER32" s="9"/>
      <c r="ES32" s="61"/>
      <c r="ET32" s="61"/>
      <c r="EU32" s="61"/>
      <c r="EV32" s="61"/>
      <c r="EW32" s="61"/>
      <c r="EX32" s="61"/>
      <c r="EY32" s="61"/>
      <c r="EZ32" s="61"/>
      <c r="FA32" s="61"/>
      <c r="FB32" s="61"/>
      <c r="FC32" s="61"/>
      <c r="FD32" s="61"/>
      <c r="FE32" s="61"/>
      <c r="FF32" s="61"/>
      <c r="FG32" s="61"/>
      <c r="FH32" s="61"/>
      <c r="FI32" s="61"/>
      <c r="FJ32" s="61"/>
      <c r="FK32" s="61"/>
      <c r="FL32" s="5"/>
      <c r="FM32" s="61"/>
      <c r="FN32" s="61"/>
      <c r="FO32" s="61"/>
      <c r="FP32" s="61"/>
      <c r="FQ32" s="61"/>
      <c r="FR32" s="61"/>
      <c r="FS32" s="61"/>
      <c r="FT32" s="61"/>
      <c r="FU32" s="61"/>
      <c r="FV32" s="61"/>
      <c r="FW32" s="61"/>
      <c r="FX32" s="61"/>
      <c r="FY32" s="61"/>
      <c r="FZ32" s="61"/>
      <c r="GA32" s="61"/>
      <c r="GB32" s="61"/>
      <c r="GC32" s="61"/>
      <c r="GD32" s="61"/>
      <c r="GE32" s="61"/>
      <c r="GF32" s="61"/>
      <c r="GG32" s="61"/>
      <c r="GH32" s="61"/>
      <c r="GI32" s="61"/>
      <c r="GJ32" s="61"/>
    </row>
    <row r="33" customFormat="1" ht="16.8" spans="1:192">
      <c r="A33" s="5"/>
      <c r="B33" s="64"/>
      <c r="C33" s="5"/>
      <c r="D33" s="61"/>
      <c r="E33" s="61"/>
      <c r="F33" s="62"/>
      <c r="G33" s="5"/>
      <c r="H33" s="5"/>
      <c r="I33" s="5"/>
      <c r="J33" s="5"/>
      <c r="K33" s="61"/>
      <c r="L33" s="67"/>
      <c r="M33" s="61"/>
      <c r="N33" s="61"/>
      <c r="O33" s="61"/>
      <c r="P33" s="61"/>
      <c r="Q33" s="61"/>
      <c r="R33" s="61"/>
      <c r="S33" s="61"/>
      <c r="T33" s="61"/>
      <c r="U33" s="61"/>
      <c r="V33" s="68"/>
      <c r="W33" s="7"/>
      <c r="X33" s="5"/>
      <c r="Y33" s="5"/>
      <c r="Z33" s="5"/>
      <c r="AA33" s="5"/>
      <c r="AB33" s="69"/>
      <c r="AC33" s="61"/>
      <c r="AD33" s="5"/>
      <c r="AE33" s="5"/>
      <c r="AF33" s="75"/>
      <c r="AG33" s="75"/>
      <c r="AH33" s="70"/>
      <c r="AI33" s="75"/>
      <c r="AJ33" s="75"/>
      <c r="AK33" s="75"/>
      <c r="AL33" s="61"/>
      <c r="AM33" s="61"/>
      <c r="AN33" s="61"/>
      <c r="AO33" s="61"/>
      <c r="AP33" s="61"/>
      <c r="AQ33" s="61"/>
      <c r="AR33" s="61"/>
      <c r="AS33" s="61"/>
      <c r="AT33" s="61"/>
      <c r="AU33" s="5"/>
      <c r="AV33" s="71"/>
      <c r="AW33" s="5"/>
      <c r="AX33" s="5"/>
      <c r="AY33" s="5"/>
      <c r="AZ33" s="69"/>
      <c r="BA33" s="69"/>
      <c r="BB33" s="69"/>
      <c r="BC33" s="5"/>
      <c r="BD33" s="61"/>
      <c r="BE33" s="61"/>
      <c r="BF33" s="63"/>
      <c r="BG33" s="67"/>
      <c r="BH33" s="67"/>
      <c r="BI33" s="67"/>
      <c r="BJ33" s="67"/>
      <c r="BK33" s="67"/>
      <c r="BL33" s="5"/>
      <c r="BM33" s="5"/>
      <c r="BN33" s="5"/>
      <c r="BO33" s="5"/>
      <c r="BP33" s="5"/>
      <c r="BQ33" s="5"/>
      <c r="BR33" s="5"/>
      <c r="BS33" s="5"/>
      <c r="BT33" s="61"/>
      <c r="BU33" s="61"/>
      <c r="BV33" s="61"/>
      <c r="BW33" s="61"/>
      <c r="BX33" s="61"/>
      <c r="BY33" s="61"/>
      <c r="BZ33" s="61"/>
      <c r="CA33" s="61"/>
      <c r="CB33" s="5"/>
      <c r="CC33" s="61"/>
      <c r="CD33" s="61"/>
      <c r="CE33" s="5"/>
      <c r="CF33" s="61"/>
      <c r="CG33" s="5"/>
      <c r="CH33" s="61"/>
      <c r="CI33" s="61"/>
      <c r="CJ33" s="61"/>
      <c r="CK33" s="61"/>
      <c r="CL33" s="61"/>
      <c r="CM33" s="69"/>
      <c r="CN33" s="5"/>
      <c r="CO33" s="61"/>
      <c r="CP33" s="61"/>
      <c r="CQ33" s="73"/>
      <c r="CR33" s="73"/>
      <c r="CS33" s="73"/>
      <c r="CT33" s="5"/>
      <c r="CU33" s="73"/>
      <c r="CV33" s="5"/>
      <c r="CW33" s="5"/>
      <c r="CX33" s="5"/>
      <c r="CY33" s="5"/>
      <c r="CZ33" s="5"/>
      <c r="DA33" s="5"/>
      <c r="DB33" s="5"/>
      <c r="DC33" s="61"/>
      <c r="DD33" s="61"/>
      <c r="DE33" s="61"/>
      <c r="DF33" s="61"/>
      <c r="DG33" s="61"/>
      <c r="DH33" s="61"/>
      <c r="DI33" s="61"/>
      <c r="DJ33" s="61"/>
      <c r="DK33" s="61"/>
      <c r="DL33" s="61"/>
      <c r="DM33" s="61"/>
      <c r="DN33" s="61"/>
      <c r="DO33" s="61"/>
      <c r="DP33" s="61"/>
      <c r="DQ33" s="61"/>
      <c r="DR33" s="61"/>
      <c r="DS33" s="61"/>
      <c r="DT33" s="61"/>
      <c r="DU33" s="61"/>
      <c r="DV33" s="61"/>
      <c r="DW33" s="61"/>
      <c r="DX33" s="61"/>
      <c r="DY33" s="61"/>
      <c r="DZ33" s="61"/>
      <c r="EA33" s="61"/>
      <c r="EB33" s="61"/>
      <c r="EC33" s="61"/>
      <c r="ED33" s="74"/>
      <c r="EE33" s="6"/>
      <c r="EF33" s="5"/>
      <c r="EG33" s="5"/>
      <c r="EH33" s="5"/>
      <c r="EI33" s="61"/>
      <c r="EJ33" s="61"/>
      <c r="EK33" s="61"/>
      <c r="EL33" s="61"/>
      <c r="EM33" s="61"/>
      <c r="EN33" s="61"/>
      <c r="EO33" s="61"/>
      <c r="EP33" s="68"/>
      <c r="EQ33" s="9"/>
      <c r="ER33" s="9"/>
      <c r="ES33" s="61"/>
      <c r="ET33" s="61"/>
      <c r="EU33" s="61"/>
      <c r="EV33" s="61"/>
      <c r="EW33" s="61"/>
      <c r="EX33" s="61"/>
      <c r="EY33" s="61"/>
      <c r="EZ33" s="61"/>
      <c r="FA33" s="61"/>
      <c r="FB33" s="61"/>
      <c r="FC33" s="61"/>
      <c r="FD33" s="61"/>
      <c r="FE33" s="61"/>
      <c r="FF33" s="61"/>
      <c r="FG33" s="61"/>
      <c r="FH33" s="61"/>
      <c r="FI33" s="61"/>
      <c r="FJ33" s="61"/>
      <c r="FK33" s="61"/>
      <c r="FL33" s="5"/>
      <c r="FM33" s="61"/>
      <c r="FN33" s="61"/>
      <c r="FO33" s="61"/>
      <c r="FP33" s="61"/>
      <c r="FQ33" s="61"/>
      <c r="FR33" s="61"/>
      <c r="FS33" s="61"/>
      <c r="FT33" s="61"/>
      <c r="FU33" s="61"/>
      <c r="FV33" s="61"/>
      <c r="FW33" s="61"/>
      <c r="FX33" s="61"/>
      <c r="FY33" s="61"/>
      <c r="FZ33" s="61"/>
      <c r="GA33" s="61"/>
      <c r="GB33" s="61"/>
      <c r="GC33" s="61"/>
      <c r="GD33" s="61"/>
      <c r="GE33" s="61"/>
      <c r="GF33" s="61"/>
      <c r="GG33" s="61"/>
      <c r="GH33" s="61"/>
      <c r="GI33" s="61"/>
      <c r="GJ33" s="61"/>
    </row>
    <row r="34" customFormat="1" ht="16.8" spans="1:192">
      <c r="A34" s="5"/>
      <c r="B34" s="64"/>
      <c r="C34" s="5"/>
      <c r="D34" s="61"/>
      <c r="E34" s="61"/>
      <c r="F34" s="62"/>
      <c r="G34" s="5"/>
      <c r="H34" s="5"/>
      <c r="I34" s="5"/>
      <c r="J34" s="5"/>
      <c r="K34" s="61"/>
      <c r="L34" s="67"/>
      <c r="M34" s="61"/>
      <c r="N34" s="61"/>
      <c r="O34" s="61"/>
      <c r="P34" s="61"/>
      <c r="Q34" s="61"/>
      <c r="R34" s="61"/>
      <c r="S34" s="61"/>
      <c r="T34" s="61"/>
      <c r="U34" s="61"/>
      <c r="V34" s="68"/>
      <c r="W34" s="7"/>
      <c r="X34" s="5"/>
      <c r="Y34" s="5"/>
      <c r="Z34" s="5"/>
      <c r="AA34" s="5"/>
      <c r="AB34" s="69"/>
      <c r="AC34" s="61"/>
      <c r="AD34" s="5"/>
      <c r="AE34" s="5"/>
      <c r="AF34" s="75"/>
      <c r="AG34" s="75"/>
      <c r="AH34" s="70"/>
      <c r="AI34" s="75"/>
      <c r="AJ34" s="75"/>
      <c r="AK34" s="75"/>
      <c r="AL34" s="61"/>
      <c r="AM34" s="61"/>
      <c r="AN34" s="61"/>
      <c r="AO34" s="61"/>
      <c r="AP34" s="61"/>
      <c r="AQ34" s="61"/>
      <c r="AR34" s="61"/>
      <c r="AS34" s="61"/>
      <c r="AT34" s="61"/>
      <c r="AU34" s="5"/>
      <c r="AV34" s="71"/>
      <c r="AW34" s="5"/>
      <c r="AX34" s="5"/>
      <c r="AY34" s="5"/>
      <c r="AZ34" s="69"/>
      <c r="BA34" s="69"/>
      <c r="BB34" s="69"/>
      <c r="BC34" s="5"/>
      <c r="BD34" s="61"/>
      <c r="BE34" s="61"/>
      <c r="BF34" s="63"/>
      <c r="BG34" s="67"/>
      <c r="BH34" s="67"/>
      <c r="BI34" s="67"/>
      <c r="BJ34" s="67"/>
      <c r="BK34" s="67"/>
      <c r="BL34" s="5"/>
      <c r="BM34" s="5"/>
      <c r="BN34" s="5"/>
      <c r="BO34" s="5"/>
      <c r="BP34" s="5"/>
      <c r="BQ34" s="5"/>
      <c r="BR34" s="5"/>
      <c r="BS34" s="5"/>
      <c r="BT34" s="61"/>
      <c r="BU34" s="61"/>
      <c r="BV34" s="61"/>
      <c r="BW34" s="61"/>
      <c r="BX34" s="61"/>
      <c r="BY34" s="61"/>
      <c r="BZ34" s="61"/>
      <c r="CA34" s="61"/>
      <c r="CB34" s="5"/>
      <c r="CC34" s="61"/>
      <c r="CD34" s="61"/>
      <c r="CE34" s="5"/>
      <c r="CF34" s="61"/>
      <c r="CG34" s="5"/>
      <c r="CH34" s="61"/>
      <c r="CI34" s="61"/>
      <c r="CJ34" s="61"/>
      <c r="CK34" s="61"/>
      <c r="CL34" s="61"/>
      <c r="CM34" s="69"/>
      <c r="CN34" s="5"/>
      <c r="CO34" s="61"/>
      <c r="CP34" s="61"/>
      <c r="CQ34" s="73"/>
      <c r="CR34" s="73"/>
      <c r="CS34" s="73"/>
      <c r="CT34" s="5"/>
      <c r="CU34" s="73"/>
      <c r="CV34" s="5"/>
      <c r="CW34" s="5"/>
      <c r="CX34" s="5"/>
      <c r="CY34" s="5"/>
      <c r="CZ34" s="5"/>
      <c r="DA34" s="5"/>
      <c r="DB34" s="5"/>
      <c r="DC34" s="61"/>
      <c r="DD34" s="61"/>
      <c r="DE34" s="61"/>
      <c r="DF34" s="61"/>
      <c r="DG34" s="61"/>
      <c r="DH34" s="61"/>
      <c r="DI34" s="61"/>
      <c r="DJ34" s="61"/>
      <c r="DK34" s="61"/>
      <c r="DL34" s="61"/>
      <c r="DM34" s="61"/>
      <c r="DN34" s="61"/>
      <c r="DO34" s="61"/>
      <c r="DP34" s="61"/>
      <c r="DQ34" s="61"/>
      <c r="DR34" s="61"/>
      <c r="DS34" s="61"/>
      <c r="DT34" s="61"/>
      <c r="DU34" s="61"/>
      <c r="DV34" s="61"/>
      <c r="DW34" s="61"/>
      <c r="DX34" s="61"/>
      <c r="DY34" s="61"/>
      <c r="DZ34" s="61"/>
      <c r="EA34" s="61"/>
      <c r="EB34" s="61"/>
      <c r="EC34" s="61"/>
      <c r="ED34" s="74"/>
      <c r="EE34" s="6"/>
      <c r="EF34" s="5"/>
      <c r="EG34" s="5"/>
      <c r="EH34" s="5"/>
      <c r="EI34" s="61"/>
      <c r="EJ34" s="61"/>
      <c r="EK34" s="61"/>
      <c r="EL34" s="61"/>
      <c r="EM34" s="61"/>
      <c r="EN34" s="61"/>
      <c r="EO34" s="61"/>
      <c r="EP34" s="68"/>
      <c r="EQ34" s="9"/>
      <c r="ER34" s="9"/>
      <c r="ES34" s="61"/>
      <c r="ET34" s="61"/>
      <c r="EU34" s="61"/>
      <c r="EV34" s="61"/>
      <c r="EW34" s="61"/>
      <c r="EX34" s="61"/>
      <c r="EY34" s="61"/>
      <c r="EZ34" s="61"/>
      <c r="FA34" s="61"/>
      <c r="FB34" s="61"/>
      <c r="FC34" s="61"/>
      <c r="FD34" s="61"/>
      <c r="FE34" s="61"/>
      <c r="FF34" s="61"/>
      <c r="FG34" s="61"/>
      <c r="FH34" s="61"/>
      <c r="FI34" s="61"/>
      <c r="FJ34" s="61"/>
      <c r="FK34" s="61"/>
      <c r="FL34" s="5"/>
      <c r="FM34" s="61"/>
      <c r="FN34" s="61"/>
      <c r="FO34" s="61"/>
      <c r="FP34" s="61"/>
      <c r="FQ34" s="61"/>
      <c r="FR34" s="61"/>
      <c r="FS34" s="61"/>
      <c r="FT34" s="61"/>
      <c r="FU34" s="61"/>
      <c r="FV34" s="61"/>
      <c r="FW34" s="61"/>
      <c r="FX34" s="61"/>
      <c r="FY34" s="61"/>
      <c r="FZ34" s="61"/>
      <c r="GA34" s="61"/>
      <c r="GB34" s="61"/>
      <c r="GC34" s="61"/>
      <c r="GD34" s="61"/>
      <c r="GE34" s="61"/>
      <c r="GF34" s="61"/>
      <c r="GG34" s="61"/>
      <c r="GH34" s="61"/>
      <c r="GI34" s="61"/>
      <c r="GJ34" s="61"/>
    </row>
    <row r="35" s="3" customFormat="1" ht="16.8" spans="1:192">
      <c r="A35" s="8"/>
      <c r="B35" s="76"/>
      <c r="C35" s="5"/>
      <c r="D35" s="77"/>
      <c r="E35" s="77"/>
      <c r="F35" s="62"/>
      <c r="G35" s="5"/>
      <c r="H35" s="5"/>
      <c r="I35" s="5"/>
      <c r="J35" s="5"/>
      <c r="K35" s="77"/>
      <c r="L35" s="67"/>
      <c r="M35" s="77"/>
      <c r="N35" s="77"/>
      <c r="O35" s="77"/>
      <c r="P35" s="77"/>
      <c r="Q35" s="77"/>
      <c r="R35" s="77"/>
      <c r="S35" s="77"/>
      <c r="T35" s="77"/>
      <c r="U35" s="77"/>
      <c r="V35" s="68"/>
      <c r="W35" s="78"/>
      <c r="X35" s="5"/>
      <c r="Y35" s="5"/>
      <c r="Z35" s="5"/>
      <c r="AA35" s="5"/>
      <c r="AB35" s="2"/>
      <c r="AC35" s="77"/>
      <c r="AD35" s="5"/>
      <c r="AE35" s="5"/>
      <c r="AF35" s="79"/>
      <c r="AG35" s="79"/>
      <c r="AH35" s="80"/>
      <c r="AI35" s="79"/>
      <c r="AJ35" s="79"/>
      <c r="AK35" s="79"/>
      <c r="AL35" s="77"/>
      <c r="AM35" s="77"/>
      <c r="AN35" s="77"/>
      <c r="AO35" s="77"/>
      <c r="AP35" s="77"/>
      <c r="AQ35" s="77"/>
      <c r="AR35" s="77"/>
      <c r="AS35" s="77"/>
      <c r="AT35" s="77"/>
      <c r="AU35" s="5"/>
      <c r="AV35" s="71"/>
      <c r="AW35" s="5"/>
      <c r="AX35" s="5"/>
      <c r="AY35" s="5"/>
      <c r="AZ35" s="2"/>
      <c r="BA35" s="2"/>
      <c r="BB35" s="2"/>
      <c r="BC35" s="5"/>
      <c r="BD35" s="77"/>
      <c r="BE35" s="77"/>
      <c r="BF35" s="63"/>
      <c r="BG35" s="67"/>
      <c r="BH35" s="67"/>
      <c r="BI35" s="67"/>
      <c r="BJ35" s="67"/>
      <c r="BK35" s="67"/>
      <c r="BL35" s="8"/>
      <c r="BM35" s="5"/>
      <c r="BN35" s="5"/>
      <c r="BO35" s="5"/>
      <c r="BP35" s="5"/>
      <c r="BQ35" s="5"/>
      <c r="BR35" s="5"/>
      <c r="BS35" s="5"/>
      <c r="BT35" s="77"/>
      <c r="BU35" s="77"/>
      <c r="BV35" s="77"/>
      <c r="BW35" s="77"/>
      <c r="BX35" s="77"/>
      <c r="BY35" s="77"/>
      <c r="BZ35" s="77"/>
      <c r="CA35" s="77"/>
      <c r="CB35" s="5"/>
      <c r="CC35" s="77"/>
      <c r="CD35" s="77"/>
      <c r="CE35" s="5"/>
      <c r="CF35" s="77"/>
      <c r="CG35" s="5"/>
      <c r="CH35" s="77"/>
      <c r="CI35" s="77"/>
      <c r="CJ35" s="77"/>
      <c r="CK35" s="77"/>
      <c r="CL35" s="77"/>
      <c r="CM35" s="69"/>
      <c r="CN35" s="5"/>
      <c r="CO35" s="77"/>
      <c r="CP35" s="77"/>
      <c r="CQ35" s="73"/>
      <c r="CR35" s="73"/>
      <c r="CS35" s="73"/>
      <c r="CT35" s="5"/>
      <c r="CU35" s="73"/>
      <c r="CV35" s="5"/>
      <c r="CW35" s="5"/>
      <c r="CX35" s="5"/>
      <c r="CY35" s="5"/>
      <c r="CZ35" s="5"/>
      <c r="DA35" s="5"/>
      <c r="DB35" s="8"/>
      <c r="DC35" s="77"/>
      <c r="DD35" s="77"/>
      <c r="DE35" s="77"/>
      <c r="DF35" s="77"/>
      <c r="DG35" s="77"/>
      <c r="DH35" s="77"/>
      <c r="DI35" s="77"/>
      <c r="DJ35" s="77"/>
      <c r="DK35" s="77"/>
      <c r="DL35" s="77"/>
      <c r="DM35" s="77"/>
      <c r="DN35" s="77"/>
      <c r="DO35" s="77"/>
      <c r="DP35" s="77"/>
      <c r="DQ35" s="77"/>
      <c r="DR35" s="77"/>
      <c r="DS35" s="77"/>
      <c r="DT35" s="77"/>
      <c r="DU35" s="77"/>
      <c r="DV35" s="77"/>
      <c r="DW35" s="77"/>
      <c r="DX35" s="77"/>
      <c r="DY35" s="77"/>
      <c r="DZ35" s="77"/>
      <c r="EA35" s="77"/>
      <c r="EB35" s="77"/>
      <c r="EC35" s="77"/>
      <c r="ED35" s="74"/>
      <c r="EE35" s="81"/>
      <c r="EF35" s="8"/>
      <c r="EG35" s="8"/>
      <c r="EH35" s="5"/>
      <c r="EI35" s="77"/>
      <c r="EJ35" s="77"/>
      <c r="EK35" s="77"/>
      <c r="EL35" s="77"/>
      <c r="EM35" s="77"/>
      <c r="EN35" s="77"/>
      <c r="EO35" s="77"/>
      <c r="EP35" s="68"/>
      <c r="EQ35" s="9"/>
      <c r="ER35" s="9"/>
      <c r="ES35" s="77"/>
      <c r="ET35" s="77"/>
      <c r="EU35" s="77"/>
      <c r="EV35" s="77"/>
      <c r="EW35" s="77"/>
      <c r="EX35" s="77"/>
      <c r="EY35" s="77"/>
      <c r="EZ35" s="77"/>
      <c r="FA35" s="77"/>
      <c r="FB35" s="77"/>
      <c r="FC35" s="77"/>
      <c r="FD35" s="77"/>
      <c r="FE35" s="77"/>
      <c r="FF35" s="77"/>
      <c r="FG35" s="77"/>
      <c r="FH35" s="77"/>
      <c r="FI35" s="77"/>
      <c r="FJ35" s="77"/>
      <c r="FK35" s="77"/>
      <c r="FL35" s="5"/>
      <c r="FM35" s="77"/>
      <c r="FN35" s="77"/>
      <c r="FO35" s="77"/>
      <c r="FP35" s="77"/>
      <c r="FQ35" s="77"/>
      <c r="FR35" s="77"/>
      <c r="FS35" s="77"/>
      <c r="FT35" s="77"/>
      <c r="FU35" s="77"/>
      <c r="FV35" s="77"/>
      <c r="FW35" s="77"/>
      <c r="FX35" s="77"/>
      <c r="FY35" s="77"/>
      <c r="FZ35" s="77"/>
      <c r="GA35" s="77"/>
      <c r="GB35" s="77"/>
      <c r="GC35" s="77"/>
      <c r="GD35" s="77"/>
      <c r="GE35" s="77"/>
      <c r="GF35" s="77"/>
      <c r="GG35" s="77"/>
      <c r="GH35" s="77"/>
      <c r="GI35" s="77"/>
      <c r="GJ35" s="77"/>
    </row>
    <row r="36" s="4" customFormat="1" ht="16.8" spans="1:192">
      <c r="A36" s="63"/>
      <c r="B36" s="64"/>
      <c r="C36" s="5"/>
      <c r="D36" s="83"/>
      <c r="E36" s="83"/>
      <c r="F36" s="62"/>
      <c r="G36" s="5"/>
      <c r="H36" s="5"/>
      <c r="I36" s="5"/>
      <c r="J36" s="5"/>
      <c r="K36" s="83"/>
      <c r="L36" s="67"/>
      <c r="M36" s="83"/>
      <c r="N36" s="83"/>
      <c r="O36" s="83"/>
      <c r="P36" s="83"/>
      <c r="Q36" s="83"/>
      <c r="R36" s="83"/>
      <c r="S36" s="83"/>
      <c r="T36" s="83"/>
      <c r="U36" s="83"/>
      <c r="V36" s="68"/>
      <c r="W36" s="84"/>
      <c r="X36" s="5"/>
      <c r="Y36" s="5"/>
      <c r="Z36" s="5"/>
      <c r="AA36" s="5"/>
      <c r="AB36" s="2"/>
      <c r="AC36" s="83"/>
      <c r="AD36" s="5"/>
      <c r="AE36" s="5"/>
      <c r="AF36" s="75"/>
      <c r="AG36" s="75"/>
      <c r="AH36" s="70"/>
      <c r="AI36" s="75"/>
      <c r="AJ36" s="75"/>
      <c r="AK36" s="75"/>
      <c r="AL36" s="83"/>
      <c r="AM36" s="83"/>
      <c r="AN36" s="83"/>
      <c r="AO36" s="83"/>
      <c r="AP36" s="83"/>
      <c r="AQ36" s="83"/>
      <c r="AR36" s="83"/>
      <c r="AS36" s="83"/>
      <c r="AT36" s="83"/>
      <c r="AU36" s="5"/>
      <c r="AV36" s="71"/>
      <c r="AW36" s="5"/>
      <c r="AX36" s="5"/>
      <c r="AY36" s="5"/>
      <c r="AZ36" s="2"/>
      <c r="BA36" s="2"/>
      <c r="BB36" s="2"/>
      <c r="BC36" s="5"/>
      <c r="BD36" s="83"/>
      <c r="BE36" s="83"/>
      <c r="BF36" s="63"/>
      <c r="BG36" s="67"/>
      <c r="BH36" s="67"/>
      <c r="BI36" s="67"/>
      <c r="BJ36" s="67"/>
      <c r="BK36" s="67"/>
      <c r="BL36" s="63"/>
      <c r="BM36" s="5"/>
      <c r="BN36" s="5"/>
      <c r="BO36" s="5"/>
      <c r="BP36" s="5"/>
      <c r="BQ36" s="5"/>
      <c r="BR36" s="5"/>
      <c r="BS36" s="5"/>
      <c r="BT36" s="83"/>
      <c r="BU36" s="83"/>
      <c r="BV36" s="83"/>
      <c r="BW36" s="83"/>
      <c r="BX36" s="83"/>
      <c r="BY36" s="83"/>
      <c r="BZ36" s="83"/>
      <c r="CA36" s="83"/>
      <c r="CB36" s="5"/>
      <c r="CC36" s="83"/>
      <c r="CD36" s="83"/>
      <c r="CE36" s="5"/>
      <c r="CF36" s="83"/>
      <c r="CG36" s="5"/>
      <c r="CH36" s="83"/>
      <c r="CI36" s="83"/>
      <c r="CJ36" s="83"/>
      <c r="CK36" s="83"/>
      <c r="CL36" s="83"/>
      <c r="CM36" s="69"/>
      <c r="CN36" s="5"/>
      <c r="CO36" s="83"/>
      <c r="CP36" s="83"/>
      <c r="CQ36" s="73"/>
      <c r="CR36" s="73"/>
      <c r="CS36" s="73"/>
      <c r="CT36" s="5"/>
      <c r="CU36" s="73"/>
      <c r="CV36" s="5"/>
      <c r="CW36" s="5"/>
      <c r="CX36" s="5"/>
      <c r="CY36" s="5"/>
      <c r="CZ36" s="5"/>
      <c r="DA36" s="5"/>
      <c r="DB36" s="6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74"/>
      <c r="EE36" s="68"/>
      <c r="EF36" s="63"/>
      <c r="EG36" s="63"/>
      <c r="EH36" s="5"/>
      <c r="EI36" s="83"/>
      <c r="EJ36" s="83"/>
      <c r="EK36" s="83"/>
      <c r="EL36" s="83"/>
      <c r="EM36" s="83"/>
      <c r="EN36" s="83"/>
      <c r="EO36" s="83"/>
      <c r="EP36" s="68"/>
      <c r="EQ36" s="9"/>
      <c r="ER36" s="9"/>
      <c r="ES36" s="83"/>
      <c r="ET36" s="83"/>
      <c r="EU36" s="83"/>
      <c r="EV36" s="83"/>
      <c r="EW36" s="83"/>
      <c r="EX36" s="83"/>
      <c r="EY36" s="83"/>
      <c r="EZ36" s="83"/>
      <c r="FA36" s="83"/>
      <c r="FB36" s="83"/>
      <c r="FC36" s="83"/>
      <c r="FD36" s="83"/>
      <c r="FE36" s="83"/>
      <c r="FF36" s="83"/>
      <c r="FG36" s="83"/>
      <c r="FH36" s="83"/>
      <c r="FI36" s="83"/>
      <c r="FJ36" s="83"/>
      <c r="FK36" s="83"/>
      <c r="FL36" s="5"/>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row>
    <row r="37" customFormat="1" ht="16.8" spans="1:192">
      <c r="A37" s="5"/>
      <c r="B37" s="63"/>
      <c r="C37" s="5"/>
      <c r="D37" s="61"/>
      <c r="E37" s="61"/>
      <c r="F37" s="62"/>
      <c r="G37" s="5"/>
      <c r="H37" s="5"/>
      <c r="I37" s="5"/>
      <c r="J37" s="5"/>
      <c r="K37" s="61"/>
      <c r="L37" s="67"/>
      <c r="M37" s="61"/>
      <c r="N37" s="61"/>
      <c r="O37" s="61"/>
      <c r="P37" s="61"/>
      <c r="Q37" s="61"/>
      <c r="R37" s="61"/>
      <c r="S37" s="61"/>
      <c r="T37" s="61"/>
      <c r="U37" s="61"/>
      <c r="V37" s="68"/>
      <c r="W37" s="7"/>
      <c r="X37" s="5"/>
      <c r="Y37" s="5"/>
      <c r="Z37" s="5"/>
      <c r="AA37" s="5"/>
      <c r="AB37" s="2"/>
      <c r="AC37" s="61"/>
      <c r="AD37" s="5"/>
      <c r="AE37" s="5"/>
      <c r="AF37" s="75"/>
      <c r="AG37" s="75"/>
      <c r="AH37" s="70"/>
      <c r="AI37" s="75"/>
      <c r="AJ37" s="75"/>
      <c r="AK37" s="75"/>
      <c r="AL37" s="61"/>
      <c r="AM37" s="61"/>
      <c r="AN37" s="61"/>
      <c r="AO37" s="61"/>
      <c r="AP37" s="61"/>
      <c r="AQ37" s="61"/>
      <c r="AR37" s="61"/>
      <c r="AS37" s="61"/>
      <c r="AT37" s="61"/>
      <c r="AU37" s="5"/>
      <c r="AV37" s="71"/>
      <c r="AW37" s="5"/>
      <c r="AX37" s="5"/>
      <c r="AY37" s="5"/>
      <c r="AZ37" s="2"/>
      <c r="BA37" s="2"/>
      <c r="BB37" s="2"/>
      <c r="BC37" s="5"/>
      <c r="BD37" s="61"/>
      <c r="BE37" s="61"/>
      <c r="BF37" s="63"/>
      <c r="BG37" s="67"/>
      <c r="BH37" s="67"/>
      <c r="BI37" s="67"/>
      <c r="BJ37" s="67"/>
      <c r="BK37" s="67"/>
      <c r="BL37" s="5"/>
      <c r="BM37" s="5"/>
      <c r="BN37" s="5"/>
      <c r="BO37" s="5"/>
      <c r="BP37" s="5"/>
      <c r="BQ37" s="5"/>
      <c r="BR37" s="5"/>
      <c r="BS37" s="5"/>
      <c r="BT37" s="61"/>
      <c r="BU37" s="61"/>
      <c r="BV37" s="61"/>
      <c r="BW37" s="61"/>
      <c r="BX37" s="61"/>
      <c r="BY37" s="61"/>
      <c r="BZ37" s="61"/>
      <c r="CA37" s="61"/>
      <c r="CB37" s="5"/>
      <c r="CC37" s="61"/>
      <c r="CD37" s="61"/>
      <c r="CE37" s="5"/>
      <c r="CF37" s="61"/>
      <c r="CG37" s="5"/>
      <c r="CH37" s="61"/>
      <c r="CI37" s="61"/>
      <c r="CJ37" s="61"/>
      <c r="CK37" s="61"/>
      <c r="CL37" s="61"/>
      <c r="CM37" s="69"/>
      <c r="CN37" s="5"/>
      <c r="CO37" s="61"/>
      <c r="CP37" s="61"/>
      <c r="CQ37" s="73"/>
      <c r="CR37" s="73"/>
      <c r="CS37" s="73"/>
      <c r="CT37" s="5"/>
      <c r="CU37" s="73"/>
      <c r="CV37" s="5"/>
      <c r="CW37" s="5"/>
      <c r="CX37" s="5"/>
      <c r="CY37" s="5"/>
      <c r="CZ37" s="5"/>
      <c r="DA37" s="5"/>
      <c r="DB37" s="5"/>
      <c r="DC37" s="61"/>
      <c r="DD37" s="61"/>
      <c r="DE37" s="61"/>
      <c r="DF37" s="61"/>
      <c r="DG37" s="61"/>
      <c r="DH37" s="61"/>
      <c r="DI37" s="61"/>
      <c r="DJ37" s="61"/>
      <c r="DK37" s="61"/>
      <c r="DL37" s="61"/>
      <c r="DM37" s="61"/>
      <c r="DN37" s="61"/>
      <c r="DO37" s="61"/>
      <c r="DP37" s="61"/>
      <c r="DQ37" s="61"/>
      <c r="DR37" s="61"/>
      <c r="DS37" s="61"/>
      <c r="DT37" s="61"/>
      <c r="DU37" s="61"/>
      <c r="DV37" s="61"/>
      <c r="DW37" s="61"/>
      <c r="DX37" s="61"/>
      <c r="DY37" s="61"/>
      <c r="DZ37" s="61"/>
      <c r="EA37" s="61"/>
      <c r="EB37" s="61"/>
      <c r="EC37" s="61"/>
      <c r="ED37" s="74"/>
      <c r="EE37" s="6"/>
      <c r="EF37" s="5"/>
      <c r="EG37" s="5"/>
      <c r="EH37" s="5"/>
      <c r="EI37" s="61"/>
      <c r="EJ37" s="61"/>
      <c r="EK37" s="61"/>
      <c r="EL37" s="61"/>
      <c r="EM37" s="61"/>
      <c r="EN37" s="61"/>
      <c r="EO37" s="61"/>
      <c r="EP37" s="68"/>
      <c r="EQ37" s="9"/>
      <c r="ER37" s="9"/>
      <c r="ES37" s="61"/>
      <c r="ET37" s="61"/>
      <c r="EU37" s="61"/>
      <c r="EV37" s="61"/>
      <c r="EW37" s="61"/>
      <c r="EX37" s="61"/>
      <c r="EY37" s="61"/>
      <c r="EZ37" s="61"/>
      <c r="FA37" s="61"/>
      <c r="FB37" s="61"/>
      <c r="FC37" s="61"/>
      <c r="FD37" s="61"/>
      <c r="FE37" s="61"/>
      <c r="FF37" s="61"/>
      <c r="FG37" s="61"/>
      <c r="FH37" s="61"/>
      <c r="FI37" s="61"/>
      <c r="FJ37" s="61"/>
      <c r="FK37" s="61"/>
      <c r="FL37" s="5"/>
      <c r="FM37" s="61"/>
      <c r="FN37" s="61"/>
      <c r="FO37" s="61"/>
      <c r="FP37" s="61"/>
      <c r="FQ37" s="61"/>
      <c r="FR37" s="61"/>
      <c r="FS37" s="61"/>
      <c r="FT37" s="61"/>
      <c r="FU37" s="61"/>
      <c r="FV37" s="61"/>
      <c r="FW37" s="61"/>
      <c r="FX37" s="61"/>
      <c r="FY37" s="61"/>
      <c r="FZ37" s="61"/>
      <c r="GA37" s="61"/>
      <c r="GB37" s="61"/>
      <c r="GC37" s="61"/>
      <c r="GD37" s="61"/>
      <c r="GE37" s="61"/>
      <c r="GF37" s="61"/>
      <c r="GG37" s="61"/>
      <c r="GH37" s="61"/>
      <c r="GI37" s="61"/>
      <c r="GJ37" s="61"/>
    </row>
    <row r="38" customFormat="1" ht="16.8" spans="1:192">
      <c r="A38" s="5"/>
      <c r="B38" s="5"/>
      <c r="C38" s="5"/>
      <c r="D38" s="61"/>
      <c r="E38" s="61"/>
      <c r="F38" s="62"/>
      <c r="G38" s="5"/>
      <c r="H38" s="5"/>
      <c r="I38" s="5"/>
      <c r="J38" s="5"/>
      <c r="K38" s="61"/>
      <c r="L38" s="67"/>
      <c r="M38" s="61"/>
      <c r="N38" s="61"/>
      <c r="O38" s="61"/>
      <c r="P38" s="61"/>
      <c r="Q38" s="61"/>
      <c r="R38" s="61"/>
      <c r="S38" s="61"/>
      <c r="T38" s="61"/>
      <c r="U38" s="61"/>
      <c r="V38" s="68"/>
      <c r="W38" s="7"/>
      <c r="X38" s="5"/>
      <c r="Y38" s="5"/>
      <c r="Z38" s="5"/>
      <c r="AA38" s="5"/>
      <c r="AB38" s="2"/>
      <c r="AC38" s="61"/>
      <c r="AD38" s="5"/>
      <c r="AE38" s="5"/>
      <c r="AF38" s="75"/>
      <c r="AG38" s="75"/>
      <c r="AH38" s="70"/>
      <c r="AI38" s="75"/>
      <c r="AJ38" s="75"/>
      <c r="AK38" s="75"/>
      <c r="AL38" s="61"/>
      <c r="AM38" s="61"/>
      <c r="AN38" s="61"/>
      <c r="AO38" s="61"/>
      <c r="AP38" s="61"/>
      <c r="AQ38" s="61"/>
      <c r="AR38" s="61"/>
      <c r="AS38" s="61"/>
      <c r="AT38" s="61"/>
      <c r="AU38" s="5"/>
      <c r="AV38" s="71"/>
      <c r="AW38" s="5"/>
      <c r="AX38" s="5"/>
      <c r="AY38" s="5"/>
      <c r="AZ38" s="2"/>
      <c r="BA38" s="2"/>
      <c r="BB38" s="2"/>
      <c r="BC38" s="5"/>
      <c r="BD38" s="61"/>
      <c r="BE38" s="61"/>
      <c r="BF38" s="63"/>
      <c r="BG38" s="67"/>
      <c r="BH38" s="67"/>
      <c r="BI38" s="67"/>
      <c r="BJ38" s="67"/>
      <c r="BK38" s="67"/>
      <c r="BL38" s="5"/>
      <c r="BM38" s="5"/>
      <c r="BN38" s="5"/>
      <c r="BO38" s="5"/>
      <c r="BP38" s="5"/>
      <c r="BQ38" s="5"/>
      <c r="BR38" s="5"/>
      <c r="BS38" s="5"/>
      <c r="BT38" s="61"/>
      <c r="BU38" s="61"/>
      <c r="BV38" s="61"/>
      <c r="BW38" s="61"/>
      <c r="BX38" s="61"/>
      <c r="BY38" s="61"/>
      <c r="BZ38" s="61"/>
      <c r="CA38" s="61"/>
      <c r="CB38" s="5"/>
      <c r="CC38" s="61"/>
      <c r="CD38" s="61"/>
      <c r="CE38" s="5"/>
      <c r="CF38" s="61"/>
      <c r="CG38" s="5"/>
      <c r="CH38" s="61"/>
      <c r="CI38" s="61"/>
      <c r="CJ38" s="61"/>
      <c r="CK38" s="61"/>
      <c r="CL38" s="61"/>
      <c r="CM38" s="69"/>
      <c r="CN38" s="5"/>
      <c r="CO38" s="61"/>
      <c r="CP38" s="61"/>
      <c r="CQ38" s="73"/>
      <c r="CR38" s="73"/>
      <c r="CS38" s="73"/>
      <c r="CT38" s="5"/>
      <c r="CU38" s="73"/>
      <c r="CV38" s="5"/>
      <c r="CW38" s="5"/>
      <c r="CX38" s="5"/>
      <c r="CY38" s="5"/>
      <c r="CZ38" s="5"/>
      <c r="DA38" s="5"/>
      <c r="DB38" s="5"/>
      <c r="DC38" s="61"/>
      <c r="DD38" s="61"/>
      <c r="DE38" s="61"/>
      <c r="DF38" s="61"/>
      <c r="DG38" s="61"/>
      <c r="DH38" s="61"/>
      <c r="DI38" s="61"/>
      <c r="DJ38" s="61"/>
      <c r="DK38" s="61"/>
      <c r="DL38" s="61"/>
      <c r="DM38" s="61"/>
      <c r="DN38" s="61"/>
      <c r="DO38" s="61"/>
      <c r="DP38" s="61"/>
      <c r="DQ38" s="61"/>
      <c r="DR38" s="61"/>
      <c r="DS38" s="61"/>
      <c r="DT38" s="61"/>
      <c r="DU38" s="61"/>
      <c r="DV38" s="61"/>
      <c r="DW38" s="61"/>
      <c r="DX38" s="61"/>
      <c r="DY38" s="61"/>
      <c r="DZ38" s="61"/>
      <c r="EA38" s="61"/>
      <c r="EB38" s="61"/>
      <c r="EC38" s="61"/>
      <c r="ED38" s="74"/>
      <c r="EE38" s="6"/>
      <c r="EF38" s="5"/>
      <c r="EG38" s="5"/>
      <c r="EH38" s="5"/>
      <c r="EI38" s="61"/>
      <c r="EJ38" s="61"/>
      <c r="EK38" s="61"/>
      <c r="EL38" s="61"/>
      <c r="EM38" s="61"/>
      <c r="EN38" s="61"/>
      <c r="EO38" s="61"/>
      <c r="EP38" s="68"/>
      <c r="EQ38" s="9"/>
      <c r="ER38" s="9"/>
      <c r="ES38" s="61"/>
      <c r="ET38" s="61"/>
      <c r="EU38" s="61"/>
      <c r="EV38" s="61"/>
      <c r="EW38" s="61"/>
      <c r="EX38" s="61"/>
      <c r="EY38" s="61"/>
      <c r="EZ38" s="61"/>
      <c r="FA38" s="61"/>
      <c r="FB38" s="61"/>
      <c r="FC38" s="61"/>
      <c r="FD38" s="61"/>
      <c r="FE38" s="61"/>
      <c r="FF38" s="61"/>
      <c r="FG38" s="61"/>
      <c r="FH38" s="61"/>
      <c r="FI38" s="61"/>
      <c r="FJ38" s="61"/>
      <c r="FK38" s="61"/>
      <c r="FL38" s="5"/>
      <c r="FM38" s="61"/>
      <c r="FN38" s="61"/>
      <c r="FO38" s="61"/>
      <c r="FP38" s="61"/>
      <c r="FQ38" s="61"/>
      <c r="FR38" s="61"/>
      <c r="FS38" s="61"/>
      <c r="FT38" s="61"/>
      <c r="FU38" s="61"/>
      <c r="FV38" s="61"/>
      <c r="FW38" s="61"/>
      <c r="FX38" s="61"/>
      <c r="FY38" s="61"/>
      <c r="FZ38" s="61"/>
      <c r="GA38" s="61"/>
      <c r="GB38" s="61"/>
      <c r="GC38" s="61"/>
      <c r="GD38" s="61"/>
      <c r="GE38" s="61"/>
      <c r="GF38" s="61"/>
      <c r="GG38" s="61"/>
      <c r="GH38" s="61"/>
      <c r="GI38" s="61"/>
      <c r="GJ38" s="61"/>
    </row>
    <row r="39" customFormat="1" ht="16.8" spans="1:192">
      <c r="A39" s="5"/>
      <c r="B39" s="5"/>
      <c r="C39" s="5"/>
      <c r="D39" s="61"/>
      <c r="E39" s="61"/>
      <c r="F39" s="62"/>
      <c r="G39" s="5"/>
      <c r="H39" s="5"/>
      <c r="I39" s="5"/>
      <c r="J39" s="5"/>
      <c r="K39" s="61"/>
      <c r="L39" s="67"/>
      <c r="M39" s="61"/>
      <c r="N39" s="61"/>
      <c r="O39" s="61"/>
      <c r="P39" s="61"/>
      <c r="Q39" s="61"/>
      <c r="R39" s="61"/>
      <c r="S39" s="61"/>
      <c r="T39" s="61"/>
      <c r="U39" s="61"/>
      <c r="V39" s="68"/>
      <c r="W39" s="7"/>
      <c r="X39" s="5"/>
      <c r="Y39" s="5"/>
      <c r="Z39" s="5"/>
      <c r="AA39" s="5"/>
      <c r="AB39" s="2"/>
      <c r="AC39" s="61"/>
      <c r="AD39" s="5"/>
      <c r="AE39" s="5"/>
      <c r="AF39" s="75"/>
      <c r="AG39" s="75"/>
      <c r="AH39" s="70"/>
      <c r="AI39" s="75"/>
      <c r="AJ39" s="75"/>
      <c r="AK39" s="75"/>
      <c r="AL39" s="61"/>
      <c r="AM39" s="61"/>
      <c r="AN39" s="61"/>
      <c r="AO39" s="61"/>
      <c r="AP39" s="61"/>
      <c r="AQ39" s="61"/>
      <c r="AR39" s="61"/>
      <c r="AS39" s="61"/>
      <c r="AT39" s="61"/>
      <c r="AU39" s="5"/>
      <c r="AV39" s="71"/>
      <c r="AW39" s="5"/>
      <c r="AX39" s="5"/>
      <c r="AY39" s="5"/>
      <c r="AZ39" s="2"/>
      <c r="BA39" s="2"/>
      <c r="BB39" s="2"/>
      <c r="BC39" s="5"/>
      <c r="BD39" s="61"/>
      <c r="BE39" s="61"/>
      <c r="BF39" s="63"/>
      <c r="BG39" s="67"/>
      <c r="BH39" s="67"/>
      <c r="BI39" s="67"/>
      <c r="BJ39" s="67"/>
      <c r="BK39" s="67"/>
      <c r="BL39" s="5"/>
      <c r="BM39" s="5"/>
      <c r="BN39" s="5"/>
      <c r="BO39" s="5"/>
      <c r="BP39" s="5"/>
      <c r="BQ39" s="5"/>
      <c r="BR39" s="5"/>
      <c r="BS39" s="5"/>
      <c r="BT39" s="61"/>
      <c r="BU39" s="61"/>
      <c r="BV39" s="61"/>
      <c r="BW39" s="61"/>
      <c r="BX39" s="61"/>
      <c r="BY39" s="61"/>
      <c r="BZ39" s="61"/>
      <c r="CA39" s="61"/>
      <c r="CB39" s="5"/>
      <c r="CC39" s="61"/>
      <c r="CD39" s="61"/>
      <c r="CE39" s="5"/>
      <c r="CF39" s="61"/>
      <c r="CG39" s="5"/>
      <c r="CH39" s="61"/>
      <c r="CI39" s="61"/>
      <c r="CJ39" s="61"/>
      <c r="CK39" s="61"/>
      <c r="CL39" s="61"/>
      <c r="CM39" s="69"/>
      <c r="CN39" s="5"/>
      <c r="CO39" s="61"/>
      <c r="CP39" s="61"/>
      <c r="CQ39" s="73"/>
      <c r="CR39" s="73"/>
      <c r="CS39" s="73"/>
      <c r="CT39" s="5"/>
      <c r="CU39" s="73"/>
      <c r="CV39" s="5"/>
      <c r="CW39" s="5"/>
      <c r="CX39" s="5"/>
      <c r="CY39" s="5"/>
      <c r="CZ39" s="5"/>
      <c r="DA39" s="5"/>
      <c r="DB39" s="5"/>
      <c r="DC39" s="61"/>
      <c r="DD39" s="61"/>
      <c r="DE39" s="61"/>
      <c r="DF39" s="61"/>
      <c r="DG39" s="61"/>
      <c r="DH39" s="61"/>
      <c r="DI39" s="61"/>
      <c r="DJ39" s="61"/>
      <c r="DK39" s="61"/>
      <c r="DL39" s="61"/>
      <c r="DM39" s="61"/>
      <c r="DN39" s="61"/>
      <c r="DO39" s="61"/>
      <c r="DP39" s="61"/>
      <c r="DQ39" s="61"/>
      <c r="DR39" s="61"/>
      <c r="DS39" s="61"/>
      <c r="DT39" s="61"/>
      <c r="DU39" s="61"/>
      <c r="DV39" s="61"/>
      <c r="DW39" s="61"/>
      <c r="DX39" s="61"/>
      <c r="DY39" s="61"/>
      <c r="DZ39" s="61"/>
      <c r="EA39" s="61"/>
      <c r="EB39" s="61"/>
      <c r="EC39" s="61"/>
      <c r="ED39" s="74"/>
      <c r="EE39" s="6"/>
      <c r="EF39" s="5"/>
      <c r="EG39" s="5"/>
      <c r="EH39" s="5"/>
      <c r="EI39" s="61"/>
      <c r="EJ39" s="61"/>
      <c r="EK39" s="61"/>
      <c r="EL39" s="61"/>
      <c r="EM39" s="61"/>
      <c r="EN39" s="61"/>
      <c r="EO39" s="61"/>
      <c r="EP39" s="68"/>
      <c r="EQ39" s="9"/>
      <c r="ER39" s="9"/>
      <c r="ES39" s="61"/>
      <c r="ET39" s="61"/>
      <c r="EU39" s="61"/>
      <c r="EV39" s="61"/>
      <c r="EW39" s="61"/>
      <c r="EX39" s="61"/>
      <c r="EY39" s="61"/>
      <c r="EZ39" s="61"/>
      <c r="FA39" s="61"/>
      <c r="FB39" s="61"/>
      <c r="FC39" s="61"/>
      <c r="FD39" s="61"/>
      <c r="FE39" s="61"/>
      <c r="FF39" s="61"/>
      <c r="FG39" s="61"/>
      <c r="FH39" s="61"/>
      <c r="FI39" s="61"/>
      <c r="FJ39" s="61"/>
      <c r="FK39" s="61"/>
      <c r="FL39" s="5"/>
      <c r="FM39" s="61"/>
      <c r="FN39" s="61"/>
      <c r="FO39" s="61"/>
      <c r="FP39" s="61"/>
      <c r="FQ39" s="61"/>
      <c r="FR39" s="61"/>
      <c r="FS39" s="61"/>
      <c r="FT39" s="61"/>
      <c r="FU39" s="61"/>
      <c r="FV39" s="61"/>
      <c r="FW39" s="61"/>
      <c r="FX39" s="61"/>
      <c r="FY39" s="61"/>
      <c r="FZ39" s="61"/>
      <c r="GA39" s="61"/>
      <c r="GB39" s="61"/>
      <c r="GC39" s="61"/>
      <c r="GD39" s="61"/>
      <c r="GE39" s="61"/>
      <c r="GF39" s="61"/>
      <c r="GG39" s="61"/>
      <c r="GH39" s="61"/>
      <c r="GI39" s="61"/>
      <c r="GJ39" s="61"/>
    </row>
    <row r="40" customFormat="1" ht="16.8" spans="1:192">
      <c r="A40" s="5"/>
      <c r="B40" s="5"/>
      <c r="C40" s="5"/>
      <c r="D40" s="61"/>
      <c r="E40" s="61"/>
      <c r="F40" s="62"/>
      <c r="G40" s="5"/>
      <c r="H40" s="5"/>
      <c r="I40" s="5"/>
      <c r="J40" s="5"/>
      <c r="K40" s="61"/>
      <c r="L40" s="67"/>
      <c r="M40" s="61"/>
      <c r="N40" s="61"/>
      <c r="O40" s="61"/>
      <c r="P40" s="61"/>
      <c r="Q40" s="61"/>
      <c r="R40" s="61"/>
      <c r="S40" s="61"/>
      <c r="T40" s="61"/>
      <c r="U40" s="61"/>
      <c r="V40" s="68"/>
      <c r="W40" s="7"/>
      <c r="X40" s="5"/>
      <c r="Y40" s="5"/>
      <c r="Z40" s="5"/>
      <c r="AA40" s="5"/>
      <c r="AB40" s="2"/>
      <c r="AC40" s="61"/>
      <c r="AD40" s="5"/>
      <c r="AE40" s="5"/>
      <c r="AF40" s="75"/>
      <c r="AG40" s="75"/>
      <c r="AH40" s="70"/>
      <c r="AI40" s="75"/>
      <c r="AJ40" s="75"/>
      <c r="AK40" s="75"/>
      <c r="AL40" s="61"/>
      <c r="AM40" s="61"/>
      <c r="AN40" s="61"/>
      <c r="AO40" s="61"/>
      <c r="AP40" s="61"/>
      <c r="AQ40" s="61"/>
      <c r="AR40" s="61"/>
      <c r="AS40" s="61"/>
      <c r="AT40" s="61"/>
      <c r="AU40" s="5"/>
      <c r="AV40" s="71"/>
      <c r="AW40" s="5"/>
      <c r="AX40" s="5"/>
      <c r="AY40" s="5"/>
      <c r="AZ40" s="2"/>
      <c r="BA40" s="2"/>
      <c r="BB40" s="2"/>
      <c r="BC40" s="5"/>
      <c r="BD40" s="61"/>
      <c r="BE40" s="61"/>
      <c r="BF40" s="63"/>
      <c r="BG40" s="67"/>
      <c r="BH40" s="67"/>
      <c r="BI40" s="67"/>
      <c r="BJ40" s="67"/>
      <c r="BK40" s="67"/>
      <c r="BL40" s="5"/>
      <c r="BM40" s="5"/>
      <c r="BN40" s="5"/>
      <c r="BO40" s="5"/>
      <c r="BP40" s="5"/>
      <c r="BQ40" s="5"/>
      <c r="BR40" s="5"/>
      <c r="BS40" s="5"/>
      <c r="BT40" s="61"/>
      <c r="BU40" s="61"/>
      <c r="BV40" s="61"/>
      <c r="BW40" s="61"/>
      <c r="BX40" s="61"/>
      <c r="BY40" s="61"/>
      <c r="BZ40" s="61"/>
      <c r="CA40" s="61"/>
      <c r="CB40" s="5"/>
      <c r="CC40" s="61"/>
      <c r="CD40" s="61"/>
      <c r="CE40" s="5"/>
      <c r="CF40" s="61"/>
      <c r="CG40" s="5"/>
      <c r="CH40" s="61"/>
      <c r="CI40" s="61"/>
      <c r="CJ40" s="61"/>
      <c r="CK40" s="61"/>
      <c r="CL40" s="61"/>
      <c r="CM40" s="69"/>
      <c r="CN40" s="5"/>
      <c r="CO40" s="61"/>
      <c r="CP40" s="61"/>
      <c r="CQ40" s="73"/>
      <c r="CR40" s="73"/>
      <c r="CS40" s="73"/>
      <c r="CT40" s="5"/>
      <c r="CU40" s="73"/>
      <c r="CV40" s="5"/>
      <c r="CW40" s="5"/>
      <c r="CX40" s="5"/>
      <c r="CY40" s="5"/>
      <c r="CZ40" s="5"/>
      <c r="DA40" s="5"/>
      <c r="DB40" s="5"/>
      <c r="DC40" s="61"/>
      <c r="DD40" s="61"/>
      <c r="DE40" s="61"/>
      <c r="DF40" s="61"/>
      <c r="DG40" s="61"/>
      <c r="DH40" s="61"/>
      <c r="DI40" s="61"/>
      <c r="DJ40" s="61"/>
      <c r="DK40" s="61"/>
      <c r="DL40" s="61"/>
      <c r="DM40" s="61"/>
      <c r="DN40" s="61"/>
      <c r="DO40" s="61"/>
      <c r="DP40" s="61"/>
      <c r="DQ40" s="61"/>
      <c r="DR40" s="61"/>
      <c r="DS40" s="61"/>
      <c r="DT40" s="61"/>
      <c r="DU40" s="61"/>
      <c r="DV40" s="61"/>
      <c r="DW40" s="61"/>
      <c r="DX40" s="61"/>
      <c r="DY40" s="61"/>
      <c r="DZ40" s="61"/>
      <c r="EA40" s="61"/>
      <c r="EB40" s="61"/>
      <c r="EC40" s="61"/>
      <c r="ED40" s="74"/>
      <c r="EE40" s="6"/>
      <c r="EF40" s="5"/>
      <c r="EG40" s="5"/>
      <c r="EH40" s="5"/>
      <c r="EI40" s="61"/>
      <c r="EJ40" s="61"/>
      <c r="EK40" s="61"/>
      <c r="EL40" s="61"/>
      <c r="EM40" s="61"/>
      <c r="EN40" s="61"/>
      <c r="EO40" s="61"/>
      <c r="EP40" s="68"/>
      <c r="EQ40" s="9"/>
      <c r="ER40" s="9"/>
      <c r="ES40" s="61"/>
      <c r="ET40" s="61"/>
      <c r="EU40" s="61"/>
      <c r="EV40" s="61"/>
      <c r="EW40" s="61"/>
      <c r="EX40" s="61"/>
      <c r="EY40" s="61"/>
      <c r="EZ40" s="61"/>
      <c r="FA40" s="61"/>
      <c r="FB40" s="61"/>
      <c r="FC40" s="61"/>
      <c r="FD40" s="61"/>
      <c r="FE40" s="61"/>
      <c r="FF40" s="61"/>
      <c r="FG40" s="61"/>
      <c r="FH40" s="61"/>
      <c r="FI40" s="61"/>
      <c r="FJ40" s="61"/>
      <c r="FK40" s="61"/>
      <c r="FL40" s="5"/>
      <c r="FM40" s="61"/>
      <c r="FN40" s="61"/>
      <c r="FO40" s="61"/>
      <c r="FP40" s="61"/>
      <c r="FQ40" s="61"/>
      <c r="FR40" s="61"/>
      <c r="FS40" s="61"/>
      <c r="FT40" s="61"/>
      <c r="FU40" s="61"/>
      <c r="FV40" s="61"/>
      <c r="FW40" s="61"/>
      <c r="FX40" s="61"/>
      <c r="FY40" s="61"/>
      <c r="FZ40" s="61"/>
      <c r="GA40" s="61"/>
      <c r="GB40" s="61"/>
      <c r="GC40" s="61"/>
      <c r="GD40" s="61"/>
      <c r="GE40" s="61"/>
      <c r="GF40" s="61"/>
      <c r="GG40" s="61"/>
      <c r="GH40" s="61"/>
      <c r="GI40" s="61"/>
      <c r="GJ40" s="61"/>
    </row>
    <row r="41" customFormat="1" ht="16.8" spans="1:192">
      <c r="A41" s="5"/>
      <c r="B41" s="5"/>
      <c r="C41" s="5"/>
      <c r="D41" s="61"/>
      <c r="E41" s="61"/>
      <c r="F41" s="62"/>
      <c r="G41" s="5"/>
      <c r="H41" s="5"/>
      <c r="I41" s="5"/>
      <c r="J41" s="5"/>
      <c r="K41" s="61"/>
      <c r="L41" s="67"/>
      <c r="M41" s="61"/>
      <c r="N41" s="61"/>
      <c r="O41" s="61"/>
      <c r="P41" s="61"/>
      <c r="Q41" s="61"/>
      <c r="R41" s="61"/>
      <c r="S41" s="61"/>
      <c r="T41" s="61"/>
      <c r="U41" s="61"/>
      <c r="V41" s="68"/>
      <c r="W41" s="7"/>
      <c r="X41" s="5"/>
      <c r="Y41" s="5"/>
      <c r="Z41" s="5"/>
      <c r="AA41" s="5"/>
      <c r="AB41" s="2"/>
      <c r="AC41" s="61"/>
      <c r="AD41" s="5"/>
      <c r="AE41" s="5"/>
      <c r="AF41" s="75"/>
      <c r="AG41" s="75"/>
      <c r="AH41" s="70"/>
      <c r="AI41" s="75"/>
      <c r="AJ41" s="75"/>
      <c r="AK41" s="75"/>
      <c r="AL41" s="61"/>
      <c r="AM41" s="61"/>
      <c r="AN41" s="61"/>
      <c r="AO41" s="61"/>
      <c r="AP41" s="61"/>
      <c r="AQ41" s="61"/>
      <c r="AR41" s="61"/>
      <c r="AS41" s="61"/>
      <c r="AT41" s="61"/>
      <c r="AU41" s="5"/>
      <c r="AV41" s="71"/>
      <c r="AW41" s="5"/>
      <c r="AX41" s="5"/>
      <c r="AY41" s="5"/>
      <c r="AZ41" s="2"/>
      <c r="BA41" s="2"/>
      <c r="BB41" s="2"/>
      <c r="BC41" s="5"/>
      <c r="BD41" s="61"/>
      <c r="BE41" s="61"/>
      <c r="BF41" s="63"/>
      <c r="BG41" s="67"/>
      <c r="BH41" s="67"/>
      <c r="BI41" s="67"/>
      <c r="BJ41" s="67"/>
      <c r="BK41" s="67"/>
      <c r="BL41" s="5"/>
      <c r="BM41" s="5"/>
      <c r="BN41" s="5"/>
      <c r="BO41" s="5"/>
      <c r="BP41" s="5"/>
      <c r="BQ41" s="5"/>
      <c r="BR41" s="5"/>
      <c r="BS41" s="5"/>
      <c r="BT41" s="61"/>
      <c r="BU41" s="61"/>
      <c r="BV41" s="61"/>
      <c r="BW41" s="61"/>
      <c r="BX41" s="61"/>
      <c r="BY41" s="61"/>
      <c r="BZ41" s="61"/>
      <c r="CA41" s="61"/>
      <c r="CB41" s="5"/>
      <c r="CC41" s="61"/>
      <c r="CD41" s="61"/>
      <c r="CE41" s="5"/>
      <c r="CF41" s="61"/>
      <c r="CG41" s="5"/>
      <c r="CH41" s="61"/>
      <c r="CI41" s="61"/>
      <c r="CJ41" s="61"/>
      <c r="CK41" s="61"/>
      <c r="CL41" s="61"/>
      <c r="CM41" s="69"/>
      <c r="CN41" s="5"/>
      <c r="CO41" s="61"/>
      <c r="CP41" s="61"/>
      <c r="CQ41" s="73"/>
      <c r="CR41" s="73"/>
      <c r="CS41" s="73"/>
      <c r="CT41" s="5"/>
      <c r="CU41" s="73"/>
      <c r="CV41" s="5"/>
      <c r="CW41" s="5"/>
      <c r="CX41" s="5"/>
      <c r="CY41" s="5"/>
      <c r="CZ41" s="5"/>
      <c r="DA41" s="5"/>
      <c r="DB41" s="5"/>
      <c r="DC41" s="61"/>
      <c r="DD41" s="61"/>
      <c r="DE41" s="61"/>
      <c r="DF41" s="61"/>
      <c r="DG41" s="61"/>
      <c r="DH41" s="61"/>
      <c r="DI41" s="61"/>
      <c r="DJ41" s="61"/>
      <c r="DK41" s="61"/>
      <c r="DL41" s="61"/>
      <c r="DM41" s="61"/>
      <c r="DN41" s="61"/>
      <c r="DO41" s="61"/>
      <c r="DP41" s="61"/>
      <c r="DQ41" s="61"/>
      <c r="DR41" s="61"/>
      <c r="DS41" s="61"/>
      <c r="DT41" s="61"/>
      <c r="DU41" s="61"/>
      <c r="DV41" s="61"/>
      <c r="DW41" s="61"/>
      <c r="DX41" s="61"/>
      <c r="DY41" s="61"/>
      <c r="DZ41" s="61"/>
      <c r="EA41" s="61"/>
      <c r="EB41" s="61"/>
      <c r="EC41" s="61"/>
      <c r="ED41" s="74"/>
      <c r="EE41" s="6"/>
      <c r="EF41" s="5"/>
      <c r="EG41" s="5"/>
      <c r="EH41" s="5"/>
      <c r="EI41" s="61"/>
      <c r="EJ41" s="61"/>
      <c r="EK41" s="61"/>
      <c r="EL41" s="61"/>
      <c r="EM41" s="61"/>
      <c r="EN41" s="61"/>
      <c r="EO41" s="61"/>
      <c r="EP41" s="68"/>
      <c r="EQ41" s="9"/>
      <c r="ER41" s="9"/>
      <c r="ES41" s="61"/>
      <c r="ET41" s="61"/>
      <c r="EU41" s="61"/>
      <c r="EV41" s="61"/>
      <c r="EW41" s="61"/>
      <c r="EX41" s="61"/>
      <c r="EY41" s="61"/>
      <c r="EZ41" s="61"/>
      <c r="FA41" s="61"/>
      <c r="FB41" s="61"/>
      <c r="FC41" s="61"/>
      <c r="FD41" s="61"/>
      <c r="FE41" s="61"/>
      <c r="FF41" s="61"/>
      <c r="FG41" s="61"/>
      <c r="FH41" s="61"/>
      <c r="FI41" s="61"/>
      <c r="FJ41" s="61"/>
      <c r="FK41" s="61"/>
      <c r="FL41" s="5"/>
      <c r="FM41" s="61"/>
      <c r="FN41" s="61"/>
      <c r="FO41" s="61"/>
      <c r="FP41" s="61"/>
      <c r="FQ41" s="61"/>
      <c r="FR41" s="61"/>
      <c r="FS41" s="61"/>
      <c r="FT41" s="61"/>
      <c r="FU41" s="61"/>
      <c r="FV41" s="61"/>
      <c r="FW41" s="61"/>
      <c r="FX41" s="61"/>
      <c r="FY41" s="61"/>
      <c r="FZ41" s="61"/>
      <c r="GA41" s="61"/>
      <c r="GB41" s="61"/>
      <c r="GC41" s="61"/>
      <c r="GD41" s="61"/>
      <c r="GE41" s="61"/>
      <c r="GF41" s="61"/>
      <c r="GG41" s="61"/>
      <c r="GH41" s="61"/>
      <c r="GI41" s="61"/>
      <c r="GJ41" s="61"/>
    </row>
    <row r="42" customFormat="1" ht="16.8" spans="1:192">
      <c r="A42" s="5"/>
      <c r="B42" s="5"/>
      <c r="C42" s="5"/>
      <c r="D42" s="61"/>
      <c r="E42" s="61"/>
      <c r="F42" s="62"/>
      <c r="G42" s="5"/>
      <c r="H42" s="5"/>
      <c r="I42" s="5"/>
      <c r="J42" s="5"/>
      <c r="K42" s="61"/>
      <c r="L42" s="67"/>
      <c r="M42" s="61"/>
      <c r="N42" s="61"/>
      <c r="O42" s="61"/>
      <c r="P42" s="61"/>
      <c r="Q42" s="61"/>
      <c r="R42" s="61"/>
      <c r="S42" s="61"/>
      <c r="T42" s="61"/>
      <c r="U42" s="61"/>
      <c r="V42" s="68"/>
      <c r="W42" s="7"/>
      <c r="X42" s="5"/>
      <c r="Y42" s="5"/>
      <c r="Z42" s="5"/>
      <c r="AA42" s="5"/>
      <c r="AB42" s="2"/>
      <c r="AC42" s="61"/>
      <c r="AD42" s="5"/>
      <c r="AE42" s="5"/>
      <c r="AF42" s="75"/>
      <c r="AG42" s="75"/>
      <c r="AH42" s="70"/>
      <c r="AI42" s="75"/>
      <c r="AJ42" s="75"/>
      <c r="AK42" s="75"/>
      <c r="AL42" s="61"/>
      <c r="AM42" s="61"/>
      <c r="AN42" s="61"/>
      <c r="AO42" s="61"/>
      <c r="AP42" s="61"/>
      <c r="AQ42" s="61"/>
      <c r="AR42" s="61"/>
      <c r="AS42" s="61"/>
      <c r="AT42" s="61"/>
      <c r="AU42" s="5"/>
      <c r="AV42" s="71"/>
      <c r="AW42" s="5"/>
      <c r="AX42" s="5"/>
      <c r="AY42" s="5"/>
      <c r="AZ42" s="2"/>
      <c r="BA42" s="2"/>
      <c r="BB42" s="2"/>
      <c r="BC42" s="5"/>
      <c r="BD42" s="61"/>
      <c r="BE42" s="61"/>
      <c r="BF42" s="63"/>
      <c r="BG42" s="67"/>
      <c r="BH42" s="67"/>
      <c r="BI42" s="67"/>
      <c r="BJ42" s="67"/>
      <c r="BK42" s="67"/>
      <c r="BL42" s="5"/>
      <c r="BM42" s="5"/>
      <c r="BN42" s="5"/>
      <c r="BO42" s="5"/>
      <c r="BP42" s="5"/>
      <c r="BQ42" s="5"/>
      <c r="BR42" s="5"/>
      <c r="BS42" s="5"/>
      <c r="BT42" s="61"/>
      <c r="BU42" s="61"/>
      <c r="BV42" s="61"/>
      <c r="BW42" s="61"/>
      <c r="BX42" s="61"/>
      <c r="BY42" s="61"/>
      <c r="BZ42" s="61"/>
      <c r="CA42" s="61"/>
      <c r="CB42" s="5"/>
      <c r="CC42" s="61"/>
      <c r="CD42" s="61"/>
      <c r="CE42" s="5"/>
      <c r="CF42" s="61"/>
      <c r="CG42" s="5"/>
      <c r="CH42" s="61"/>
      <c r="CI42" s="61"/>
      <c r="CJ42" s="61"/>
      <c r="CK42" s="61"/>
      <c r="CL42" s="61"/>
      <c r="CM42" s="69"/>
      <c r="CN42" s="5"/>
      <c r="CO42" s="61"/>
      <c r="CP42" s="61"/>
      <c r="CQ42" s="73"/>
      <c r="CR42" s="73"/>
      <c r="CS42" s="73"/>
      <c r="CT42" s="5"/>
      <c r="CU42" s="73"/>
      <c r="CV42" s="5"/>
      <c r="CW42" s="5"/>
      <c r="CX42" s="5"/>
      <c r="CY42" s="5"/>
      <c r="CZ42" s="5"/>
      <c r="DA42" s="5"/>
      <c r="DB42" s="5"/>
      <c r="DC42" s="61"/>
      <c r="DD42" s="61"/>
      <c r="DE42" s="61"/>
      <c r="DF42" s="61"/>
      <c r="DG42" s="61"/>
      <c r="DH42" s="61"/>
      <c r="DI42" s="61"/>
      <c r="DJ42" s="61"/>
      <c r="DK42" s="61"/>
      <c r="DL42" s="61"/>
      <c r="DM42" s="61"/>
      <c r="DN42" s="61"/>
      <c r="DO42" s="61"/>
      <c r="DP42" s="61"/>
      <c r="DQ42" s="61"/>
      <c r="DR42" s="61"/>
      <c r="DS42" s="61"/>
      <c r="DT42" s="61"/>
      <c r="DU42" s="61"/>
      <c r="DV42" s="61"/>
      <c r="DW42" s="61"/>
      <c r="DX42" s="61"/>
      <c r="DY42" s="61"/>
      <c r="DZ42" s="61"/>
      <c r="EA42" s="61"/>
      <c r="EB42" s="61"/>
      <c r="EC42" s="61"/>
      <c r="ED42" s="74"/>
      <c r="EE42" s="6"/>
      <c r="EF42" s="5"/>
      <c r="EG42" s="5"/>
      <c r="EH42" s="5"/>
      <c r="EI42" s="61"/>
      <c r="EJ42" s="61"/>
      <c r="EK42" s="61"/>
      <c r="EL42" s="61"/>
      <c r="EM42" s="61"/>
      <c r="EN42" s="61"/>
      <c r="EO42" s="61"/>
      <c r="EP42" s="68"/>
      <c r="EQ42" s="9"/>
      <c r="ER42" s="9"/>
      <c r="ES42" s="61"/>
      <c r="ET42" s="61"/>
      <c r="EU42" s="61"/>
      <c r="EV42" s="61"/>
      <c r="EW42" s="61"/>
      <c r="EX42" s="61"/>
      <c r="EY42" s="61"/>
      <c r="EZ42" s="61"/>
      <c r="FA42" s="61"/>
      <c r="FB42" s="61"/>
      <c r="FC42" s="61"/>
      <c r="FD42" s="61"/>
      <c r="FE42" s="61"/>
      <c r="FF42" s="61"/>
      <c r="FG42" s="61"/>
      <c r="FH42" s="61"/>
      <c r="FI42" s="61"/>
      <c r="FJ42" s="61"/>
      <c r="FK42" s="61"/>
      <c r="FL42" s="5"/>
      <c r="FM42" s="61"/>
      <c r="FN42" s="61"/>
      <c r="FO42" s="61"/>
      <c r="FP42" s="61"/>
      <c r="FQ42" s="61"/>
      <c r="FR42" s="61"/>
      <c r="FS42" s="61"/>
      <c r="FT42" s="61"/>
      <c r="FU42" s="61"/>
      <c r="FV42" s="61"/>
      <c r="FW42" s="61"/>
      <c r="FX42" s="61"/>
      <c r="FY42" s="61"/>
      <c r="FZ42" s="61"/>
      <c r="GA42" s="61"/>
      <c r="GB42" s="61"/>
      <c r="GC42" s="61"/>
      <c r="GD42" s="61"/>
      <c r="GE42" s="61"/>
      <c r="GF42" s="61"/>
      <c r="GG42" s="61"/>
      <c r="GH42" s="61"/>
      <c r="GI42" s="61"/>
      <c r="GJ42" s="61"/>
    </row>
    <row r="43" customFormat="1" ht="16.8" spans="1:192">
      <c r="A43" s="5"/>
      <c r="B43" s="5"/>
      <c r="C43" s="5"/>
      <c r="D43" s="61"/>
      <c r="E43" s="61"/>
      <c r="F43" s="62"/>
      <c r="G43" s="5"/>
      <c r="H43" s="5"/>
      <c r="I43" s="5"/>
      <c r="J43" s="5"/>
      <c r="K43" s="61"/>
      <c r="L43" s="67"/>
      <c r="M43" s="61"/>
      <c r="N43" s="61"/>
      <c r="O43" s="61"/>
      <c r="P43" s="61"/>
      <c r="Q43" s="61"/>
      <c r="R43" s="61"/>
      <c r="S43" s="61"/>
      <c r="T43" s="61"/>
      <c r="U43" s="61"/>
      <c r="V43" s="68"/>
      <c r="W43" s="7"/>
      <c r="X43" s="5"/>
      <c r="Y43" s="5"/>
      <c r="Z43" s="5"/>
      <c r="AA43" s="5"/>
      <c r="AB43" s="2"/>
      <c r="AC43" s="61"/>
      <c r="AD43" s="5"/>
      <c r="AE43" s="5"/>
      <c r="AF43" s="75"/>
      <c r="AG43" s="75"/>
      <c r="AH43" s="70"/>
      <c r="AI43" s="75"/>
      <c r="AJ43" s="75"/>
      <c r="AK43" s="75"/>
      <c r="AL43" s="61"/>
      <c r="AM43" s="61"/>
      <c r="AN43" s="61"/>
      <c r="AO43" s="61"/>
      <c r="AP43" s="61"/>
      <c r="AQ43" s="61"/>
      <c r="AR43" s="61"/>
      <c r="AS43" s="61"/>
      <c r="AT43" s="61"/>
      <c r="AU43" s="5"/>
      <c r="AV43" s="71"/>
      <c r="AW43" s="5"/>
      <c r="AX43" s="5"/>
      <c r="AY43" s="5"/>
      <c r="AZ43" s="2"/>
      <c r="BA43" s="2"/>
      <c r="BB43" s="2"/>
      <c r="BC43" s="5"/>
      <c r="BD43" s="61"/>
      <c r="BE43" s="61"/>
      <c r="BF43" s="63"/>
      <c r="BG43" s="67"/>
      <c r="BH43" s="67"/>
      <c r="BI43" s="67"/>
      <c r="BJ43" s="67"/>
      <c r="BK43" s="67"/>
      <c r="BL43" s="5"/>
      <c r="BM43" s="5"/>
      <c r="BN43" s="5"/>
      <c r="BO43" s="5"/>
      <c r="BP43" s="5"/>
      <c r="BQ43" s="5"/>
      <c r="BR43" s="5"/>
      <c r="BS43" s="5"/>
      <c r="BT43" s="61"/>
      <c r="BU43" s="61"/>
      <c r="BV43" s="61"/>
      <c r="BW43" s="61"/>
      <c r="BX43" s="61"/>
      <c r="BY43" s="61"/>
      <c r="BZ43" s="61"/>
      <c r="CA43" s="61"/>
      <c r="CB43" s="5"/>
      <c r="CC43" s="61"/>
      <c r="CD43" s="61"/>
      <c r="CE43" s="5"/>
      <c r="CF43" s="61"/>
      <c r="CG43" s="5"/>
      <c r="CH43" s="61"/>
      <c r="CI43" s="61"/>
      <c r="CJ43" s="61"/>
      <c r="CK43" s="61"/>
      <c r="CL43" s="61"/>
      <c r="CM43" s="69"/>
      <c r="CN43" s="5"/>
      <c r="CO43" s="61"/>
      <c r="CP43" s="61"/>
      <c r="CQ43" s="73"/>
      <c r="CR43" s="73"/>
      <c r="CS43" s="73"/>
      <c r="CT43" s="5"/>
      <c r="CU43" s="73"/>
      <c r="CV43" s="5"/>
      <c r="CW43" s="5"/>
      <c r="CX43" s="5"/>
      <c r="CY43" s="5"/>
      <c r="CZ43" s="5"/>
      <c r="DA43" s="5"/>
      <c r="DB43" s="5"/>
      <c r="DC43" s="61"/>
      <c r="DD43" s="61"/>
      <c r="DE43" s="61"/>
      <c r="DF43" s="61"/>
      <c r="DG43" s="61"/>
      <c r="DH43" s="61"/>
      <c r="DI43" s="61"/>
      <c r="DJ43" s="61"/>
      <c r="DK43" s="61"/>
      <c r="DL43" s="61"/>
      <c r="DM43" s="61"/>
      <c r="DN43" s="61"/>
      <c r="DO43" s="61"/>
      <c r="DP43" s="61"/>
      <c r="DQ43" s="61"/>
      <c r="DR43" s="61"/>
      <c r="DS43" s="61"/>
      <c r="DT43" s="61"/>
      <c r="DU43" s="61"/>
      <c r="DV43" s="61"/>
      <c r="DW43" s="61"/>
      <c r="DX43" s="61"/>
      <c r="DY43" s="61"/>
      <c r="DZ43" s="61"/>
      <c r="EA43" s="61"/>
      <c r="EB43" s="61"/>
      <c r="EC43" s="61"/>
      <c r="ED43" s="74"/>
      <c r="EE43" s="6"/>
      <c r="EF43" s="5"/>
      <c r="EG43" s="5"/>
      <c r="EH43" s="5"/>
      <c r="EI43" s="61"/>
      <c r="EJ43" s="61"/>
      <c r="EK43" s="61"/>
      <c r="EL43" s="61"/>
      <c r="EM43" s="61"/>
      <c r="EN43" s="61"/>
      <c r="EO43" s="61"/>
      <c r="EP43" s="68"/>
      <c r="EQ43" s="9"/>
      <c r="ER43" s="9"/>
      <c r="ES43" s="61"/>
      <c r="ET43" s="61"/>
      <c r="EU43" s="61"/>
      <c r="EV43" s="61"/>
      <c r="EW43" s="61"/>
      <c r="EX43" s="61"/>
      <c r="EY43" s="61"/>
      <c r="EZ43" s="61"/>
      <c r="FA43" s="61"/>
      <c r="FB43" s="61"/>
      <c r="FC43" s="61"/>
      <c r="FD43" s="61"/>
      <c r="FE43" s="61"/>
      <c r="FF43" s="61"/>
      <c r="FG43" s="61"/>
      <c r="FH43" s="61"/>
      <c r="FI43" s="61"/>
      <c r="FJ43" s="61"/>
      <c r="FK43" s="61"/>
      <c r="FL43" s="5"/>
      <c r="FM43" s="61"/>
      <c r="FN43" s="61"/>
      <c r="FO43" s="61"/>
      <c r="FP43" s="61"/>
      <c r="FQ43" s="61"/>
      <c r="FR43" s="61"/>
      <c r="FS43" s="61"/>
      <c r="FT43" s="61"/>
      <c r="FU43" s="61"/>
      <c r="FV43" s="61"/>
      <c r="FW43" s="61"/>
      <c r="FX43" s="61"/>
      <c r="FY43" s="61"/>
      <c r="FZ43" s="61"/>
      <c r="GA43" s="61"/>
      <c r="GB43" s="61"/>
      <c r="GC43" s="61"/>
      <c r="GD43" s="61"/>
      <c r="GE43" s="61"/>
      <c r="GF43" s="61"/>
      <c r="GG43" s="61"/>
      <c r="GH43" s="61"/>
      <c r="GI43" s="61"/>
      <c r="GJ43" s="61"/>
    </row>
    <row r="44" customFormat="1" ht="16.8" spans="1:192">
      <c r="A44" s="5"/>
      <c r="B44" s="5"/>
      <c r="C44" s="5"/>
      <c r="D44" s="61"/>
      <c r="E44" s="61"/>
      <c r="F44" s="62"/>
      <c r="G44" s="5"/>
      <c r="H44" s="5"/>
      <c r="I44" s="5"/>
      <c r="J44" s="5"/>
      <c r="K44" s="61"/>
      <c r="L44" s="67"/>
      <c r="M44" s="61"/>
      <c r="N44" s="61"/>
      <c r="O44" s="61"/>
      <c r="P44" s="61"/>
      <c r="Q44" s="61"/>
      <c r="R44" s="61"/>
      <c r="S44" s="61"/>
      <c r="T44" s="61"/>
      <c r="U44" s="61"/>
      <c r="V44" s="68"/>
      <c r="W44" s="7"/>
      <c r="X44" s="5"/>
      <c r="Y44" s="5"/>
      <c r="Z44" s="5"/>
      <c r="AA44" s="5"/>
      <c r="AB44" s="2"/>
      <c r="AC44" s="61"/>
      <c r="AD44" s="5"/>
      <c r="AE44" s="5"/>
      <c r="AF44" s="75"/>
      <c r="AG44" s="75"/>
      <c r="AH44" s="70"/>
      <c r="AI44" s="75"/>
      <c r="AJ44" s="75"/>
      <c r="AK44" s="75"/>
      <c r="AL44" s="61"/>
      <c r="AM44" s="61"/>
      <c r="AN44" s="61"/>
      <c r="AO44" s="61"/>
      <c r="AP44" s="61"/>
      <c r="AQ44" s="61"/>
      <c r="AR44" s="61"/>
      <c r="AS44" s="61"/>
      <c r="AT44" s="61"/>
      <c r="AU44" s="5"/>
      <c r="AV44" s="71"/>
      <c r="AW44" s="5"/>
      <c r="AX44" s="5"/>
      <c r="AY44" s="5"/>
      <c r="AZ44" s="2"/>
      <c r="BA44" s="2"/>
      <c r="BB44" s="2"/>
      <c r="BC44" s="5"/>
      <c r="BD44" s="61"/>
      <c r="BE44" s="61"/>
      <c r="BF44" s="63"/>
      <c r="BG44" s="67"/>
      <c r="BH44" s="67"/>
      <c r="BI44" s="67"/>
      <c r="BJ44" s="67"/>
      <c r="BK44" s="67"/>
      <c r="BL44" s="5"/>
      <c r="BM44" s="5"/>
      <c r="BN44" s="5"/>
      <c r="BO44" s="5"/>
      <c r="BP44" s="5"/>
      <c r="BQ44" s="5"/>
      <c r="BR44" s="5"/>
      <c r="BS44" s="5"/>
      <c r="BT44" s="61"/>
      <c r="BU44" s="61"/>
      <c r="BV44" s="61"/>
      <c r="BW44" s="61"/>
      <c r="BX44" s="61"/>
      <c r="BY44" s="61"/>
      <c r="BZ44" s="61"/>
      <c r="CA44" s="61"/>
      <c r="CB44" s="5"/>
      <c r="CC44" s="61"/>
      <c r="CD44" s="61"/>
      <c r="CE44" s="5"/>
      <c r="CF44" s="61"/>
      <c r="CG44" s="5"/>
      <c r="CH44" s="61"/>
      <c r="CI44" s="61"/>
      <c r="CJ44" s="61"/>
      <c r="CK44" s="61"/>
      <c r="CL44" s="61"/>
      <c r="CM44" s="69"/>
      <c r="CN44" s="5"/>
      <c r="CO44" s="61"/>
      <c r="CP44" s="61"/>
      <c r="CQ44" s="73"/>
      <c r="CR44" s="73"/>
      <c r="CS44" s="73"/>
      <c r="CT44" s="5"/>
      <c r="CU44" s="73"/>
      <c r="CV44" s="5"/>
      <c r="CW44" s="5"/>
      <c r="CX44" s="5"/>
      <c r="CY44" s="5"/>
      <c r="CZ44" s="5"/>
      <c r="DA44" s="5"/>
      <c r="DB44" s="5"/>
      <c r="DC44" s="61"/>
      <c r="DD44" s="61"/>
      <c r="DE44" s="61"/>
      <c r="DF44" s="61"/>
      <c r="DG44" s="61"/>
      <c r="DH44" s="61"/>
      <c r="DI44" s="61"/>
      <c r="DJ44" s="61"/>
      <c r="DK44" s="61"/>
      <c r="DL44" s="61"/>
      <c r="DM44" s="61"/>
      <c r="DN44" s="61"/>
      <c r="DO44" s="61"/>
      <c r="DP44" s="61"/>
      <c r="DQ44" s="61"/>
      <c r="DR44" s="61"/>
      <c r="DS44" s="61"/>
      <c r="DT44" s="61"/>
      <c r="DU44" s="61"/>
      <c r="DV44" s="61"/>
      <c r="DW44" s="61"/>
      <c r="DX44" s="61"/>
      <c r="DY44" s="61"/>
      <c r="DZ44" s="61"/>
      <c r="EA44" s="61"/>
      <c r="EB44" s="61"/>
      <c r="EC44" s="61"/>
      <c r="ED44" s="74"/>
      <c r="EE44" s="6"/>
      <c r="EF44" s="5"/>
      <c r="EG44" s="5"/>
      <c r="EH44" s="5"/>
      <c r="EI44" s="61"/>
      <c r="EJ44" s="61"/>
      <c r="EK44" s="61"/>
      <c r="EL44" s="61"/>
      <c r="EM44" s="61"/>
      <c r="EN44" s="61"/>
      <c r="EO44" s="61"/>
      <c r="EP44" s="68"/>
      <c r="EQ44" s="9"/>
      <c r="ER44" s="9"/>
      <c r="ES44" s="61"/>
      <c r="ET44" s="61"/>
      <c r="EU44" s="61"/>
      <c r="EV44" s="61"/>
      <c r="EW44" s="61"/>
      <c r="EX44" s="61"/>
      <c r="EY44" s="61"/>
      <c r="EZ44" s="61"/>
      <c r="FA44" s="61"/>
      <c r="FB44" s="61"/>
      <c r="FC44" s="61"/>
      <c r="FD44" s="61"/>
      <c r="FE44" s="61"/>
      <c r="FF44" s="61"/>
      <c r="FG44" s="61"/>
      <c r="FH44" s="61"/>
      <c r="FI44" s="61"/>
      <c r="FJ44" s="61"/>
      <c r="FK44" s="61"/>
      <c r="FL44" s="5"/>
      <c r="FM44" s="61"/>
      <c r="FN44" s="61"/>
      <c r="FO44" s="61"/>
      <c r="FP44" s="61"/>
      <c r="FQ44" s="61"/>
      <c r="FR44" s="61"/>
      <c r="FS44" s="61"/>
      <c r="FT44" s="61"/>
      <c r="FU44" s="61"/>
      <c r="FV44" s="61"/>
      <c r="FW44" s="61"/>
      <c r="FX44" s="61"/>
      <c r="FY44" s="61"/>
      <c r="FZ44" s="61"/>
      <c r="GA44" s="61"/>
      <c r="GB44" s="61"/>
      <c r="GC44" s="61"/>
      <c r="GD44" s="61"/>
      <c r="GE44" s="61"/>
      <c r="GF44" s="61"/>
      <c r="GG44" s="61"/>
      <c r="GH44" s="61"/>
      <c r="GI44" s="61"/>
      <c r="GJ44" s="61"/>
    </row>
    <row r="45" customFormat="1" ht="16.8" spans="1:192">
      <c r="A45" s="5"/>
      <c r="B45" s="5"/>
      <c r="C45" s="5"/>
      <c r="D45" s="61"/>
      <c r="E45" s="61"/>
      <c r="F45" s="62"/>
      <c r="G45" s="5"/>
      <c r="H45" s="5"/>
      <c r="I45" s="5"/>
      <c r="J45" s="5"/>
      <c r="K45" s="61"/>
      <c r="L45" s="67"/>
      <c r="M45" s="61"/>
      <c r="N45" s="61"/>
      <c r="O45" s="61"/>
      <c r="P45" s="61"/>
      <c r="Q45" s="61"/>
      <c r="R45" s="61"/>
      <c r="S45" s="61"/>
      <c r="T45" s="61"/>
      <c r="U45" s="61"/>
      <c r="V45" s="68"/>
      <c r="W45" s="7"/>
      <c r="X45" s="5"/>
      <c r="Y45" s="5"/>
      <c r="Z45" s="5"/>
      <c r="AA45" s="5"/>
      <c r="AB45" s="2"/>
      <c r="AC45" s="61"/>
      <c r="AD45" s="5"/>
      <c r="AE45" s="5"/>
      <c r="AF45" s="75"/>
      <c r="AG45" s="75"/>
      <c r="AH45" s="70"/>
      <c r="AI45" s="75"/>
      <c r="AJ45" s="75"/>
      <c r="AK45" s="75"/>
      <c r="AL45" s="61"/>
      <c r="AM45" s="61"/>
      <c r="AN45" s="61"/>
      <c r="AO45" s="61"/>
      <c r="AP45" s="61"/>
      <c r="AQ45" s="61"/>
      <c r="AR45" s="61"/>
      <c r="AS45" s="61"/>
      <c r="AT45" s="61"/>
      <c r="AU45" s="5"/>
      <c r="AV45" s="71"/>
      <c r="AW45" s="5"/>
      <c r="AX45" s="5"/>
      <c r="AY45" s="5"/>
      <c r="AZ45" s="2"/>
      <c r="BA45" s="2"/>
      <c r="BB45" s="2"/>
      <c r="BC45" s="5"/>
      <c r="BD45" s="61"/>
      <c r="BE45" s="61"/>
      <c r="BF45" s="63"/>
      <c r="BG45" s="67"/>
      <c r="BH45" s="67"/>
      <c r="BI45" s="67"/>
      <c r="BJ45" s="67"/>
      <c r="BK45" s="67"/>
      <c r="BL45" s="5"/>
      <c r="BM45" s="5"/>
      <c r="BN45" s="5"/>
      <c r="BO45" s="5"/>
      <c r="BP45" s="5"/>
      <c r="BQ45" s="5"/>
      <c r="BR45" s="5"/>
      <c r="BS45" s="5"/>
      <c r="BT45" s="61"/>
      <c r="BU45" s="61"/>
      <c r="BV45" s="61"/>
      <c r="BW45" s="61"/>
      <c r="BX45" s="61"/>
      <c r="BY45" s="61"/>
      <c r="BZ45" s="61"/>
      <c r="CA45" s="61"/>
      <c r="CB45" s="5"/>
      <c r="CC45" s="61"/>
      <c r="CD45" s="61"/>
      <c r="CE45" s="5"/>
      <c r="CF45" s="61"/>
      <c r="CG45" s="5"/>
      <c r="CH45" s="61"/>
      <c r="CI45" s="61"/>
      <c r="CJ45" s="61"/>
      <c r="CK45" s="61"/>
      <c r="CL45" s="61"/>
      <c r="CM45" s="69"/>
      <c r="CN45" s="5"/>
      <c r="CO45" s="61"/>
      <c r="CP45" s="61"/>
      <c r="CQ45" s="73"/>
      <c r="CR45" s="73"/>
      <c r="CS45" s="73"/>
      <c r="CT45" s="5"/>
      <c r="CU45" s="73"/>
      <c r="CV45" s="5"/>
      <c r="CW45" s="5"/>
      <c r="CX45" s="5"/>
      <c r="CY45" s="5"/>
      <c r="CZ45" s="5"/>
      <c r="DA45" s="5"/>
      <c r="DB45" s="5"/>
      <c r="DC45" s="61"/>
      <c r="DD45" s="61"/>
      <c r="DE45" s="61"/>
      <c r="DF45" s="61"/>
      <c r="DG45" s="61"/>
      <c r="DH45" s="61"/>
      <c r="DI45" s="61"/>
      <c r="DJ45" s="61"/>
      <c r="DK45" s="61"/>
      <c r="DL45" s="61"/>
      <c r="DM45" s="61"/>
      <c r="DN45" s="61"/>
      <c r="DO45" s="61"/>
      <c r="DP45" s="61"/>
      <c r="DQ45" s="61"/>
      <c r="DR45" s="61"/>
      <c r="DS45" s="61"/>
      <c r="DT45" s="61"/>
      <c r="DU45" s="61"/>
      <c r="DV45" s="61"/>
      <c r="DW45" s="61"/>
      <c r="DX45" s="61"/>
      <c r="DY45" s="61"/>
      <c r="DZ45" s="61"/>
      <c r="EA45" s="61"/>
      <c r="EB45" s="61"/>
      <c r="EC45" s="61"/>
      <c r="ED45" s="74"/>
      <c r="EE45" s="6"/>
      <c r="EF45" s="5"/>
      <c r="EG45" s="5"/>
      <c r="EH45" s="5"/>
      <c r="EI45" s="61"/>
      <c r="EJ45" s="61"/>
      <c r="EK45" s="61"/>
      <c r="EL45" s="61"/>
      <c r="EM45" s="61"/>
      <c r="EN45" s="61"/>
      <c r="EO45" s="61"/>
      <c r="EP45" s="68"/>
      <c r="EQ45" s="9"/>
      <c r="ER45" s="9"/>
      <c r="ES45" s="61"/>
      <c r="ET45" s="61"/>
      <c r="EU45" s="61"/>
      <c r="EV45" s="61"/>
      <c r="EW45" s="61"/>
      <c r="EX45" s="61"/>
      <c r="EY45" s="61"/>
      <c r="EZ45" s="61"/>
      <c r="FA45" s="61"/>
      <c r="FB45" s="61"/>
      <c r="FC45" s="61"/>
      <c r="FD45" s="61"/>
      <c r="FE45" s="61"/>
      <c r="FF45" s="61"/>
      <c r="FG45" s="61"/>
      <c r="FH45" s="61"/>
      <c r="FI45" s="61"/>
      <c r="FJ45" s="61"/>
      <c r="FK45" s="61"/>
      <c r="FL45" s="5"/>
      <c r="FM45" s="61"/>
      <c r="FN45" s="61"/>
      <c r="FO45" s="61"/>
      <c r="FP45" s="61"/>
      <c r="FQ45" s="61"/>
      <c r="FR45" s="61"/>
      <c r="FS45" s="61"/>
      <c r="FT45" s="61"/>
      <c r="FU45" s="61"/>
      <c r="FV45" s="61"/>
      <c r="FW45" s="61"/>
      <c r="FX45" s="61"/>
      <c r="FY45" s="61"/>
      <c r="FZ45" s="61"/>
      <c r="GA45" s="61"/>
      <c r="GB45" s="61"/>
      <c r="GC45" s="61"/>
      <c r="GD45" s="61"/>
      <c r="GE45" s="61"/>
      <c r="GF45" s="61"/>
      <c r="GG45" s="61"/>
      <c r="GH45" s="61"/>
      <c r="GI45" s="61"/>
      <c r="GJ45" s="61"/>
    </row>
    <row r="46" customFormat="1" ht="16.8" spans="1:192">
      <c r="A46" s="5"/>
      <c r="B46" s="5"/>
      <c r="C46" s="5"/>
      <c r="D46" s="61"/>
      <c r="E46" s="61"/>
      <c r="F46" s="62"/>
      <c r="G46" s="5"/>
      <c r="H46" s="5"/>
      <c r="I46" s="5"/>
      <c r="J46" s="5"/>
      <c r="K46" s="61"/>
      <c r="L46" s="67"/>
      <c r="M46" s="61"/>
      <c r="N46" s="61"/>
      <c r="O46" s="61"/>
      <c r="P46" s="61"/>
      <c r="Q46" s="61"/>
      <c r="R46" s="61"/>
      <c r="S46" s="61"/>
      <c r="T46" s="61"/>
      <c r="U46" s="61"/>
      <c r="V46" s="68"/>
      <c r="W46" s="7"/>
      <c r="X46" s="5"/>
      <c r="Y46" s="5"/>
      <c r="Z46" s="5"/>
      <c r="AA46" s="5"/>
      <c r="AB46" s="2"/>
      <c r="AC46" s="61"/>
      <c r="AD46" s="5"/>
      <c r="AE46" s="5"/>
      <c r="AF46" s="75"/>
      <c r="AG46" s="75"/>
      <c r="AH46" s="70"/>
      <c r="AI46" s="75"/>
      <c r="AJ46" s="75"/>
      <c r="AK46" s="75"/>
      <c r="AL46" s="61"/>
      <c r="AM46" s="61"/>
      <c r="AN46" s="61"/>
      <c r="AO46" s="61"/>
      <c r="AP46" s="61"/>
      <c r="AQ46" s="61"/>
      <c r="AR46" s="61"/>
      <c r="AS46" s="61"/>
      <c r="AT46" s="61"/>
      <c r="AU46" s="5"/>
      <c r="AV46" s="71"/>
      <c r="AW46" s="5"/>
      <c r="AX46" s="5"/>
      <c r="AY46" s="5"/>
      <c r="AZ46" s="2"/>
      <c r="BA46" s="2"/>
      <c r="BB46" s="2"/>
      <c r="BC46" s="5"/>
      <c r="BD46" s="61"/>
      <c r="BE46" s="61"/>
      <c r="BF46" s="63"/>
      <c r="BG46" s="67"/>
      <c r="BH46" s="67"/>
      <c r="BI46" s="67"/>
      <c r="BJ46" s="67"/>
      <c r="BK46" s="67"/>
      <c r="BL46" s="5"/>
      <c r="BM46" s="5"/>
      <c r="BN46" s="5"/>
      <c r="BO46" s="5"/>
      <c r="BP46" s="5"/>
      <c r="BQ46" s="5"/>
      <c r="BR46" s="5"/>
      <c r="BS46" s="5"/>
      <c r="BT46" s="61"/>
      <c r="BU46" s="61"/>
      <c r="BV46" s="61"/>
      <c r="BW46" s="61"/>
      <c r="BX46" s="61"/>
      <c r="BY46" s="61"/>
      <c r="BZ46" s="61"/>
      <c r="CA46" s="61"/>
      <c r="CB46" s="5"/>
      <c r="CC46" s="61"/>
      <c r="CD46" s="61"/>
      <c r="CE46" s="5"/>
      <c r="CF46" s="61"/>
      <c r="CG46" s="5"/>
      <c r="CH46" s="61"/>
      <c r="CI46" s="61"/>
      <c r="CJ46" s="61"/>
      <c r="CK46" s="61"/>
      <c r="CL46" s="61"/>
      <c r="CM46" s="69"/>
      <c r="CN46" s="5"/>
      <c r="CO46" s="61"/>
      <c r="CP46" s="61"/>
      <c r="CQ46" s="73"/>
      <c r="CR46" s="73"/>
      <c r="CS46" s="73"/>
      <c r="CT46" s="5"/>
      <c r="CU46" s="73"/>
      <c r="CV46" s="5"/>
      <c r="CW46" s="5"/>
      <c r="CX46" s="5"/>
      <c r="CY46" s="5"/>
      <c r="CZ46" s="5"/>
      <c r="DA46" s="5"/>
      <c r="DB46" s="5"/>
      <c r="DC46" s="61"/>
      <c r="DD46" s="61"/>
      <c r="DE46" s="61"/>
      <c r="DF46" s="61"/>
      <c r="DG46" s="61"/>
      <c r="DH46" s="61"/>
      <c r="DI46" s="61"/>
      <c r="DJ46" s="61"/>
      <c r="DK46" s="61"/>
      <c r="DL46" s="61"/>
      <c r="DM46" s="61"/>
      <c r="DN46" s="61"/>
      <c r="DO46" s="61"/>
      <c r="DP46" s="61"/>
      <c r="DQ46" s="61"/>
      <c r="DR46" s="61"/>
      <c r="DS46" s="61"/>
      <c r="DT46" s="61"/>
      <c r="DU46" s="61"/>
      <c r="DV46" s="61"/>
      <c r="DW46" s="61"/>
      <c r="DX46" s="61"/>
      <c r="DY46" s="61"/>
      <c r="DZ46" s="61"/>
      <c r="EA46" s="61"/>
      <c r="EB46" s="61"/>
      <c r="EC46" s="61"/>
      <c r="ED46" s="74"/>
      <c r="EE46" s="6"/>
      <c r="EF46" s="5"/>
      <c r="EG46" s="5"/>
      <c r="EH46" s="5"/>
      <c r="EI46" s="61"/>
      <c r="EJ46" s="61"/>
      <c r="EK46" s="61"/>
      <c r="EL46" s="61"/>
      <c r="EM46" s="61"/>
      <c r="EN46" s="61"/>
      <c r="EO46" s="61"/>
      <c r="EP46" s="68"/>
      <c r="EQ46" s="9"/>
      <c r="ER46" s="9"/>
      <c r="ES46" s="61"/>
      <c r="ET46" s="61"/>
      <c r="EU46" s="61"/>
      <c r="EV46" s="61"/>
      <c r="EW46" s="61"/>
      <c r="EX46" s="61"/>
      <c r="EY46" s="61"/>
      <c r="EZ46" s="61"/>
      <c r="FA46" s="61"/>
      <c r="FB46" s="61"/>
      <c r="FC46" s="61"/>
      <c r="FD46" s="61"/>
      <c r="FE46" s="61"/>
      <c r="FF46" s="61"/>
      <c r="FG46" s="61"/>
      <c r="FH46" s="61"/>
      <c r="FI46" s="61"/>
      <c r="FJ46" s="61"/>
      <c r="FK46" s="61"/>
      <c r="FL46" s="5"/>
      <c r="FM46" s="61"/>
      <c r="FN46" s="61"/>
      <c r="FO46" s="61"/>
      <c r="FP46" s="61"/>
      <c r="FQ46" s="61"/>
      <c r="FR46" s="61"/>
      <c r="FS46" s="61"/>
      <c r="FT46" s="61"/>
      <c r="FU46" s="61"/>
      <c r="FV46" s="61"/>
      <c r="FW46" s="61"/>
      <c r="FX46" s="61"/>
      <c r="FY46" s="61"/>
      <c r="FZ46" s="61"/>
      <c r="GA46" s="61"/>
      <c r="GB46" s="61"/>
      <c r="GC46" s="61"/>
      <c r="GD46" s="61"/>
      <c r="GE46" s="61"/>
      <c r="GF46" s="61"/>
      <c r="GG46" s="61"/>
      <c r="GH46" s="61"/>
      <c r="GI46" s="61"/>
      <c r="GJ46" s="61"/>
    </row>
    <row r="47" customFormat="1" ht="16.8" spans="1:192">
      <c r="A47" s="5"/>
      <c r="B47" s="5"/>
      <c r="C47" s="5"/>
      <c r="D47" s="61"/>
      <c r="E47" s="61"/>
      <c r="F47" s="62"/>
      <c r="G47" s="5"/>
      <c r="H47" s="5"/>
      <c r="I47" s="5"/>
      <c r="J47" s="5"/>
      <c r="K47" s="61"/>
      <c r="L47" s="67"/>
      <c r="M47" s="61"/>
      <c r="N47" s="61"/>
      <c r="O47" s="61"/>
      <c r="P47" s="61"/>
      <c r="Q47" s="61"/>
      <c r="R47" s="61"/>
      <c r="S47" s="61"/>
      <c r="T47" s="61"/>
      <c r="U47" s="61"/>
      <c r="V47" s="68"/>
      <c r="W47" s="7"/>
      <c r="X47" s="5"/>
      <c r="Y47" s="5"/>
      <c r="Z47" s="5"/>
      <c r="AA47" s="5"/>
      <c r="AB47" s="2"/>
      <c r="AC47" s="61"/>
      <c r="AD47" s="5"/>
      <c r="AE47" s="5"/>
      <c r="AF47" s="75"/>
      <c r="AG47" s="75"/>
      <c r="AH47" s="70"/>
      <c r="AI47" s="75"/>
      <c r="AJ47" s="75"/>
      <c r="AK47" s="75"/>
      <c r="AL47" s="61"/>
      <c r="AM47" s="61"/>
      <c r="AN47" s="61"/>
      <c r="AO47" s="61"/>
      <c r="AP47" s="61"/>
      <c r="AQ47" s="61"/>
      <c r="AR47" s="61"/>
      <c r="AS47" s="61"/>
      <c r="AT47" s="61"/>
      <c r="AU47" s="5"/>
      <c r="AV47" s="71"/>
      <c r="AW47" s="5"/>
      <c r="AX47" s="5"/>
      <c r="AY47" s="5"/>
      <c r="AZ47" s="2"/>
      <c r="BA47" s="2"/>
      <c r="BB47" s="2"/>
      <c r="BC47" s="5"/>
      <c r="BD47" s="61"/>
      <c r="BE47" s="61"/>
      <c r="BF47" s="63"/>
      <c r="BG47" s="67"/>
      <c r="BH47" s="67"/>
      <c r="BI47" s="67"/>
      <c r="BJ47" s="67"/>
      <c r="BK47" s="67"/>
      <c r="BL47" s="5"/>
      <c r="BM47" s="5"/>
      <c r="BN47" s="5"/>
      <c r="BO47" s="5"/>
      <c r="BP47" s="5"/>
      <c r="BQ47" s="5"/>
      <c r="BR47" s="5"/>
      <c r="BS47" s="5"/>
      <c r="BT47" s="61"/>
      <c r="BU47" s="61"/>
      <c r="BV47" s="61"/>
      <c r="BW47" s="61"/>
      <c r="BX47" s="61"/>
      <c r="BY47" s="61"/>
      <c r="BZ47" s="61"/>
      <c r="CA47" s="61"/>
      <c r="CB47" s="5"/>
      <c r="CC47" s="61"/>
      <c r="CD47" s="61"/>
      <c r="CE47" s="5"/>
      <c r="CF47" s="61"/>
      <c r="CG47" s="5"/>
      <c r="CH47" s="61"/>
      <c r="CI47" s="61"/>
      <c r="CJ47" s="61"/>
      <c r="CK47" s="61"/>
      <c r="CL47" s="61"/>
      <c r="CM47" s="69"/>
      <c r="CN47" s="5"/>
      <c r="CO47" s="61"/>
      <c r="CP47" s="61"/>
      <c r="CQ47" s="73"/>
      <c r="CR47" s="73"/>
      <c r="CS47" s="73"/>
      <c r="CT47" s="5"/>
      <c r="CU47" s="73"/>
      <c r="CV47" s="5"/>
      <c r="CW47" s="5"/>
      <c r="CX47" s="5"/>
      <c r="CY47" s="5"/>
      <c r="CZ47" s="5"/>
      <c r="DA47" s="5"/>
      <c r="DB47" s="5"/>
      <c r="DC47" s="61"/>
      <c r="DD47" s="61"/>
      <c r="DE47" s="61"/>
      <c r="DF47" s="61"/>
      <c r="DG47" s="61"/>
      <c r="DH47" s="61"/>
      <c r="DI47" s="61"/>
      <c r="DJ47" s="61"/>
      <c r="DK47" s="61"/>
      <c r="DL47" s="61"/>
      <c r="DM47" s="61"/>
      <c r="DN47" s="61"/>
      <c r="DO47" s="61"/>
      <c r="DP47" s="61"/>
      <c r="DQ47" s="61"/>
      <c r="DR47" s="61"/>
      <c r="DS47" s="61"/>
      <c r="DT47" s="61"/>
      <c r="DU47" s="61"/>
      <c r="DV47" s="61"/>
      <c r="DW47" s="61"/>
      <c r="DX47" s="61"/>
      <c r="DY47" s="61"/>
      <c r="DZ47" s="61"/>
      <c r="EA47" s="61"/>
      <c r="EB47" s="61"/>
      <c r="EC47" s="61"/>
      <c r="ED47" s="74"/>
      <c r="EE47" s="6"/>
      <c r="EF47" s="5"/>
      <c r="EG47" s="5"/>
      <c r="EH47" s="5"/>
      <c r="EI47" s="61"/>
      <c r="EJ47" s="61"/>
      <c r="EK47" s="61"/>
      <c r="EL47" s="61"/>
      <c r="EM47" s="61"/>
      <c r="EN47" s="61"/>
      <c r="EO47" s="61"/>
      <c r="EP47" s="68"/>
      <c r="EQ47" s="9"/>
      <c r="ER47" s="9"/>
      <c r="ES47" s="61"/>
      <c r="ET47" s="61"/>
      <c r="EU47" s="61"/>
      <c r="EV47" s="61"/>
      <c r="EW47" s="61"/>
      <c r="EX47" s="61"/>
      <c r="EY47" s="61"/>
      <c r="EZ47" s="61"/>
      <c r="FA47" s="61"/>
      <c r="FB47" s="61"/>
      <c r="FC47" s="61"/>
      <c r="FD47" s="61"/>
      <c r="FE47" s="61"/>
      <c r="FF47" s="61"/>
      <c r="FG47" s="61"/>
      <c r="FH47" s="61"/>
      <c r="FI47" s="61"/>
      <c r="FJ47" s="61"/>
      <c r="FK47" s="61"/>
      <c r="FL47" s="5"/>
      <c r="FM47" s="61"/>
      <c r="FN47" s="61"/>
      <c r="FO47" s="61"/>
      <c r="FP47" s="61"/>
      <c r="FQ47" s="61"/>
      <c r="FR47" s="61"/>
      <c r="FS47" s="61"/>
      <c r="FT47" s="61"/>
      <c r="FU47" s="61"/>
      <c r="FV47" s="61"/>
      <c r="FW47" s="61"/>
      <c r="FX47" s="61"/>
      <c r="FY47" s="61"/>
      <c r="FZ47" s="61"/>
      <c r="GA47" s="61"/>
      <c r="GB47" s="61"/>
      <c r="GC47" s="61"/>
      <c r="GD47" s="61"/>
      <c r="GE47" s="61"/>
      <c r="GF47" s="61"/>
      <c r="GG47" s="61"/>
      <c r="GH47" s="61"/>
      <c r="GI47" s="61"/>
      <c r="GJ47" s="61"/>
    </row>
    <row r="48" s="3" customFormat="1" ht="16.8" spans="1:192">
      <c r="A48" s="8"/>
      <c r="B48" s="76"/>
      <c r="C48" s="8"/>
      <c r="D48" s="77"/>
      <c r="E48" s="77"/>
      <c r="F48" s="85"/>
      <c r="G48" s="8"/>
      <c r="H48" s="8"/>
      <c r="I48" s="8"/>
      <c r="J48" s="8"/>
      <c r="K48" s="77"/>
      <c r="L48" s="8"/>
      <c r="M48" s="77"/>
      <c r="N48" s="77"/>
      <c r="O48" s="77"/>
      <c r="P48" s="77"/>
      <c r="Q48" s="77"/>
      <c r="R48" s="77"/>
      <c r="S48" s="77"/>
      <c r="T48" s="77"/>
      <c r="U48" s="77"/>
      <c r="V48" s="81"/>
      <c r="W48" s="78"/>
      <c r="X48" s="8"/>
      <c r="Y48" s="8"/>
      <c r="Z48" s="8"/>
      <c r="AA48" s="8"/>
      <c r="AB48" s="2"/>
      <c r="AC48" s="77"/>
      <c r="AD48" s="8"/>
      <c r="AE48" s="8"/>
      <c r="AF48" s="79"/>
      <c r="AG48" s="79"/>
      <c r="AH48" s="80"/>
      <c r="AI48" s="79"/>
      <c r="AJ48" s="79"/>
      <c r="AK48" s="79"/>
      <c r="AL48" s="77"/>
      <c r="AM48" s="77"/>
      <c r="AN48" s="77"/>
      <c r="AO48" s="77"/>
      <c r="AP48" s="77"/>
      <c r="AQ48" s="77"/>
      <c r="AR48" s="77"/>
      <c r="AS48" s="77"/>
      <c r="AT48" s="77"/>
      <c r="AU48" s="8"/>
      <c r="AV48" s="86"/>
      <c r="AW48" s="8"/>
      <c r="AX48" s="8"/>
      <c r="AY48" s="8"/>
      <c r="AZ48" s="2"/>
      <c r="BA48" s="2"/>
      <c r="BB48" s="2"/>
      <c r="BC48" s="8"/>
      <c r="BD48" s="77"/>
      <c r="BE48" s="77"/>
      <c r="BF48" s="8"/>
      <c r="BG48" s="8"/>
      <c r="BH48" s="8"/>
      <c r="BI48" s="8"/>
      <c r="BJ48" s="8"/>
      <c r="BK48" s="8"/>
      <c r="BL48" s="8"/>
      <c r="BM48" s="8"/>
      <c r="BN48" s="8"/>
      <c r="BO48" s="8"/>
      <c r="BP48" s="8"/>
      <c r="BQ48" s="8"/>
      <c r="BR48" s="8"/>
      <c r="BS48" s="8"/>
      <c r="BT48" s="77"/>
      <c r="BU48" s="77"/>
      <c r="BV48" s="77"/>
      <c r="BW48" s="77"/>
      <c r="BX48" s="77"/>
      <c r="BY48" s="77"/>
      <c r="BZ48" s="77"/>
      <c r="CA48" s="77"/>
      <c r="CB48" s="77"/>
      <c r="CC48" s="77"/>
      <c r="CD48" s="77"/>
      <c r="CE48" s="8"/>
      <c r="CF48" s="77"/>
      <c r="CG48" s="8"/>
      <c r="CH48" s="77"/>
      <c r="CI48" s="77"/>
      <c r="CJ48" s="77"/>
      <c r="CK48" s="77"/>
      <c r="CL48" s="77"/>
      <c r="CM48" s="2"/>
      <c r="CN48" s="8"/>
      <c r="CO48" s="77"/>
      <c r="CP48" s="77"/>
      <c r="CQ48" s="81"/>
      <c r="CR48" s="81"/>
      <c r="CS48" s="81"/>
      <c r="CT48" s="8"/>
      <c r="CU48" s="81"/>
      <c r="CV48" s="8"/>
      <c r="CW48" s="8"/>
      <c r="CX48" s="8"/>
      <c r="CY48" s="8"/>
      <c r="CZ48" s="8"/>
      <c r="DA48" s="8"/>
      <c r="DB48" s="8"/>
      <c r="DC48" s="77"/>
      <c r="DD48" s="77"/>
      <c r="DE48" s="77"/>
      <c r="DF48" s="77"/>
      <c r="DG48" s="77"/>
      <c r="DH48" s="77"/>
      <c r="DI48" s="77"/>
      <c r="DJ48" s="77"/>
      <c r="DK48" s="77"/>
      <c r="DL48" s="77"/>
      <c r="DM48" s="77"/>
      <c r="DN48" s="77"/>
      <c r="DO48" s="77"/>
      <c r="DP48" s="77"/>
      <c r="DQ48" s="77"/>
      <c r="DR48" s="77"/>
      <c r="DS48" s="77"/>
      <c r="DT48" s="77"/>
      <c r="DU48" s="77"/>
      <c r="DV48" s="77"/>
      <c r="DW48" s="77"/>
      <c r="DX48" s="77"/>
      <c r="DY48" s="77"/>
      <c r="DZ48" s="77"/>
      <c r="EA48" s="77"/>
      <c r="EB48" s="77"/>
      <c r="EC48" s="77"/>
      <c r="ED48" s="87"/>
      <c r="EE48" s="81"/>
      <c r="EF48" s="8"/>
      <c r="EG48" s="8"/>
      <c r="EH48" s="8"/>
      <c r="EI48" s="77"/>
      <c r="EJ48" s="77"/>
      <c r="EK48" s="77"/>
      <c r="EL48" s="77"/>
      <c r="EM48" s="77"/>
      <c r="EN48" s="77"/>
      <c r="EO48" s="77"/>
      <c r="EP48" s="81"/>
      <c r="EQ48" s="82"/>
      <c r="ER48" s="82"/>
      <c r="ES48" s="77"/>
      <c r="ET48" s="77"/>
      <c r="EU48" s="77"/>
      <c r="EV48" s="77"/>
      <c r="EW48" s="77"/>
      <c r="EX48" s="77"/>
      <c r="EY48" s="77"/>
      <c r="EZ48" s="77"/>
      <c r="FA48" s="77"/>
      <c r="FB48" s="77"/>
      <c r="FC48" s="77"/>
      <c r="FD48" s="77"/>
      <c r="FE48" s="77"/>
      <c r="FF48" s="77"/>
      <c r="FG48" s="77"/>
      <c r="FH48" s="77"/>
      <c r="FI48" s="77"/>
      <c r="FJ48" s="77"/>
      <c r="FK48" s="77"/>
      <c r="FL48" s="8"/>
      <c r="FM48" s="77"/>
      <c r="FN48" s="77"/>
      <c r="FO48" s="77"/>
      <c r="FP48" s="77"/>
      <c r="FQ48" s="77"/>
      <c r="FR48" s="77"/>
      <c r="FS48" s="77"/>
      <c r="FT48" s="77"/>
      <c r="FU48" s="77"/>
      <c r="FV48" s="77"/>
      <c r="FW48" s="77"/>
      <c r="FX48" s="77"/>
      <c r="FY48" s="77"/>
      <c r="FZ48" s="77"/>
      <c r="GA48" s="77"/>
      <c r="GB48" s="77"/>
      <c r="GC48" s="77"/>
      <c r="GD48" s="77"/>
      <c r="GE48" s="77"/>
      <c r="GF48" s="77"/>
      <c r="GG48" s="77"/>
      <c r="GH48" s="77"/>
      <c r="GI48" s="77"/>
      <c r="GJ48" s="77"/>
    </row>
    <row r="49" customFormat="1" ht="16.8" spans="1:192">
      <c r="A49" s="5"/>
      <c r="B49" s="88"/>
      <c r="C49" s="5"/>
      <c r="D49" s="61"/>
      <c r="E49" s="61"/>
      <c r="F49" s="62"/>
      <c r="G49" s="5"/>
      <c r="H49" s="5"/>
      <c r="I49" s="5"/>
      <c r="J49" s="5"/>
      <c r="K49" s="61"/>
      <c r="L49" s="67"/>
      <c r="M49" s="61"/>
      <c r="N49" s="61"/>
      <c r="O49" s="61"/>
      <c r="P49" s="61"/>
      <c r="Q49" s="61"/>
      <c r="R49" s="61"/>
      <c r="S49" s="61"/>
      <c r="T49" s="61"/>
      <c r="U49" s="61"/>
      <c r="V49" s="6"/>
      <c r="W49" s="7"/>
      <c r="X49" s="5"/>
      <c r="Y49" s="5"/>
      <c r="Z49" s="5"/>
      <c r="AA49" s="5"/>
      <c r="AB49" s="69"/>
      <c r="AC49" s="61"/>
      <c r="AD49" s="5"/>
      <c r="AE49" s="5"/>
      <c r="AF49" s="75"/>
      <c r="AG49" s="75"/>
      <c r="AH49" s="70"/>
      <c r="AI49" s="75"/>
      <c r="AJ49" s="75"/>
      <c r="AK49" s="75"/>
      <c r="AL49" s="61"/>
      <c r="AM49" s="61"/>
      <c r="AN49" s="61"/>
      <c r="AO49" s="61"/>
      <c r="AP49" s="61"/>
      <c r="AQ49" s="61"/>
      <c r="AR49" s="61"/>
      <c r="AS49" s="61"/>
      <c r="AT49" s="61"/>
      <c r="AU49" s="5"/>
      <c r="AV49" s="71"/>
      <c r="AW49" s="5"/>
      <c r="AX49" s="5"/>
      <c r="AY49" s="5"/>
      <c r="AZ49" s="69"/>
      <c r="BA49" s="69"/>
      <c r="BB49" s="69"/>
      <c r="BC49" s="5"/>
      <c r="BD49" s="61"/>
      <c r="BE49" s="61"/>
      <c r="BF49" s="63"/>
      <c r="BG49" s="67"/>
      <c r="BH49" s="67"/>
      <c r="BI49" s="67"/>
      <c r="BJ49" s="67"/>
      <c r="BK49" s="67"/>
      <c r="BL49" s="5"/>
      <c r="BM49" s="5"/>
      <c r="BN49" s="5"/>
      <c r="BO49" s="5"/>
      <c r="BP49" s="5"/>
      <c r="BQ49" s="5"/>
      <c r="BR49" s="5"/>
      <c r="BS49" s="5"/>
      <c r="BT49" s="61"/>
      <c r="BU49" s="61"/>
      <c r="BV49" s="61"/>
      <c r="BW49" s="61"/>
      <c r="BX49" s="61"/>
      <c r="BY49" s="61"/>
      <c r="BZ49" s="61"/>
      <c r="CA49" s="61"/>
      <c r="CB49" s="61"/>
      <c r="CC49" s="61"/>
      <c r="CD49" s="61"/>
      <c r="CE49" s="5"/>
      <c r="CF49" s="61"/>
      <c r="CG49" s="5"/>
      <c r="CH49" s="61"/>
      <c r="CI49" s="61"/>
      <c r="CJ49" s="61"/>
      <c r="CK49" s="61"/>
      <c r="CL49" s="61"/>
      <c r="CM49" s="69"/>
      <c r="CN49" s="5"/>
      <c r="CO49" s="61"/>
      <c r="CP49" s="61"/>
      <c r="CQ49" s="73"/>
      <c r="CR49" s="73"/>
      <c r="CS49" s="73"/>
      <c r="CT49" s="5"/>
      <c r="CU49" s="73"/>
      <c r="CV49" s="5"/>
      <c r="CW49" s="5"/>
      <c r="CX49" s="5"/>
      <c r="CY49" s="5"/>
      <c r="CZ49" s="5"/>
      <c r="DA49" s="5"/>
      <c r="DB49" s="5"/>
      <c r="DC49" s="61"/>
      <c r="DD49" s="61"/>
      <c r="DE49" s="61"/>
      <c r="DF49" s="61"/>
      <c r="DG49" s="61"/>
      <c r="DH49" s="61"/>
      <c r="DI49" s="61"/>
      <c r="DJ49" s="61"/>
      <c r="DK49" s="61"/>
      <c r="DL49" s="61"/>
      <c r="DM49" s="61"/>
      <c r="DN49" s="61"/>
      <c r="DO49" s="61"/>
      <c r="DP49" s="61"/>
      <c r="DQ49" s="61"/>
      <c r="DR49" s="61"/>
      <c r="DS49" s="61"/>
      <c r="DT49" s="61"/>
      <c r="DU49" s="61"/>
      <c r="DV49" s="61"/>
      <c r="DW49" s="61"/>
      <c r="DX49" s="61"/>
      <c r="DY49" s="61"/>
      <c r="DZ49" s="61"/>
      <c r="EA49" s="61"/>
      <c r="EB49" s="61"/>
      <c r="EC49" s="61"/>
      <c r="ED49" s="74"/>
      <c r="EE49" s="6"/>
      <c r="EF49" s="5"/>
      <c r="EG49" s="5"/>
      <c r="EH49" s="5"/>
      <c r="EI49" s="61"/>
      <c r="EJ49" s="61"/>
      <c r="EK49" s="61"/>
      <c r="EL49" s="61"/>
      <c r="EM49" s="61"/>
      <c r="EN49" s="61"/>
      <c r="EO49" s="61"/>
      <c r="EP49" s="6"/>
      <c r="EQ49" s="9"/>
      <c r="ER49" s="9"/>
      <c r="ES49" s="61"/>
      <c r="ET49" s="61"/>
      <c r="EU49" s="61"/>
      <c r="EV49" s="61"/>
      <c r="EW49" s="61"/>
      <c r="EX49" s="61"/>
      <c r="EY49" s="61"/>
      <c r="EZ49" s="61"/>
      <c r="FA49" s="61"/>
      <c r="FB49" s="61"/>
      <c r="FC49" s="61"/>
      <c r="FD49" s="61"/>
      <c r="FE49" s="61"/>
      <c r="FF49" s="61"/>
      <c r="FG49" s="61"/>
      <c r="FH49" s="61"/>
      <c r="FI49" s="61"/>
      <c r="FJ49" s="61"/>
      <c r="FK49" s="61"/>
      <c r="FL49" s="5"/>
      <c r="FM49" s="61"/>
      <c r="FN49" s="61"/>
      <c r="FO49" s="61"/>
      <c r="FP49" s="61"/>
      <c r="FQ49" s="61"/>
      <c r="FR49" s="61"/>
      <c r="FS49" s="61"/>
      <c r="FT49" s="61"/>
      <c r="FU49" s="61"/>
      <c r="FV49" s="61"/>
      <c r="FW49" s="61"/>
      <c r="FX49" s="61"/>
      <c r="FY49" s="61"/>
      <c r="FZ49" s="61"/>
      <c r="GA49" s="61"/>
      <c r="GB49" s="61"/>
      <c r="GC49" s="61"/>
      <c r="GD49" s="61"/>
      <c r="GE49" s="61"/>
      <c r="GF49" s="61"/>
      <c r="GG49" s="61"/>
      <c r="GH49" s="61"/>
      <c r="GI49" s="61"/>
      <c r="GJ49" s="61"/>
    </row>
    <row r="50" customFormat="1" ht="16.8" spans="1:192">
      <c r="A50" s="5"/>
      <c r="B50" s="88"/>
      <c r="C50" s="5"/>
      <c r="D50" s="61"/>
      <c r="E50" s="61"/>
      <c r="F50" s="62"/>
      <c r="G50" s="5"/>
      <c r="H50" s="5"/>
      <c r="I50" s="5"/>
      <c r="J50" s="5"/>
      <c r="K50" s="61"/>
      <c r="L50" s="67"/>
      <c r="M50" s="61"/>
      <c r="N50" s="61"/>
      <c r="O50" s="61"/>
      <c r="P50" s="61"/>
      <c r="Q50" s="61"/>
      <c r="R50" s="61"/>
      <c r="S50" s="61"/>
      <c r="T50" s="61"/>
      <c r="U50" s="61"/>
      <c r="V50" s="6"/>
      <c r="W50" s="7"/>
      <c r="X50" s="5"/>
      <c r="Y50" s="5"/>
      <c r="Z50" s="5"/>
      <c r="AA50" s="5"/>
      <c r="AB50" s="69"/>
      <c r="AC50" s="61"/>
      <c r="AD50" s="5"/>
      <c r="AE50" s="5"/>
      <c r="AF50" s="75"/>
      <c r="AG50" s="75"/>
      <c r="AH50" s="70"/>
      <c r="AI50" s="75"/>
      <c r="AJ50" s="75"/>
      <c r="AK50" s="75"/>
      <c r="AL50" s="61"/>
      <c r="AM50" s="61"/>
      <c r="AN50" s="61"/>
      <c r="AO50" s="61"/>
      <c r="AP50" s="61"/>
      <c r="AQ50" s="61"/>
      <c r="AR50" s="61"/>
      <c r="AS50" s="61"/>
      <c r="AT50" s="61"/>
      <c r="AU50" s="5"/>
      <c r="AV50" s="71"/>
      <c r="AW50" s="5"/>
      <c r="AX50" s="5"/>
      <c r="AY50" s="5"/>
      <c r="AZ50" s="69"/>
      <c r="BA50" s="69"/>
      <c r="BB50" s="69"/>
      <c r="BC50" s="5"/>
      <c r="BD50" s="61"/>
      <c r="BE50" s="61"/>
      <c r="BF50" s="63"/>
      <c r="BG50" s="67"/>
      <c r="BH50" s="67"/>
      <c r="BI50" s="67"/>
      <c r="BJ50" s="67"/>
      <c r="BK50" s="67"/>
      <c r="BL50" s="5"/>
      <c r="BM50" s="5"/>
      <c r="BN50" s="5"/>
      <c r="BO50" s="5"/>
      <c r="BP50" s="5"/>
      <c r="BQ50" s="5"/>
      <c r="BR50" s="5"/>
      <c r="BS50" s="5"/>
      <c r="BT50" s="61"/>
      <c r="BU50" s="61"/>
      <c r="BV50" s="61"/>
      <c r="BW50" s="61"/>
      <c r="BX50" s="61"/>
      <c r="BY50" s="61"/>
      <c r="BZ50" s="61"/>
      <c r="CA50" s="61"/>
      <c r="CB50" s="61"/>
      <c r="CC50" s="61"/>
      <c r="CD50" s="61"/>
      <c r="CE50" s="5"/>
      <c r="CF50" s="61"/>
      <c r="CG50" s="5"/>
      <c r="CH50" s="61"/>
      <c r="CI50" s="61"/>
      <c r="CJ50" s="61"/>
      <c r="CK50" s="61"/>
      <c r="CL50" s="61"/>
      <c r="CM50" s="69"/>
      <c r="CN50" s="5"/>
      <c r="CO50" s="61"/>
      <c r="CP50" s="61"/>
      <c r="CQ50" s="73"/>
      <c r="CR50" s="73"/>
      <c r="CS50" s="73"/>
      <c r="CT50" s="5"/>
      <c r="CU50" s="73"/>
      <c r="CV50" s="5"/>
      <c r="CW50" s="5"/>
      <c r="CX50" s="5"/>
      <c r="CY50" s="5"/>
      <c r="CZ50" s="5"/>
      <c r="DA50" s="5"/>
      <c r="DB50" s="5"/>
      <c r="DC50" s="61"/>
      <c r="DD50" s="61"/>
      <c r="DE50" s="61"/>
      <c r="DF50" s="61"/>
      <c r="DG50" s="61"/>
      <c r="DH50" s="61"/>
      <c r="DI50" s="61"/>
      <c r="DJ50" s="61"/>
      <c r="DK50" s="61"/>
      <c r="DL50" s="61"/>
      <c r="DM50" s="61"/>
      <c r="DN50" s="61"/>
      <c r="DO50" s="61"/>
      <c r="DP50" s="61"/>
      <c r="DQ50" s="61"/>
      <c r="DR50" s="61"/>
      <c r="DS50" s="61"/>
      <c r="DT50" s="61"/>
      <c r="DU50" s="61"/>
      <c r="DV50" s="61"/>
      <c r="DW50" s="61"/>
      <c r="DX50" s="61"/>
      <c r="DY50" s="61"/>
      <c r="DZ50" s="61"/>
      <c r="EA50" s="61"/>
      <c r="EB50" s="61"/>
      <c r="EC50" s="61"/>
      <c r="ED50" s="74"/>
      <c r="EE50" s="6"/>
      <c r="EF50" s="5"/>
      <c r="EG50" s="5"/>
      <c r="EH50" s="5"/>
      <c r="EI50" s="61"/>
      <c r="EJ50" s="61"/>
      <c r="EK50" s="61"/>
      <c r="EL50" s="61"/>
      <c r="EM50" s="61"/>
      <c r="EN50" s="61"/>
      <c r="EO50" s="61"/>
      <c r="EP50" s="6"/>
      <c r="EQ50" s="9"/>
      <c r="ER50" s="9"/>
      <c r="ES50" s="61"/>
      <c r="ET50" s="61"/>
      <c r="EU50" s="61"/>
      <c r="EV50" s="61"/>
      <c r="EW50" s="61"/>
      <c r="EX50" s="61"/>
      <c r="EY50" s="61"/>
      <c r="EZ50" s="61"/>
      <c r="FA50" s="61"/>
      <c r="FB50" s="61"/>
      <c r="FC50" s="61"/>
      <c r="FD50" s="61"/>
      <c r="FE50" s="61"/>
      <c r="FF50" s="61"/>
      <c r="FG50" s="61"/>
      <c r="FH50" s="61"/>
      <c r="FI50" s="61"/>
      <c r="FJ50" s="61"/>
      <c r="FK50" s="61"/>
      <c r="FL50" s="5"/>
      <c r="FM50" s="61"/>
      <c r="FN50" s="61"/>
      <c r="FO50" s="61"/>
      <c r="FP50" s="61"/>
      <c r="FQ50" s="61"/>
      <c r="FR50" s="61"/>
      <c r="FS50" s="61"/>
      <c r="FT50" s="61"/>
      <c r="FU50" s="61"/>
      <c r="FV50" s="61"/>
      <c r="FW50" s="61"/>
      <c r="FX50" s="61"/>
      <c r="FY50" s="61"/>
      <c r="FZ50" s="61"/>
      <c r="GA50" s="61"/>
      <c r="GB50" s="61"/>
      <c r="GC50" s="61"/>
      <c r="GD50" s="61"/>
      <c r="GE50" s="61"/>
      <c r="GF50" s="61"/>
      <c r="GG50" s="61"/>
      <c r="GH50" s="61"/>
      <c r="GI50" s="61"/>
      <c r="GJ50" s="61"/>
    </row>
    <row r="51" customFormat="1" ht="16.8" spans="1:192">
      <c r="A51" s="5"/>
      <c r="B51" s="5"/>
      <c r="C51" s="5"/>
      <c r="D51" s="61"/>
      <c r="E51" s="61"/>
      <c r="F51" s="62"/>
      <c r="G51" s="5"/>
      <c r="H51" s="5"/>
      <c r="I51" s="5"/>
      <c r="J51" s="5"/>
      <c r="K51" s="61"/>
      <c r="L51" s="67"/>
      <c r="M51" s="61"/>
      <c r="N51" s="61"/>
      <c r="O51" s="61"/>
      <c r="P51" s="61"/>
      <c r="Q51" s="61"/>
      <c r="R51" s="61"/>
      <c r="S51" s="61"/>
      <c r="T51" s="61"/>
      <c r="U51" s="61"/>
      <c r="V51" s="6"/>
      <c r="W51" s="7"/>
      <c r="X51" s="5"/>
      <c r="Y51" s="5"/>
      <c r="Z51" s="5"/>
      <c r="AA51" s="5"/>
      <c r="AB51" s="69"/>
      <c r="AC51" s="61"/>
      <c r="AD51" s="5"/>
      <c r="AE51" s="5"/>
      <c r="AF51" s="75"/>
      <c r="AG51" s="75"/>
      <c r="AH51" s="70"/>
      <c r="AI51" s="75"/>
      <c r="AJ51" s="75"/>
      <c r="AK51" s="75"/>
      <c r="AL51" s="61"/>
      <c r="AM51" s="61"/>
      <c r="AN51" s="61"/>
      <c r="AO51" s="61"/>
      <c r="AP51" s="61"/>
      <c r="AQ51" s="61"/>
      <c r="AR51" s="61"/>
      <c r="AS51" s="61"/>
      <c r="AT51" s="61"/>
      <c r="AU51" s="5"/>
      <c r="AV51" s="71"/>
      <c r="AW51" s="5"/>
      <c r="AX51" s="5"/>
      <c r="AY51" s="5"/>
      <c r="AZ51" s="69"/>
      <c r="BA51" s="69"/>
      <c r="BB51" s="69"/>
      <c r="BC51" s="5"/>
      <c r="BD51" s="61"/>
      <c r="BE51" s="61"/>
      <c r="BF51" s="63"/>
      <c r="BG51" s="67"/>
      <c r="BH51" s="67"/>
      <c r="BI51" s="67"/>
      <c r="BJ51" s="67"/>
      <c r="BK51" s="67"/>
      <c r="BL51" s="5"/>
      <c r="BM51" s="5"/>
      <c r="BN51" s="5"/>
      <c r="BO51" s="5"/>
      <c r="BP51" s="5"/>
      <c r="BQ51" s="5"/>
      <c r="BR51" s="5"/>
      <c r="BS51" s="5"/>
      <c r="BT51" s="61"/>
      <c r="BU51" s="61"/>
      <c r="BV51" s="61"/>
      <c r="BW51" s="61"/>
      <c r="BX51" s="61"/>
      <c r="BY51" s="61"/>
      <c r="BZ51" s="61"/>
      <c r="CA51" s="61"/>
      <c r="CB51" s="61"/>
      <c r="CC51" s="61"/>
      <c r="CD51" s="61"/>
      <c r="CE51" s="5"/>
      <c r="CF51" s="61"/>
      <c r="CG51" s="5"/>
      <c r="CH51" s="61"/>
      <c r="CI51" s="61"/>
      <c r="CJ51" s="61"/>
      <c r="CK51" s="61"/>
      <c r="CL51" s="61"/>
      <c r="CM51" s="69"/>
      <c r="CN51" s="5"/>
      <c r="CO51" s="61"/>
      <c r="CP51" s="61"/>
      <c r="CQ51" s="73"/>
      <c r="CR51" s="73"/>
      <c r="CS51" s="73"/>
      <c r="CT51" s="5"/>
      <c r="CU51" s="73"/>
      <c r="CV51" s="5"/>
      <c r="CW51" s="5"/>
      <c r="CX51" s="5"/>
      <c r="CY51" s="5"/>
      <c r="CZ51" s="5"/>
      <c r="DA51" s="5"/>
      <c r="DB51" s="5"/>
      <c r="DC51" s="61"/>
      <c r="DD51" s="61"/>
      <c r="DE51" s="61"/>
      <c r="DF51" s="61"/>
      <c r="DG51" s="61"/>
      <c r="DH51" s="61"/>
      <c r="DI51" s="61"/>
      <c r="DJ51" s="61"/>
      <c r="DK51" s="61"/>
      <c r="DL51" s="61"/>
      <c r="DM51" s="61"/>
      <c r="DN51" s="61"/>
      <c r="DO51" s="61"/>
      <c r="DP51" s="61"/>
      <c r="DQ51" s="61"/>
      <c r="DR51" s="61"/>
      <c r="DS51" s="61"/>
      <c r="DT51" s="61"/>
      <c r="DU51" s="61"/>
      <c r="DV51" s="61"/>
      <c r="DW51" s="61"/>
      <c r="DX51" s="61"/>
      <c r="DY51" s="61"/>
      <c r="DZ51" s="61"/>
      <c r="EA51" s="61"/>
      <c r="EB51" s="61"/>
      <c r="EC51" s="61"/>
      <c r="ED51" s="74"/>
      <c r="EE51" s="6"/>
      <c r="EF51" s="5"/>
      <c r="EG51" s="5"/>
      <c r="EH51" s="5"/>
      <c r="EI51" s="61"/>
      <c r="EJ51" s="61"/>
      <c r="EK51" s="61"/>
      <c r="EL51" s="61"/>
      <c r="EM51" s="61"/>
      <c r="EN51" s="61"/>
      <c r="EO51" s="61"/>
      <c r="EP51" s="6"/>
      <c r="EQ51" s="9"/>
      <c r="ER51" s="9"/>
      <c r="ES51" s="61"/>
      <c r="ET51" s="61"/>
      <c r="EU51" s="61"/>
      <c r="EV51" s="61"/>
      <c r="EW51" s="61"/>
      <c r="EX51" s="61"/>
      <c r="EY51" s="61"/>
      <c r="EZ51" s="61"/>
      <c r="FA51" s="61"/>
      <c r="FB51" s="61"/>
      <c r="FC51" s="61"/>
      <c r="FD51" s="61"/>
      <c r="FE51" s="61"/>
      <c r="FF51" s="61"/>
      <c r="FG51" s="61"/>
      <c r="FH51" s="61"/>
      <c r="FI51" s="61"/>
      <c r="FJ51" s="61"/>
      <c r="FK51" s="61"/>
      <c r="FL51" s="5"/>
      <c r="FM51" s="61"/>
      <c r="FN51" s="61"/>
      <c r="FO51" s="61"/>
      <c r="FP51" s="61"/>
      <c r="FQ51" s="61"/>
      <c r="FR51" s="61"/>
      <c r="FS51" s="61"/>
      <c r="FT51" s="61"/>
      <c r="FU51" s="61"/>
      <c r="FV51" s="61"/>
      <c r="FW51" s="61"/>
      <c r="FX51" s="61"/>
      <c r="FY51" s="61"/>
      <c r="FZ51" s="61"/>
      <c r="GA51" s="61"/>
      <c r="GB51" s="61"/>
      <c r="GC51" s="61"/>
      <c r="GD51" s="61"/>
      <c r="GE51" s="61"/>
      <c r="GF51" s="61"/>
      <c r="GG51" s="61"/>
      <c r="GH51" s="61"/>
      <c r="GI51" s="61"/>
      <c r="GJ51" s="61"/>
    </row>
    <row r="52" customFormat="1" ht="16.8" spans="1:192">
      <c r="A52" s="5"/>
      <c r="B52" s="5"/>
      <c r="C52" s="5"/>
      <c r="D52" s="61"/>
      <c r="E52" s="61"/>
      <c r="F52" s="62"/>
      <c r="G52" s="5"/>
      <c r="H52" s="5"/>
      <c r="I52" s="5"/>
      <c r="J52" s="5"/>
      <c r="K52" s="61"/>
      <c r="L52" s="67"/>
      <c r="M52" s="61"/>
      <c r="N52" s="61"/>
      <c r="O52" s="61"/>
      <c r="P52" s="61"/>
      <c r="Q52" s="61"/>
      <c r="R52" s="61"/>
      <c r="S52" s="61"/>
      <c r="T52" s="61"/>
      <c r="U52" s="61"/>
      <c r="V52" s="6"/>
      <c r="W52" s="7"/>
      <c r="X52" s="5"/>
      <c r="Y52" s="5"/>
      <c r="Z52" s="5"/>
      <c r="AA52" s="5"/>
      <c r="AB52" s="69"/>
      <c r="AC52" s="61"/>
      <c r="AD52" s="5"/>
      <c r="AE52" s="5"/>
      <c r="AF52" s="75"/>
      <c r="AG52" s="75"/>
      <c r="AH52" s="70"/>
      <c r="AI52" s="75"/>
      <c r="AJ52" s="75"/>
      <c r="AK52" s="75"/>
      <c r="AL52" s="61"/>
      <c r="AM52" s="61"/>
      <c r="AN52" s="61"/>
      <c r="AO52" s="61"/>
      <c r="AP52" s="61"/>
      <c r="AQ52" s="61"/>
      <c r="AR52" s="61"/>
      <c r="AS52" s="61"/>
      <c r="AT52" s="61"/>
      <c r="AU52" s="5"/>
      <c r="AV52" s="71"/>
      <c r="AW52" s="5"/>
      <c r="AX52" s="5"/>
      <c r="AY52" s="5"/>
      <c r="AZ52" s="69"/>
      <c r="BA52" s="69"/>
      <c r="BB52" s="69"/>
      <c r="BC52" s="5"/>
      <c r="BD52" s="61"/>
      <c r="BE52" s="61"/>
      <c r="BF52" s="63"/>
      <c r="BG52" s="67"/>
      <c r="BH52" s="67"/>
      <c r="BI52" s="67"/>
      <c r="BJ52" s="67"/>
      <c r="BK52" s="67"/>
      <c r="BL52" s="5"/>
      <c r="BM52" s="5"/>
      <c r="BN52" s="5"/>
      <c r="BO52" s="5"/>
      <c r="BP52" s="5"/>
      <c r="BQ52" s="5"/>
      <c r="BR52" s="5"/>
      <c r="BS52" s="5"/>
      <c r="BT52" s="61"/>
      <c r="BU52" s="61"/>
      <c r="BV52" s="61"/>
      <c r="BW52" s="61"/>
      <c r="BX52" s="61"/>
      <c r="BY52" s="61"/>
      <c r="BZ52" s="61"/>
      <c r="CA52" s="61"/>
      <c r="CB52" s="61"/>
      <c r="CC52" s="61"/>
      <c r="CD52" s="61"/>
      <c r="CE52" s="5"/>
      <c r="CF52" s="61"/>
      <c r="CG52" s="5"/>
      <c r="CH52" s="61"/>
      <c r="CI52" s="61"/>
      <c r="CJ52" s="61"/>
      <c r="CK52" s="61"/>
      <c r="CL52" s="61"/>
      <c r="CM52" s="69"/>
      <c r="CN52" s="5"/>
      <c r="CO52" s="61"/>
      <c r="CP52" s="61"/>
      <c r="CQ52" s="73"/>
      <c r="CR52" s="73"/>
      <c r="CS52" s="73"/>
      <c r="CT52" s="5"/>
      <c r="CU52" s="73"/>
      <c r="CV52" s="5"/>
      <c r="CW52" s="5"/>
      <c r="CX52" s="5"/>
      <c r="CY52" s="5"/>
      <c r="CZ52" s="5"/>
      <c r="DA52" s="5"/>
      <c r="DB52" s="5"/>
      <c r="DC52" s="61"/>
      <c r="DD52" s="61"/>
      <c r="DE52" s="61"/>
      <c r="DF52" s="61"/>
      <c r="DG52" s="61"/>
      <c r="DH52" s="61"/>
      <c r="DI52" s="61"/>
      <c r="DJ52" s="61"/>
      <c r="DK52" s="61"/>
      <c r="DL52" s="61"/>
      <c r="DM52" s="61"/>
      <c r="DN52" s="61"/>
      <c r="DO52" s="61"/>
      <c r="DP52" s="61"/>
      <c r="DQ52" s="61"/>
      <c r="DR52" s="61"/>
      <c r="DS52" s="61"/>
      <c r="DT52" s="61"/>
      <c r="DU52" s="61"/>
      <c r="DV52" s="61"/>
      <c r="DW52" s="61"/>
      <c r="DX52" s="61"/>
      <c r="DY52" s="61"/>
      <c r="DZ52" s="61"/>
      <c r="EA52" s="61"/>
      <c r="EB52" s="61"/>
      <c r="EC52" s="61"/>
      <c r="ED52" s="74"/>
      <c r="EE52" s="6"/>
      <c r="EF52" s="5"/>
      <c r="EG52" s="5"/>
      <c r="EH52" s="5"/>
      <c r="EI52" s="61"/>
      <c r="EJ52" s="61"/>
      <c r="EK52" s="61"/>
      <c r="EL52" s="61"/>
      <c r="EM52" s="61"/>
      <c r="EN52" s="61"/>
      <c r="EO52" s="61"/>
      <c r="EP52" s="6"/>
      <c r="EQ52" s="9"/>
      <c r="ER52" s="9"/>
      <c r="ES52" s="61"/>
      <c r="ET52" s="61"/>
      <c r="EU52" s="61"/>
      <c r="EV52" s="61"/>
      <c r="EW52" s="61"/>
      <c r="EX52" s="61"/>
      <c r="EY52" s="61"/>
      <c r="EZ52" s="61"/>
      <c r="FA52" s="61"/>
      <c r="FB52" s="61"/>
      <c r="FC52" s="61"/>
      <c r="FD52" s="61"/>
      <c r="FE52" s="61"/>
      <c r="FF52" s="61"/>
      <c r="FG52" s="61"/>
      <c r="FH52" s="61"/>
      <c r="FI52" s="61"/>
      <c r="FJ52" s="61"/>
      <c r="FK52" s="61"/>
      <c r="FL52" s="5"/>
      <c r="FM52" s="61"/>
      <c r="FN52" s="61"/>
      <c r="FO52" s="61"/>
      <c r="FP52" s="61"/>
      <c r="FQ52" s="61"/>
      <c r="FR52" s="61"/>
      <c r="FS52" s="61"/>
      <c r="FT52" s="61"/>
      <c r="FU52" s="61"/>
      <c r="FV52" s="61"/>
      <c r="FW52" s="61"/>
      <c r="FX52" s="61"/>
      <c r="FY52" s="61"/>
      <c r="FZ52" s="61"/>
      <c r="GA52" s="61"/>
      <c r="GB52" s="61"/>
      <c r="GC52" s="61"/>
      <c r="GD52" s="61"/>
      <c r="GE52" s="61"/>
      <c r="GF52" s="61"/>
      <c r="GG52" s="61"/>
      <c r="GH52" s="61"/>
      <c r="GI52" s="61"/>
      <c r="GJ52" s="61"/>
    </row>
    <row r="53" customFormat="1" ht="16.8" spans="1:192">
      <c r="A53" s="5"/>
      <c r="B53" s="5"/>
      <c r="C53" s="5"/>
      <c r="D53" s="61"/>
      <c r="E53" s="61"/>
      <c r="F53" s="62"/>
      <c r="G53" s="5"/>
      <c r="H53" s="5"/>
      <c r="I53" s="5"/>
      <c r="J53" s="5"/>
      <c r="K53" s="61"/>
      <c r="L53" s="67"/>
      <c r="M53" s="61"/>
      <c r="N53" s="61"/>
      <c r="O53" s="61"/>
      <c r="P53" s="61"/>
      <c r="Q53" s="61"/>
      <c r="R53" s="61"/>
      <c r="S53" s="61"/>
      <c r="T53" s="61"/>
      <c r="U53" s="61"/>
      <c r="V53" s="6"/>
      <c r="W53" s="7"/>
      <c r="X53" s="5"/>
      <c r="Y53" s="5"/>
      <c r="Z53" s="5"/>
      <c r="AA53" s="5"/>
      <c r="AB53" s="69"/>
      <c r="AC53" s="61"/>
      <c r="AD53" s="5"/>
      <c r="AE53" s="5"/>
      <c r="AF53" s="75"/>
      <c r="AG53" s="75"/>
      <c r="AH53" s="70"/>
      <c r="AI53" s="75"/>
      <c r="AJ53" s="75"/>
      <c r="AK53" s="75"/>
      <c r="AL53" s="61"/>
      <c r="AM53" s="61"/>
      <c r="AN53" s="61"/>
      <c r="AO53" s="61"/>
      <c r="AP53" s="61"/>
      <c r="AQ53" s="61"/>
      <c r="AR53" s="61"/>
      <c r="AS53" s="61"/>
      <c r="AT53" s="61"/>
      <c r="AU53" s="5"/>
      <c r="AV53" s="71"/>
      <c r="AW53" s="5"/>
      <c r="AX53" s="5"/>
      <c r="AY53" s="5"/>
      <c r="AZ53" s="69"/>
      <c r="BA53" s="69"/>
      <c r="BB53" s="69"/>
      <c r="BC53" s="5"/>
      <c r="BD53" s="61"/>
      <c r="BE53" s="61"/>
      <c r="BF53" s="63"/>
      <c r="BG53" s="67"/>
      <c r="BH53" s="67"/>
      <c r="BI53" s="67"/>
      <c r="BJ53" s="67"/>
      <c r="BK53" s="67"/>
      <c r="BL53" s="5"/>
      <c r="BM53" s="5"/>
      <c r="BN53" s="5"/>
      <c r="BO53" s="5"/>
      <c r="BP53" s="5"/>
      <c r="BQ53" s="5"/>
      <c r="BR53" s="5"/>
      <c r="BS53" s="5"/>
      <c r="BT53" s="61"/>
      <c r="BU53" s="61"/>
      <c r="BV53" s="61"/>
      <c r="BW53" s="61"/>
      <c r="BX53" s="61"/>
      <c r="BY53" s="61"/>
      <c r="BZ53" s="61"/>
      <c r="CA53" s="61"/>
      <c r="CB53" s="61"/>
      <c r="CC53" s="61"/>
      <c r="CD53" s="61"/>
      <c r="CE53" s="5"/>
      <c r="CF53" s="61"/>
      <c r="CG53" s="5"/>
      <c r="CH53" s="61"/>
      <c r="CI53" s="61"/>
      <c r="CJ53" s="61"/>
      <c r="CK53" s="61"/>
      <c r="CL53" s="61"/>
      <c r="CM53" s="69"/>
      <c r="CN53" s="5"/>
      <c r="CO53" s="61"/>
      <c r="CP53" s="61"/>
      <c r="CQ53" s="73"/>
      <c r="CR53" s="73"/>
      <c r="CS53" s="73"/>
      <c r="CT53" s="5"/>
      <c r="CU53" s="73"/>
      <c r="CV53" s="5"/>
      <c r="CW53" s="5"/>
      <c r="CX53" s="5"/>
      <c r="CY53" s="5"/>
      <c r="CZ53" s="5"/>
      <c r="DA53" s="5"/>
      <c r="DB53" s="5"/>
      <c r="DC53" s="61"/>
      <c r="DD53" s="61"/>
      <c r="DE53" s="61"/>
      <c r="DF53" s="61"/>
      <c r="DG53" s="61"/>
      <c r="DH53" s="61"/>
      <c r="DI53" s="61"/>
      <c r="DJ53" s="61"/>
      <c r="DK53" s="61"/>
      <c r="DL53" s="61"/>
      <c r="DM53" s="61"/>
      <c r="DN53" s="61"/>
      <c r="DO53" s="61"/>
      <c r="DP53" s="61"/>
      <c r="DQ53" s="61"/>
      <c r="DR53" s="61"/>
      <c r="DS53" s="61"/>
      <c r="DT53" s="61"/>
      <c r="DU53" s="61"/>
      <c r="DV53" s="61"/>
      <c r="DW53" s="61"/>
      <c r="DX53" s="61"/>
      <c r="DY53" s="61"/>
      <c r="DZ53" s="61"/>
      <c r="EA53" s="61"/>
      <c r="EB53" s="61"/>
      <c r="EC53" s="61"/>
      <c r="ED53" s="74"/>
      <c r="EE53" s="6"/>
      <c r="EF53" s="5"/>
      <c r="EG53" s="5"/>
      <c r="EH53" s="5"/>
      <c r="EI53" s="61"/>
      <c r="EJ53" s="61"/>
      <c r="EK53" s="61"/>
      <c r="EL53" s="61"/>
      <c r="EM53" s="61"/>
      <c r="EN53" s="61"/>
      <c r="EO53" s="61"/>
      <c r="EP53" s="6"/>
      <c r="EQ53" s="9"/>
      <c r="ER53" s="9"/>
      <c r="ES53" s="61"/>
      <c r="ET53" s="61"/>
      <c r="EU53" s="61"/>
      <c r="EV53" s="61"/>
      <c r="EW53" s="61"/>
      <c r="EX53" s="61"/>
      <c r="EY53" s="61"/>
      <c r="EZ53" s="61"/>
      <c r="FA53" s="61"/>
      <c r="FB53" s="61"/>
      <c r="FC53" s="61"/>
      <c r="FD53" s="61"/>
      <c r="FE53" s="61"/>
      <c r="FF53" s="61"/>
      <c r="FG53" s="61"/>
      <c r="FH53" s="61"/>
      <c r="FI53" s="61"/>
      <c r="FJ53" s="61"/>
      <c r="FK53" s="61"/>
      <c r="FL53" s="5"/>
      <c r="FM53" s="61"/>
      <c r="FN53" s="61"/>
      <c r="FO53" s="61"/>
      <c r="FP53" s="61"/>
      <c r="FQ53" s="61"/>
      <c r="FR53" s="61"/>
      <c r="FS53" s="61"/>
      <c r="FT53" s="61"/>
      <c r="FU53" s="61"/>
      <c r="FV53" s="61"/>
      <c r="FW53" s="61"/>
      <c r="FX53" s="61"/>
      <c r="FY53" s="61"/>
      <c r="FZ53" s="61"/>
      <c r="GA53" s="61"/>
      <c r="GB53" s="61"/>
      <c r="GC53" s="61"/>
      <c r="GD53" s="61"/>
      <c r="GE53" s="61"/>
      <c r="GF53" s="61"/>
      <c r="GG53" s="61"/>
      <c r="GH53" s="61"/>
      <c r="GI53" s="61"/>
      <c r="GJ53" s="61"/>
    </row>
    <row r="54" customFormat="1" ht="16.8" spans="1:192">
      <c r="A54" s="5"/>
      <c r="B54" s="5"/>
      <c r="C54" s="5"/>
      <c r="D54" s="61"/>
      <c r="E54" s="61"/>
      <c r="F54" s="62"/>
      <c r="G54" s="5"/>
      <c r="H54" s="5"/>
      <c r="I54" s="5"/>
      <c r="J54" s="5"/>
      <c r="K54" s="61"/>
      <c r="L54" s="67"/>
      <c r="M54" s="61"/>
      <c r="N54" s="61"/>
      <c r="O54" s="61"/>
      <c r="P54" s="61"/>
      <c r="Q54" s="61"/>
      <c r="R54" s="61"/>
      <c r="S54" s="61"/>
      <c r="T54" s="61"/>
      <c r="U54" s="61"/>
      <c r="V54" s="6"/>
      <c r="W54" s="7"/>
      <c r="X54" s="5"/>
      <c r="Y54" s="5"/>
      <c r="Z54" s="5"/>
      <c r="AA54" s="5"/>
      <c r="AB54" s="69"/>
      <c r="AC54" s="61"/>
      <c r="AD54" s="5"/>
      <c r="AE54" s="5"/>
      <c r="AF54" s="75"/>
      <c r="AG54" s="75"/>
      <c r="AH54" s="70"/>
      <c r="AI54" s="75"/>
      <c r="AJ54" s="75"/>
      <c r="AK54" s="75"/>
      <c r="AL54" s="61"/>
      <c r="AM54" s="61"/>
      <c r="AN54" s="61"/>
      <c r="AO54" s="61"/>
      <c r="AP54" s="61"/>
      <c r="AQ54" s="61"/>
      <c r="AR54" s="61"/>
      <c r="AS54" s="61"/>
      <c r="AT54" s="61"/>
      <c r="AU54" s="5"/>
      <c r="AV54" s="71"/>
      <c r="AW54" s="5"/>
      <c r="AX54" s="5"/>
      <c r="AY54" s="5"/>
      <c r="AZ54" s="69"/>
      <c r="BA54" s="69"/>
      <c r="BB54" s="69"/>
      <c r="BC54" s="5"/>
      <c r="BD54" s="61"/>
      <c r="BE54" s="61"/>
      <c r="BF54" s="63"/>
      <c r="BG54" s="67"/>
      <c r="BH54" s="67"/>
      <c r="BI54" s="67"/>
      <c r="BJ54" s="67"/>
      <c r="BK54" s="67"/>
      <c r="BL54" s="5"/>
      <c r="BM54" s="5"/>
      <c r="BN54" s="5"/>
      <c r="BO54" s="5"/>
      <c r="BP54" s="5"/>
      <c r="BQ54" s="5"/>
      <c r="BR54" s="5"/>
      <c r="BS54" s="5"/>
      <c r="BT54" s="61"/>
      <c r="BU54" s="61"/>
      <c r="BV54" s="61"/>
      <c r="BW54" s="61"/>
      <c r="BX54" s="61"/>
      <c r="BY54" s="61"/>
      <c r="BZ54" s="61"/>
      <c r="CA54" s="61"/>
      <c r="CB54" s="61"/>
      <c r="CC54" s="61"/>
      <c r="CD54" s="61"/>
      <c r="CE54" s="5"/>
      <c r="CF54" s="61"/>
      <c r="CG54" s="5"/>
      <c r="CH54" s="61"/>
      <c r="CI54" s="61"/>
      <c r="CJ54" s="61"/>
      <c r="CK54" s="61"/>
      <c r="CL54" s="61"/>
      <c r="CM54" s="69"/>
      <c r="CN54" s="5"/>
      <c r="CO54" s="61"/>
      <c r="CP54" s="61"/>
      <c r="CQ54" s="73"/>
      <c r="CR54" s="73"/>
      <c r="CS54" s="73"/>
      <c r="CT54" s="5"/>
      <c r="CU54" s="73"/>
      <c r="CV54" s="5"/>
      <c r="CW54" s="5"/>
      <c r="CX54" s="5"/>
      <c r="CY54" s="5"/>
      <c r="CZ54" s="5"/>
      <c r="DA54" s="5"/>
      <c r="DB54" s="5"/>
      <c r="DC54" s="61"/>
      <c r="DD54" s="61"/>
      <c r="DE54" s="61"/>
      <c r="DF54" s="61"/>
      <c r="DG54" s="61"/>
      <c r="DH54" s="61"/>
      <c r="DI54" s="61"/>
      <c r="DJ54" s="61"/>
      <c r="DK54" s="61"/>
      <c r="DL54" s="61"/>
      <c r="DM54" s="61"/>
      <c r="DN54" s="61"/>
      <c r="DO54" s="61"/>
      <c r="DP54" s="61"/>
      <c r="DQ54" s="61"/>
      <c r="DR54" s="61"/>
      <c r="DS54" s="61"/>
      <c r="DT54" s="61"/>
      <c r="DU54" s="61"/>
      <c r="DV54" s="61"/>
      <c r="DW54" s="61"/>
      <c r="DX54" s="61"/>
      <c r="DY54" s="61"/>
      <c r="DZ54" s="61"/>
      <c r="EA54" s="61"/>
      <c r="EB54" s="61"/>
      <c r="EC54" s="61"/>
      <c r="ED54" s="74"/>
      <c r="EE54" s="6"/>
      <c r="EF54" s="5"/>
      <c r="EG54" s="5"/>
      <c r="EH54" s="5"/>
      <c r="EI54" s="61"/>
      <c r="EJ54" s="61"/>
      <c r="EK54" s="61"/>
      <c r="EL54" s="61"/>
      <c r="EM54" s="61"/>
      <c r="EN54" s="61"/>
      <c r="EO54" s="61"/>
      <c r="EP54" s="6"/>
      <c r="EQ54" s="9"/>
      <c r="ER54" s="9"/>
      <c r="ES54" s="61"/>
      <c r="ET54" s="61"/>
      <c r="EU54" s="61"/>
      <c r="EV54" s="61"/>
      <c r="EW54" s="61"/>
      <c r="EX54" s="61"/>
      <c r="EY54" s="61"/>
      <c r="EZ54" s="61"/>
      <c r="FA54" s="61"/>
      <c r="FB54" s="61"/>
      <c r="FC54" s="61"/>
      <c r="FD54" s="61"/>
      <c r="FE54" s="61"/>
      <c r="FF54" s="61"/>
      <c r="FG54" s="61"/>
      <c r="FH54" s="61"/>
      <c r="FI54" s="61"/>
      <c r="FJ54" s="61"/>
      <c r="FK54" s="61"/>
      <c r="FL54" s="5"/>
      <c r="FM54" s="61"/>
      <c r="FN54" s="61"/>
      <c r="FO54" s="61"/>
      <c r="FP54" s="61"/>
      <c r="FQ54" s="61"/>
      <c r="FR54" s="61"/>
      <c r="FS54" s="61"/>
      <c r="FT54" s="61"/>
      <c r="FU54" s="61"/>
      <c r="FV54" s="61"/>
      <c r="FW54" s="61"/>
      <c r="FX54" s="61"/>
      <c r="FY54" s="61"/>
      <c r="FZ54" s="61"/>
      <c r="GA54" s="61"/>
      <c r="GB54" s="61"/>
      <c r="GC54" s="61"/>
      <c r="GD54" s="61"/>
      <c r="GE54" s="61"/>
      <c r="GF54" s="61"/>
      <c r="GG54" s="61"/>
      <c r="GH54" s="61"/>
      <c r="GI54" s="61"/>
      <c r="GJ54" s="61"/>
    </row>
    <row r="55" customFormat="1" ht="16.8" spans="1:192">
      <c r="A55" s="5"/>
      <c r="B55" s="5"/>
      <c r="C55" s="5"/>
      <c r="D55" s="61"/>
      <c r="E55" s="61"/>
      <c r="F55" s="62"/>
      <c r="G55" s="5"/>
      <c r="H55" s="5"/>
      <c r="I55" s="5"/>
      <c r="J55" s="5"/>
      <c r="K55" s="61"/>
      <c r="L55" s="67"/>
      <c r="M55" s="61"/>
      <c r="N55" s="61"/>
      <c r="O55" s="61"/>
      <c r="P55" s="61"/>
      <c r="Q55" s="61"/>
      <c r="R55" s="61"/>
      <c r="S55" s="61"/>
      <c r="T55" s="61"/>
      <c r="U55" s="61"/>
      <c r="V55" s="6"/>
      <c r="W55" s="7"/>
      <c r="X55" s="5"/>
      <c r="Y55" s="5"/>
      <c r="Z55" s="5"/>
      <c r="AA55" s="5"/>
      <c r="AB55" s="69"/>
      <c r="AC55" s="61"/>
      <c r="AD55" s="5"/>
      <c r="AE55" s="5"/>
      <c r="AF55" s="75"/>
      <c r="AG55" s="75"/>
      <c r="AH55" s="70"/>
      <c r="AI55" s="75"/>
      <c r="AJ55" s="75"/>
      <c r="AK55" s="75"/>
      <c r="AL55" s="61"/>
      <c r="AM55" s="61"/>
      <c r="AN55" s="61"/>
      <c r="AO55" s="61"/>
      <c r="AP55" s="61"/>
      <c r="AQ55" s="61"/>
      <c r="AR55" s="61"/>
      <c r="AS55" s="61"/>
      <c r="AT55" s="61"/>
      <c r="AU55" s="5"/>
      <c r="AV55" s="71"/>
      <c r="AW55" s="5"/>
      <c r="AX55" s="5"/>
      <c r="AY55" s="5"/>
      <c r="AZ55" s="69"/>
      <c r="BA55" s="69"/>
      <c r="BB55" s="69"/>
      <c r="BC55" s="5"/>
      <c r="BD55" s="61"/>
      <c r="BE55" s="61"/>
      <c r="BF55" s="63"/>
      <c r="BG55" s="67"/>
      <c r="BH55" s="67"/>
      <c r="BI55" s="67"/>
      <c r="BJ55" s="67"/>
      <c r="BK55" s="67"/>
      <c r="BL55" s="5"/>
      <c r="BM55" s="5"/>
      <c r="BN55" s="5"/>
      <c r="BO55" s="5"/>
      <c r="BP55" s="5"/>
      <c r="BQ55" s="5"/>
      <c r="BR55" s="5"/>
      <c r="BS55" s="5"/>
      <c r="BT55" s="61"/>
      <c r="BU55" s="61"/>
      <c r="BV55" s="61"/>
      <c r="BW55" s="61"/>
      <c r="BX55" s="61"/>
      <c r="BY55" s="61"/>
      <c r="BZ55" s="61"/>
      <c r="CA55" s="61"/>
      <c r="CB55" s="61"/>
      <c r="CC55" s="61"/>
      <c r="CD55" s="61"/>
      <c r="CE55" s="5"/>
      <c r="CF55" s="61"/>
      <c r="CG55" s="5"/>
      <c r="CH55" s="61"/>
      <c r="CI55" s="61"/>
      <c r="CJ55" s="61"/>
      <c r="CK55" s="61"/>
      <c r="CL55" s="61"/>
      <c r="CM55" s="69"/>
      <c r="CN55" s="5"/>
      <c r="CO55" s="61"/>
      <c r="CP55" s="61"/>
      <c r="CQ55" s="73"/>
      <c r="CR55" s="73"/>
      <c r="CS55" s="73"/>
      <c r="CT55" s="5"/>
      <c r="CU55" s="73"/>
      <c r="CV55" s="5"/>
      <c r="CW55" s="5"/>
      <c r="CX55" s="5"/>
      <c r="CY55" s="5"/>
      <c r="CZ55" s="5"/>
      <c r="DA55" s="5"/>
      <c r="DB55" s="5"/>
      <c r="DC55" s="61"/>
      <c r="DD55" s="61"/>
      <c r="DE55" s="61"/>
      <c r="DF55" s="61"/>
      <c r="DG55" s="61"/>
      <c r="DH55" s="61"/>
      <c r="DI55" s="61"/>
      <c r="DJ55" s="61"/>
      <c r="DK55" s="61"/>
      <c r="DL55" s="61"/>
      <c r="DM55" s="61"/>
      <c r="DN55" s="61"/>
      <c r="DO55" s="61"/>
      <c r="DP55" s="61"/>
      <c r="DQ55" s="61"/>
      <c r="DR55" s="61"/>
      <c r="DS55" s="61"/>
      <c r="DT55" s="61"/>
      <c r="DU55" s="61"/>
      <c r="DV55" s="61"/>
      <c r="DW55" s="61"/>
      <c r="DX55" s="61"/>
      <c r="DY55" s="61"/>
      <c r="DZ55" s="61"/>
      <c r="EA55" s="61"/>
      <c r="EB55" s="61"/>
      <c r="EC55" s="61"/>
      <c r="ED55" s="74"/>
      <c r="EE55" s="6"/>
      <c r="EF55" s="5"/>
      <c r="EG55" s="5"/>
      <c r="EH55" s="5"/>
      <c r="EI55" s="61"/>
      <c r="EJ55" s="61"/>
      <c r="EK55" s="61"/>
      <c r="EL55" s="61"/>
      <c r="EM55" s="61"/>
      <c r="EN55" s="61"/>
      <c r="EO55" s="61"/>
      <c r="EP55" s="6"/>
      <c r="EQ55" s="9"/>
      <c r="ER55" s="9"/>
      <c r="ES55" s="61"/>
      <c r="ET55" s="61"/>
      <c r="EU55" s="61"/>
      <c r="EV55" s="61"/>
      <c r="EW55" s="61"/>
      <c r="EX55" s="61"/>
      <c r="EY55" s="61"/>
      <c r="EZ55" s="61"/>
      <c r="FA55" s="61"/>
      <c r="FB55" s="61"/>
      <c r="FC55" s="61"/>
      <c r="FD55" s="61"/>
      <c r="FE55" s="61"/>
      <c r="FF55" s="61"/>
      <c r="FG55" s="61"/>
      <c r="FH55" s="61"/>
      <c r="FI55" s="61"/>
      <c r="FJ55" s="61"/>
      <c r="FK55" s="61"/>
      <c r="FL55" s="5"/>
      <c r="FM55" s="61"/>
      <c r="FN55" s="61"/>
      <c r="FO55" s="61"/>
      <c r="FP55" s="61"/>
      <c r="FQ55" s="61"/>
      <c r="FR55" s="61"/>
      <c r="FS55" s="61"/>
      <c r="FT55" s="61"/>
      <c r="FU55" s="61"/>
      <c r="FV55" s="61"/>
      <c r="FW55" s="61"/>
      <c r="FX55" s="61"/>
      <c r="FY55" s="61"/>
      <c r="FZ55" s="61"/>
      <c r="GA55" s="61"/>
      <c r="GB55" s="61"/>
      <c r="GC55" s="61"/>
      <c r="GD55" s="61"/>
      <c r="GE55" s="61"/>
      <c r="GF55" s="61"/>
      <c r="GG55" s="61"/>
      <c r="GH55" s="61"/>
      <c r="GI55" s="61"/>
      <c r="GJ55" s="61"/>
    </row>
    <row r="56" customFormat="1" ht="16.8" spans="1:192">
      <c r="A56" s="5"/>
      <c r="B56" s="5"/>
      <c r="C56" s="5"/>
      <c r="D56" s="61"/>
      <c r="E56" s="61"/>
      <c r="F56" s="62"/>
      <c r="G56" s="5"/>
      <c r="H56" s="5"/>
      <c r="I56" s="5"/>
      <c r="J56" s="5"/>
      <c r="K56" s="61"/>
      <c r="L56" s="67"/>
      <c r="M56" s="61"/>
      <c r="N56" s="61"/>
      <c r="O56" s="61"/>
      <c r="P56" s="61"/>
      <c r="Q56" s="61"/>
      <c r="R56" s="61"/>
      <c r="S56" s="61"/>
      <c r="T56" s="61"/>
      <c r="U56" s="61"/>
      <c r="V56" s="6"/>
      <c r="W56" s="7"/>
      <c r="X56" s="5"/>
      <c r="Y56" s="5"/>
      <c r="Z56" s="5"/>
      <c r="AA56" s="5"/>
      <c r="AB56" s="69"/>
      <c r="AC56" s="61"/>
      <c r="AD56" s="5"/>
      <c r="AE56" s="5"/>
      <c r="AF56" s="75"/>
      <c r="AG56" s="75"/>
      <c r="AH56" s="70"/>
      <c r="AI56" s="75"/>
      <c r="AJ56" s="75"/>
      <c r="AK56" s="75"/>
      <c r="AL56" s="61"/>
      <c r="AM56" s="61"/>
      <c r="AN56" s="61"/>
      <c r="AO56" s="61"/>
      <c r="AP56" s="61"/>
      <c r="AQ56" s="61"/>
      <c r="AR56" s="61"/>
      <c r="AS56" s="61"/>
      <c r="AT56" s="61"/>
      <c r="AU56" s="5"/>
      <c r="AV56" s="71"/>
      <c r="AW56" s="5"/>
      <c r="AX56" s="5"/>
      <c r="AY56" s="5"/>
      <c r="AZ56" s="69"/>
      <c r="BA56" s="69"/>
      <c r="BB56" s="69"/>
      <c r="BC56" s="5"/>
      <c r="BD56" s="61"/>
      <c r="BE56" s="61"/>
      <c r="BF56" s="63"/>
      <c r="BG56" s="67"/>
      <c r="BH56" s="67"/>
      <c r="BI56" s="67"/>
      <c r="BJ56" s="67"/>
      <c r="BK56" s="67"/>
      <c r="BL56" s="5"/>
      <c r="BM56" s="5"/>
      <c r="BN56" s="5"/>
      <c r="BO56" s="5"/>
      <c r="BP56" s="5"/>
      <c r="BQ56" s="5"/>
      <c r="BR56" s="5"/>
      <c r="BS56" s="5"/>
      <c r="BT56" s="61"/>
      <c r="BU56" s="61"/>
      <c r="BV56" s="61"/>
      <c r="BW56" s="61"/>
      <c r="BX56" s="61"/>
      <c r="BY56" s="61"/>
      <c r="BZ56" s="61"/>
      <c r="CA56" s="61"/>
      <c r="CB56" s="61"/>
      <c r="CC56" s="61"/>
      <c r="CD56" s="61"/>
      <c r="CE56" s="5"/>
      <c r="CF56" s="61"/>
      <c r="CG56" s="5"/>
      <c r="CH56" s="61"/>
      <c r="CI56" s="61"/>
      <c r="CJ56" s="61"/>
      <c r="CK56" s="61"/>
      <c r="CL56" s="61"/>
      <c r="CM56" s="69"/>
      <c r="CN56" s="5"/>
      <c r="CO56" s="61"/>
      <c r="CP56" s="61"/>
      <c r="CQ56" s="73"/>
      <c r="CR56" s="73"/>
      <c r="CS56" s="73"/>
      <c r="CT56" s="5"/>
      <c r="CU56" s="73"/>
      <c r="CV56" s="5"/>
      <c r="CW56" s="5"/>
      <c r="CX56" s="5"/>
      <c r="CY56" s="5"/>
      <c r="CZ56" s="5"/>
      <c r="DA56" s="5"/>
      <c r="DB56" s="5"/>
      <c r="DC56" s="61"/>
      <c r="DD56" s="61"/>
      <c r="DE56" s="61"/>
      <c r="DF56" s="61"/>
      <c r="DG56" s="61"/>
      <c r="DH56" s="61"/>
      <c r="DI56" s="61"/>
      <c r="DJ56" s="61"/>
      <c r="DK56" s="61"/>
      <c r="DL56" s="61"/>
      <c r="DM56" s="61"/>
      <c r="DN56" s="61"/>
      <c r="DO56" s="61"/>
      <c r="DP56" s="61"/>
      <c r="DQ56" s="61"/>
      <c r="DR56" s="61"/>
      <c r="DS56" s="61"/>
      <c r="DT56" s="61"/>
      <c r="DU56" s="61"/>
      <c r="DV56" s="61"/>
      <c r="DW56" s="61"/>
      <c r="DX56" s="61"/>
      <c r="DY56" s="61"/>
      <c r="DZ56" s="61"/>
      <c r="EA56" s="61"/>
      <c r="EB56" s="61"/>
      <c r="EC56" s="61"/>
      <c r="ED56" s="74"/>
      <c r="EE56" s="6"/>
      <c r="EF56" s="5"/>
      <c r="EG56" s="5"/>
      <c r="EH56" s="5"/>
      <c r="EI56" s="61"/>
      <c r="EJ56" s="61"/>
      <c r="EK56" s="61"/>
      <c r="EL56" s="61"/>
      <c r="EM56" s="61"/>
      <c r="EN56" s="61"/>
      <c r="EO56" s="61"/>
      <c r="EP56" s="6"/>
      <c r="EQ56" s="9"/>
      <c r="ER56" s="9"/>
      <c r="ES56" s="61"/>
      <c r="ET56" s="61"/>
      <c r="EU56" s="61"/>
      <c r="EV56" s="61"/>
      <c r="EW56" s="61"/>
      <c r="EX56" s="61"/>
      <c r="EY56" s="61"/>
      <c r="EZ56" s="61"/>
      <c r="FA56" s="61"/>
      <c r="FB56" s="61"/>
      <c r="FC56" s="61"/>
      <c r="FD56" s="61"/>
      <c r="FE56" s="61"/>
      <c r="FF56" s="61"/>
      <c r="FG56" s="61"/>
      <c r="FH56" s="61"/>
      <c r="FI56" s="61"/>
      <c r="FJ56" s="61"/>
      <c r="FK56" s="61"/>
      <c r="FL56" s="5"/>
      <c r="FM56" s="61"/>
      <c r="FN56" s="61"/>
      <c r="FO56" s="61"/>
      <c r="FP56" s="61"/>
      <c r="FQ56" s="61"/>
      <c r="FR56" s="61"/>
      <c r="FS56" s="61"/>
      <c r="FT56" s="61"/>
      <c r="FU56" s="61"/>
      <c r="FV56" s="61"/>
      <c r="FW56" s="61"/>
      <c r="FX56" s="61"/>
      <c r="FY56" s="61"/>
      <c r="FZ56" s="61"/>
      <c r="GA56" s="61"/>
      <c r="GB56" s="61"/>
      <c r="GC56" s="61"/>
      <c r="GD56" s="61"/>
      <c r="GE56" s="61"/>
      <c r="GF56" s="61"/>
      <c r="GG56" s="61"/>
      <c r="GH56" s="61"/>
      <c r="GI56" s="61"/>
      <c r="GJ56" s="61"/>
    </row>
    <row r="57" customFormat="1" ht="16.8" spans="1:192">
      <c r="A57" s="5"/>
      <c r="B57" s="5"/>
      <c r="C57" s="5"/>
      <c r="D57" s="61"/>
      <c r="E57" s="61"/>
      <c r="F57" s="62"/>
      <c r="G57" s="5"/>
      <c r="H57" s="5"/>
      <c r="I57" s="5"/>
      <c r="J57" s="5"/>
      <c r="K57" s="61"/>
      <c r="L57" s="67"/>
      <c r="M57" s="61"/>
      <c r="N57" s="61"/>
      <c r="O57" s="61"/>
      <c r="P57" s="61"/>
      <c r="Q57" s="61"/>
      <c r="R57" s="61"/>
      <c r="S57" s="61"/>
      <c r="T57" s="61"/>
      <c r="U57" s="61"/>
      <c r="V57" s="6"/>
      <c r="W57" s="7"/>
      <c r="X57" s="5"/>
      <c r="Y57" s="5"/>
      <c r="Z57" s="5"/>
      <c r="AA57" s="5"/>
      <c r="AB57" s="69"/>
      <c r="AC57" s="61"/>
      <c r="AD57" s="5"/>
      <c r="AE57" s="5"/>
      <c r="AF57" s="75"/>
      <c r="AG57" s="75"/>
      <c r="AH57" s="70"/>
      <c r="AI57" s="75"/>
      <c r="AJ57" s="75"/>
      <c r="AK57" s="75"/>
      <c r="AL57" s="61"/>
      <c r="AM57" s="61"/>
      <c r="AN57" s="61"/>
      <c r="AO57" s="61"/>
      <c r="AP57" s="61"/>
      <c r="AQ57" s="61"/>
      <c r="AR57" s="61"/>
      <c r="AS57" s="61"/>
      <c r="AT57" s="61"/>
      <c r="AU57" s="5"/>
      <c r="AV57" s="71"/>
      <c r="AW57" s="5"/>
      <c r="AX57" s="5"/>
      <c r="AY57" s="5"/>
      <c r="AZ57" s="69"/>
      <c r="BA57" s="69"/>
      <c r="BB57" s="69"/>
      <c r="BC57" s="5"/>
      <c r="BD57" s="61"/>
      <c r="BE57" s="61"/>
      <c r="BF57" s="63"/>
      <c r="BG57" s="67"/>
      <c r="BH57" s="67"/>
      <c r="BI57" s="67"/>
      <c r="BJ57" s="67"/>
      <c r="BK57" s="67"/>
      <c r="BL57" s="5"/>
      <c r="BM57" s="5"/>
      <c r="BN57" s="5"/>
      <c r="BO57" s="5"/>
      <c r="BP57" s="5"/>
      <c r="BQ57" s="5"/>
      <c r="BR57" s="5"/>
      <c r="BS57" s="5"/>
      <c r="BT57" s="61"/>
      <c r="BU57" s="61"/>
      <c r="BV57" s="61"/>
      <c r="BW57" s="61"/>
      <c r="BX57" s="61"/>
      <c r="BY57" s="61"/>
      <c r="BZ57" s="61"/>
      <c r="CA57" s="61"/>
      <c r="CB57" s="61"/>
      <c r="CC57" s="61"/>
      <c r="CD57" s="61"/>
      <c r="CE57" s="5"/>
      <c r="CF57" s="61"/>
      <c r="CG57" s="5"/>
      <c r="CH57" s="61"/>
      <c r="CI57" s="61"/>
      <c r="CJ57" s="61"/>
      <c r="CK57" s="61"/>
      <c r="CL57" s="61"/>
      <c r="CM57" s="69"/>
      <c r="CN57" s="5"/>
      <c r="CO57" s="61"/>
      <c r="CP57" s="61"/>
      <c r="CQ57" s="73"/>
      <c r="CR57" s="73"/>
      <c r="CS57" s="73"/>
      <c r="CT57" s="5"/>
      <c r="CU57" s="73"/>
      <c r="CV57" s="5"/>
      <c r="CW57" s="5"/>
      <c r="CX57" s="5"/>
      <c r="CY57" s="5"/>
      <c r="CZ57" s="5"/>
      <c r="DA57" s="5"/>
      <c r="DB57" s="5"/>
      <c r="DC57" s="61"/>
      <c r="DD57" s="61"/>
      <c r="DE57" s="61"/>
      <c r="DF57" s="61"/>
      <c r="DG57" s="61"/>
      <c r="DH57" s="61"/>
      <c r="DI57" s="61"/>
      <c r="DJ57" s="61"/>
      <c r="DK57" s="61"/>
      <c r="DL57" s="61"/>
      <c r="DM57" s="61"/>
      <c r="DN57" s="61"/>
      <c r="DO57" s="61"/>
      <c r="DP57" s="61"/>
      <c r="DQ57" s="61"/>
      <c r="DR57" s="61"/>
      <c r="DS57" s="61"/>
      <c r="DT57" s="61"/>
      <c r="DU57" s="61"/>
      <c r="DV57" s="61"/>
      <c r="DW57" s="61"/>
      <c r="DX57" s="61"/>
      <c r="DY57" s="61"/>
      <c r="DZ57" s="61"/>
      <c r="EA57" s="61"/>
      <c r="EB57" s="61"/>
      <c r="EC57" s="61"/>
      <c r="ED57" s="74"/>
      <c r="EE57" s="6"/>
      <c r="EF57" s="5"/>
      <c r="EG57" s="5"/>
      <c r="EH57" s="5"/>
      <c r="EI57" s="61"/>
      <c r="EJ57" s="61"/>
      <c r="EK57" s="61"/>
      <c r="EL57" s="61"/>
      <c r="EM57" s="61"/>
      <c r="EN57" s="61"/>
      <c r="EO57" s="61"/>
      <c r="EP57" s="6"/>
      <c r="EQ57" s="9"/>
      <c r="ER57" s="9"/>
      <c r="ES57" s="61"/>
      <c r="ET57" s="61"/>
      <c r="EU57" s="61"/>
      <c r="EV57" s="61"/>
      <c r="EW57" s="61"/>
      <c r="EX57" s="61"/>
      <c r="EY57" s="61"/>
      <c r="EZ57" s="61"/>
      <c r="FA57" s="61"/>
      <c r="FB57" s="61"/>
      <c r="FC57" s="61"/>
      <c r="FD57" s="61"/>
      <c r="FE57" s="61"/>
      <c r="FF57" s="61"/>
      <c r="FG57" s="61"/>
      <c r="FH57" s="61"/>
      <c r="FI57" s="61"/>
      <c r="FJ57" s="61"/>
      <c r="FK57" s="61"/>
      <c r="FL57" s="5"/>
      <c r="FM57" s="61"/>
      <c r="FN57" s="61"/>
      <c r="FO57" s="61"/>
      <c r="FP57" s="61"/>
      <c r="FQ57" s="61"/>
      <c r="FR57" s="61"/>
      <c r="FS57" s="61"/>
      <c r="FT57" s="61"/>
      <c r="FU57" s="61"/>
      <c r="FV57" s="61"/>
      <c r="FW57" s="61"/>
      <c r="FX57" s="61"/>
      <c r="FY57" s="61"/>
      <c r="FZ57" s="61"/>
      <c r="GA57" s="61"/>
      <c r="GB57" s="61"/>
      <c r="GC57" s="61"/>
      <c r="GD57" s="61"/>
      <c r="GE57" s="61"/>
      <c r="GF57" s="61"/>
      <c r="GG57" s="61"/>
      <c r="GH57" s="61"/>
      <c r="GI57" s="61"/>
      <c r="GJ57" s="61"/>
    </row>
    <row r="58" customFormat="1" ht="16.8" spans="1:192">
      <c r="A58" s="5"/>
      <c r="B58" s="5"/>
      <c r="C58" s="5"/>
      <c r="D58" s="61"/>
      <c r="E58" s="61"/>
      <c r="F58" s="62"/>
      <c r="G58" s="5"/>
      <c r="H58" s="5"/>
      <c r="I58" s="5"/>
      <c r="J58" s="5"/>
      <c r="K58" s="61"/>
      <c r="L58" s="67"/>
      <c r="M58" s="61"/>
      <c r="N58" s="61"/>
      <c r="O58" s="61"/>
      <c r="P58" s="61"/>
      <c r="Q58" s="61"/>
      <c r="R58" s="61"/>
      <c r="S58" s="61"/>
      <c r="T58" s="61"/>
      <c r="U58" s="61"/>
      <c r="V58" s="6"/>
      <c r="W58" s="7"/>
      <c r="X58" s="5"/>
      <c r="Y58" s="5"/>
      <c r="Z58" s="5"/>
      <c r="AA58" s="5"/>
      <c r="AB58" s="69"/>
      <c r="AC58" s="61"/>
      <c r="AD58" s="5"/>
      <c r="AE58" s="5"/>
      <c r="AF58" s="75"/>
      <c r="AG58" s="75"/>
      <c r="AH58" s="70"/>
      <c r="AI58" s="75"/>
      <c r="AJ58" s="75"/>
      <c r="AK58" s="75"/>
      <c r="AL58" s="61"/>
      <c r="AM58" s="61"/>
      <c r="AN58" s="61"/>
      <c r="AO58" s="61"/>
      <c r="AP58" s="61"/>
      <c r="AQ58" s="61"/>
      <c r="AR58" s="61"/>
      <c r="AS58" s="61"/>
      <c r="AT58" s="61"/>
      <c r="AU58" s="5"/>
      <c r="AV58" s="71"/>
      <c r="AW58" s="5"/>
      <c r="AX58" s="5"/>
      <c r="AY58" s="5"/>
      <c r="AZ58" s="69"/>
      <c r="BA58" s="69"/>
      <c r="BB58" s="69"/>
      <c r="BC58" s="5"/>
      <c r="BD58" s="61"/>
      <c r="BE58" s="61"/>
      <c r="BF58" s="63"/>
      <c r="BG58" s="67"/>
      <c r="BH58" s="67"/>
      <c r="BI58" s="67"/>
      <c r="BJ58" s="67"/>
      <c r="BK58" s="67"/>
      <c r="BL58" s="5"/>
      <c r="BM58" s="5"/>
      <c r="BN58" s="5"/>
      <c r="BO58" s="5"/>
      <c r="BP58" s="5"/>
      <c r="BQ58" s="5"/>
      <c r="BR58" s="5"/>
      <c r="BS58" s="5"/>
      <c r="BT58" s="61"/>
      <c r="BU58" s="61"/>
      <c r="BV58" s="61"/>
      <c r="BW58" s="61"/>
      <c r="BX58" s="61"/>
      <c r="BY58" s="61"/>
      <c r="BZ58" s="61"/>
      <c r="CA58" s="61"/>
      <c r="CB58" s="61"/>
      <c r="CC58" s="61"/>
      <c r="CD58" s="61"/>
      <c r="CE58" s="5"/>
      <c r="CF58" s="61"/>
      <c r="CG58" s="5"/>
      <c r="CH58" s="61"/>
      <c r="CI58" s="61"/>
      <c r="CJ58" s="61"/>
      <c r="CK58" s="61"/>
      <c r="CL58" s="61"/>
      <c r="CM58" s="69"/>
      <c r="CN58" s="5"/>
      <c r="CO58" s="61"/>
      <c r="CP58" s="61"/>
      <c r="CQ58" s="73"/>
      <c r="CR58" s="73"/>
      <c r="CS58" s="73"/>
      <c r="CT58" s="5"/>
      <c r="CU58" s="73"/>
      <c r="CV58" s="5"/>
      <c r="CW58" s="5"/>
      <c r="CX58" s="5"/>
      <c r="CY58" s="5"/>
      <c r="CZ58" s="5"/>
      <c r="DA58" s="5"/>
      <c r="DB58" s="5"/>
      <c r="DC58" s="61"/>
      <c r="DD58" s="61"/>
      <c r="DE58" s="61"/>
      <c r="DF58" s="61"/>
      <c r="DG58" s="61"/>
      <c r="DH58" s="61"/>
      <c r="DI58" s="61"/>
      <c r="DJ58" s="61"/>
      <c r="DK58" s="61"/>
      <c r="DL58" s="61"/>
      <c r="DM58" s="61"/>
      <c r="DN58" s="61"/>
      <c r="DO58" s="61"/>
      <c r="DP58" s="61"/>
      <c r="DQ58" s="61"/>
      <c r="DR58" s="61"/>
      <c r="DS58" s="61"/>
      <c r="DT58" s="61"/>
      <c r="DU58" s="61"/>
      <c r="DV58" s="61"/>
      <c r="DW58" s="61"/>
      <c r="DX58" s="61"/>
      <c r="DY58" s="61"/>
      <c r="DZ58" s="61"/>
      <c r="EA58" s="61"/>
      <c r="EB58" s="61"/>
      <c r="EC58" s="61"/>
      <c r="ED58" s="74"/>
      <c r="EE58" s="6"/>
      <c r="EF58" s="5"/>
      <c r="EG58" s="5"/>
      <c r="EH58" s="5"/>
      <c r="EI58" s="61"/>
      <c r="EJ58" s="61"/>
      <c r="EK58" s="61"/>
      <c r="EL58" s="61"/>
      <c r="EM58" s="61"/>
      <c r="EN58" s="61"/>
      <c r="EO58" s="61"/>
      <c r="EP58" s="6"/>
      <c r="EQ58" s="9"/>
      <c r="ER58" s="9"/>
      <c r="ES58" s="61"/>
      <c r="ET58" s="61"/>
      <c r="EU58" s="61"/>
      <c r="EV58" s="61"/>
      <c r="EW58" s="61"/>
      <c r="EX58" s="61"/>
      <c r="EY58" s="61"/>
      <c r="EZ58" s="61"/>
      <c r="FA58" s="61"/>
      <c r="FB58" s="61"/>
      <c r="FC58" s="61"/>
      <c r="FD58" s="61"/>
      <c r="FE58" s="61"/>
      <c r="FF58" s="61"/>
      <c r="FG58" s="61"/>
      <c r="FH58" s="61"/>
      <c r="FI58" s="61"/>
      <c r="FJ58" s="61"/>
      <c r="FK58" s="61"/>
      <c r="FL58" s="5"/>
      <c r="FM58" s="61"/>
      <c r="FN58" s="61"/>
      <c r="FO58" s="61"/>
      <c r="FP58" s="61"/>
      <c r="FQ58" s="61"/>
      <c r="FR58" s="61"/>
      <c r="FS58" s="61"/>
      <c r="FT58" s="61"/>
      <c r="FU58" s="61"/>
      <c r="FV58" s="61"/>
      <c r="FW58" s="61"/>
      <c r="FX58" s="61"/>
      <c r="FY58" s="61"/>
      <c r="FZ58" s="61"/>
      <c r="GA58" s="61"/>
      <c r="GB58" s="61"/>
      <c r="GC58" s="61"/>
      <c r="GD58" s="61"/>
      <c r="GE58" s="61"/>
      <c r="GF58" s="61"/>
      <c r="GG58" s="61"/>
      <c r="GH58" s="61"/>
      <c r="GI58" s="61"/>
      <c r="GJ58" s="61"/>
    </row>
    <row r="59" customFormat="1" ht="16.8" spans="1:192">
      <c r="A59" s="5"/>
      <c r="B59" s="5"/>
      <c r="C59" s="5"/>
      <c r="D59" s="61"/>
      <c r="E59" s="61"/>
      <c r="F59" s="62"/>
      <c r="G59" s="5"/>
      <c r="H59" s="5"/>
      <c r="I59" s="5"/>
      <c r="J59" s="5"/>
      <c r="K59" s="61"/>
      <c r="L59" s="67"/>
      <c r="M59" s="61"/>
      <c r="N59" s="61"/>
      <c r="O59" s="61"/>
      <c r="P59" s="61"/>
      <c r="Q59" s="61"/>
      <c r="R59" s="61"/>
      <c r="S59" s="61"/>
      <c r="T59" s="61"/>
      <c r="U59" s="61"/>
      <c r="V59" s="6"/>
      <c r="W59" s="7"/>
      <c r="X59" s="5"/>
      <c r="Y59" s="5"/>
      <c r="Z59" s="5"/>
      <c r="AA59" s="5"/>
      <c r="AB59" s="69"/>
      <c r="AC59" s="61"/>
      <c r="AD59" s="5"/>
      <c r="AE59" s="5"/>
      <c r="AF59" s="75"/>
      <c r="AG59" s="75"/>
      <c r="AH59" s="70"/>
      <c r="AI59" s="75"/>
      <c r="AJ59" s="75"/>
      <c r="AK59" s="75"/>
      <c r="AL59" s="61"/>
      <c r="AM59" s="61"/>
      <c r="AN59" s="61"/>
      <c r="AO59" s="61"/>
      <c r="AP59" s="61"/>
      <c r="AQ59" s="61"/>
      <c r="AR59" s="61"/>
      <c r="AS59" s="61"/>
      <c r="AT59" s="61"/>
      <c r="AU59" s="5"/>
      <c r="AV59" s="71"/>
      <c r="AW59" s="5"/>
      <c r="AX59" s="5"/>
      <c r="AY59" s="5"/>
      <c r="AZ59" s="69"/>
      <c r="BA59" s="69"/>
      <c r="BB59" s="69"/>
      <c r="BC59" s="5"/>
      <c r="BD59" s="61"/>
      <c r="BE59" s="61"/>
      <c r="BF59" s="63"/>
      <c r="BG59" s="67"/>
      <c r="BH59" s="67"/>
      <c r="BI59" s="67"/>
      <c r="BJ59" s="67"/>
      <c r="BK59" s="67"/>
      <c r="BL59" s="5"/>
      <c r="BM59" s="5"/>
      <c r="BN59" s="5"/>
      <c r="BO59" s="5"/>
      <c r="BP59" s="5"/>
      <c r="BQ59" s="5"/>
      <c r="BR59" s="5"/>
      <c r="BS59" s="5"/>
      <c r="BT59" s="61"/>
      <c r="BU59" s="61"/>
      <c r="BV59" s="61"/>
      <c r="BW59" s="61"/>
      <c r="BX59" s="61"/>
      <c r="BY59" s="61"/>
      <c r="BZ59" s="61"/>
      <c r="CA59" s="61"/>
      <c r="CB59" s="61"/>
      <c r="CC59" s="61"/>
      <c r="CD59" s="61"/>
      <c r="CE59" s="5"/>
      <c r="CF59" s="61"/>
      <c r="CG59" s="5"/>
      <c r="CH59" s="61"/>
      <c r="CI59" s="61"/>
      <c r="CJ59" s="61"/>
      <c r="CK59" s="61"/>
      <c r="CL59" s="61"/>
      <c r="CM59" s="69"/>
      <c r="CN59" s="5"/>
      <c r="CO59" s="61"/>
      <c r="CP59" s="61"/>
      <c r="CQ59" s="73"/>
      <c r="CR59" s="73"/>
      <c r="CS59" s="73"/>
      <c r="CT59" s="5"/>
      <c r="CU59" s="73"/>
      <c r="CV59" s="5"/>
      <c r="CW59" s="5"/>
      <c r="CX59" s="5"/>
      <c r="CY59" s="5"/>
      <c r="CZ59" s="5"/>
      <c r="DA59" s="5"/>
      <c r="DB59" s="5"/>
      <c r="DC59" s="61"/>
      <c r="DD59" s="61"/>
      <c r="DE59" s="61"/>
      <c r="DF59" s="61"/>
      <c r="DG59" s="61"/>
      <c r="DH59" s="61"/>
      <c r="DI59" s="61"/>
      <c r="DJ59" s="61"/>
      <c r="DK59" s="61"/>
      <c r="DL59" s="61"/>
      <c r="DM59" s="61"/>
      <c r="DN59" s="61"/>
      <c r="DO59" s="61"/>
      <c r="DP59" s="61"/>
      <c r="DQ59" s="61"/>
      <c r="DR59" s="61"/>
      <c r="DS59" s="61"/>
      <c r="DT59" s="61"/>
      <c r="DU59" s="61"/>
      <c r="DV59" s="61"/>
      <c r="DW59" s="61"/>
      <c r="DX59" s="61"/>
      <c r="DY59" s="61"/>
      <c r="DZ59" s="61"/>
      <c r="EA59" s="61"/>
      <c r="EB59" s="61"/>
      <c r="EC59" s="61"/>
      <c r="ED59" s="74"/>
      <c r="EE59" s="6"/>
      <c r="EF59" s="5"/>
      <c r="EG59" s="5"/>
      <c r="EH59" s="5"/>
      <c r="EI59" s="61"/>
      <c r="EJ59" s="61"/>
      <c r="EK59" s="61"/>
      <c r="EL59" s="61"/>
      <c r="EM59" s="61"/>
      <c r="EN59" s="61"/>
      <c r="EO59" s="61"/>
      <c r="EP59" s="6"/>
      <c r="EQ59" s="9"/>
      <c r="ER59" s="9"/>
      <c r="ES59" s="61"/>
      <c r="ET59" s="61"/>
      <c r="EU59" s="61"/>
      <c r="EV59" s="61"/>
      <c r="EW59" s="61"/>
      <c r="EX59" s="61"/>
      <c r="EY59" s="61"/>
      <c r="EZ59" s="61"/>
      <c r="FA59" s="61"/>
      <c r="FB59" s="61"/>
      <c r="FC59" s="61"/>
      <c r="FD59" s="61"/>
      <c r="FE59" s="61"/>
      <c r="FF59" s="61"/>
      <c r="FG59" s="61"/>
      <c r="FH59" s="61"/>
      <c r="FI59" s="61"/>
      <c r="FJ59" s="61"/>
      <c r="FK59" s="61"/>
      <c r="FL59" s="5"/>
      <c r="FM59" s="61"/>
      <c r="FN59" s="61"/>
      <c r="FO59" s="61"/>
      <c r="FP59" s="61"/>
      <c r="FQ59" s="61"/>
      <c r="FR59" s="61"/>
      <c r="FS59" s="61"/>
      <c r="FT59" s="61"/>
      <c r="FU59" s="61"/>
      <c r="FV59" s="61"/>
      <c r="FW59" s="61"/>
      <c r="FX59" s="61"/>
      <c r="FY59" s="61"/>
      <c r="FZ59" s="61"/>
      <c r="GA59" s="61"/>
      <c r="GB59" s="61"/>
      <c r="GC59" s="61"/>
      <c r="GD59" s="61"/>
      <c r="GE59" s="61"/>
      <c r="GF59" s="61"/>
      <c r="GG59" s="61"/>
      <c r="GH59" s="61"/>
      <c r="GI59" s="61"/>
      <c r="GJ59" s="61"/>
    </row>
    <row r="60" s="3" customFormat="1" ht="16.8" spans="1:192">
      <c r="A60" s="8"/>
      <c r="B60" s="8"/>
      <c r="C60" s="8"/>
      <c r="D60" s="77"/>
      <c r="E60" s="77"/>
      <c r="F60" s="62"/>
      <c r="G60" s="8"/>
      <c r="H60" s="8"/>
      <c r="I60" s="8"/>
      <c r="J60" s="8"/>
      <c r="K60" s="77"/>
      <c r="L60" s="8"/>
      <c r="M60" s="77"/>
      <c r="N60" s="77"/>
      <c r="O60" s="77"/>
      <c r="P60" s="77"/>
      <c r="Q60" s="77"/>
      <c r="R60" s="77"/>
      <c r="S60" s="77"/>
      <c r="T60" s="77"/>
      <c r="U60" s="77"/>
      <c r="V60" s="81"/>
      <c r="W60" s="78"/>
      <c r="X60" s="8"/>
      <c r="Y60" s="8"/>
      <c r="Z60" s="8"/>
      <c r="AA60" s="8"/>
      <c r="AB60" s="2"/>
      <c r="AC60" s="77"/>
      <c r="AD60" s="8"/>
      <c r="AE60" s="8"/>
      <c r="AF60" s="79"/>
      <c r="AG60" s="79"/>
      <c r="AH60" s="80"/>
      <c r="AI60" s="79"/>
      <c r="AJ60" s="79"/>
      <c r="AK60" s="79"/>
      <c r="AL60" s="77"/>
      <c r="AM60" s="77"/>
      <c r="AN60" s="77"/>
      <c r="AO60" s="77"/>
      <c r="AP60" s="77"/>
      <c r="AQ60" s="77"/>
      <c r="AR60" s="77"/>
      <c r="AS60" s="77"/>
      <c r="AT60" s="77"/>
      <c r="AU60" s="8"/>
      <c r="AV60" s="71"/>
      <c r="AW60" s="8"/>
      <c r="AX60" s="8"/>
      <c r="AY60" s="8"/>
      <c r="AZ60" s="2"/>
      <c r="BA60" s="2"/>
      <c r="BB60" s="2"/>
      <c r="BC60" s="8"/>
      <c r="BD60" s="77"/>
      <c r="BE60" s="77"/>
      <c r="BF60" s="63"/>
      <c r="BG60" s="8"/>
      <c r="BH60" s="8"/>
      <c r="BI60" s="67"/>
      <c r="BJ60" s="67"/>
      <c r="BK60" s="8"/>
      <c r="BL60" s="8"/>
      <c r="BM60" s="5"/>
      <c r="BN60" s="8"/>
      <c r="BO60" s="5"/>
      <c r="BP60" s="8"/>
      <c r="BQ60" s="8"/>
      <c r="BR60" s="8"/>
      <c r="BS60" s="8"/>
      <c r="BT60" s="77"/>
      <c r="BU60" s="77"/>
      <c r="BV60" s="77"/>
      <c r="BW60" s="77"/>
      <c r="BX60" s="77"/>
      <c r="BY60" s="77"/>
      <c r="BZ60" s="77"/>
      <c r="CA60" s="77"/>
      <c r="CB60" s="77"/>
      <c r="CC60" s="77"/>
      <c r="CD60" s="77"/>
      <c r="CE60" s="8"/>
      <c r="CF60" s="77"/>
      <c r="CG60" s="5"/>
      <c r="CH60" s="77"/>
      <c r="CI60" s="77"/>
      <c r="CJ60" s="77"/>
      <c r="CK60" s="77"/>
      <c r="CL60" s="77"/>
      <c r="CM60" s="2"/>
      <c r="CN60" s="8"/>
      <c r="CO60" s="77"/>
      <c r="CP60" s="77"/>
      <c r="CQ60" s="81"/>
      <c r="CR60" s="81"/>
      <c r="CS60" s="81"/>
      <c r="CT60" s="8"/>
      <c r="CU60" s="81"/>
      <c r="CV60" s="8"/>
      <c r="CW60" s="8"/>
      <c r="CX60" s="8"/>
      <c r="CY60" s="8"/>
      <c r="CZ60" s="8"/>
      <c r="DA60" s="8"/>
      <c r="DB60" s="8"/>
      <c r="DC60" s="77"/>
      <c r="DD60" s="77"/>
      <c r="DE60" s="77"/>
      <c r="DF60" s="77"/>
      <c r="DG60" s="77"/>
      <c r="DH60" s="77"/>
      <c r="DI60" s="77"/>
      <c r="DJ60" s="77"/>
      <c r="DK60" s="77"/>
      <c r="DL60" s="77"/>
      <c r="DM60" s="77"/>
      <c r="DN60" s="77"/>
      <c r="DO60" s="77"/>
      <c r="DP60" s="77"/>
      <c r="DQ60" s="77"/>
      <c r="DR60" s="77"/>
      <c r="DS60" s="77"/>
      <c r="DT60" s="77"/>
      <c r="DU60" s="77"/>
      <c r="DV60" s="77"/>
      <c r="DW60" s="77"/>
      <c r="DX60" s="77"/>
      <c r="DY60" s="77"/>
      <c r="DZ60" s="77"/>
      <c r="EA60" s="77"/>
      <c r="EB60" s="77"/>
      <c r="EC60" s="77"/>
      <c r="ED60" s="74"/>
      <c r="EE60" s="81"/>
      <c r="EF60" s="8"/>
      <c r="EG60" s="8"/>
      <c r="EH60" s="8"/>
      <c r="EI60" s="77"/>
      <c r="EJ60" s="77"/>
      <c r="EK60" s="77"/>
      <c r="EL60" s="77"/>
      <c r="EM60" s="77"/>
      <c r="EN60" s="77"/>
      <c r="EO60" s="77"/>
      <c r="EP60" s="6"/>
      <c r="EQ60" s="9"/>
      <c r="ER60" s="82"/>
      <c r="ES60" s="77"/>
      <c r="ET60" s="77"/>
      <c r="EU60" s="77"/>
      <c r="EV60" s="77"/>
      <c r="EW60" s="77"/>
      <c r="EX60" s="77"/>
      <c r="EY60" s="77"/>
      <c r="EZ60" s="77"/>
      <c r="FA60" s="77"/>
      <c r="FB60" s="77"/>
      <c r="FC60" s="77"/>
      <c r="FD60" s="77"/>
      <c r="FE60" s="77"/>
      <c r="FF60" s="77"/>
      <c r="FG60" s="77"/>
      <c r="FH60" s="77"/>
      <c r="FI60" s="77"/>
      <c r="FJ60" s="77"/>
      <c r="FK60" s="77"/>
      <c r="FL60" s="8"/>
      <c r="FM60" s="77"/>
      <c r="FN60" s="77"/>
      <c r="FO60" s="77"/>
      <c r="FP60" s="77"/>
      <c r="FQ60" s="77"/>
      <c r="FR60" s="77"/>
      <c r="FS60" s="77"/>
      <c r="FT60" s="77"/>
      <c r="FU60" s="77"/>
      <c r="FV60" s="77"/>
      <c r="FW60" s="77"/>
      <c r="FX60" s="77"/>
      <c r="FY60" s="77"/>
      <c r="FZ60" s="77"/>
      <c r="GA60" s="77"/>
      <c r="GB60" s="77"/>
      <c r="GC60" s="77"/>
      <c r="GD60" s="77"/>
      <c r="GE60" s="77"/>
      <c r="GF60" s="77"/>
      <c r="GG60" s="77"/>
      <c r="GH60" s="77"/>
      <c r="GI60" s="77"/>
      <c r="GJ60" s="77"/>
    </row>
    <row r="61" customFormat="1" ht="16.8" spans="1:192">
      <c r="A61" s="5"/>
      <c r="B61" s="5"/>
      <c r="C61" s="5"/>
      <c r="D61" s="61"/>
      <c r="E61" s="61"/>
      <c r="F61" s="62"/>
      <c r="G61" s="5"/>
      <c r="H61" s="5"/>
      <c r="I61" s="5"/>
      <c r="J61" s="5"/>
      <c r="K61" s="61"/>
      <c r="L61" s="67"/>
      <c r="M61" s="61"/>
      <c r="N61" s="61"/>
      <c r="O61" s="61"/>
      <c r="P61" s="61"/>
      <c r="Q61" s="61"/>
      <c r="R61" s="61"/>
      <c r="S61" s="61"/>
      <c r="T61" s="61"/>
      <c r="U61" s="61"/>
      <c r="V61" s="6"/>
      <c r="W61" s="7"/>
      <c r="X61" s="5"/>
      <c r="Y61" s="5"/>
      <c r="Z61" s="5"/>
      <c r="AA61" s="5"/>
      <c r="AB61" s="69"/>
      <c r="AC61" s="61"/>
      <c r="AD61" s="5"/>
      <c r="AE61" s="5"/>
      <c r="AF61" s="75"/>
      <c r="AG61" s="75"/>
      <c r="AH61" s="70"/>
      <c r="AI61" s="75"/>
      <c r="AJ61" s="75"/>
      <c r="AK61" s="75"/>
      <c r="AL61" s="61"/>
      <c r="AM61" s="61"/>
      <c r="AN61" s="61"/>
      <c r="AO61" s="61"/>
      <c r="AP61" s="61"/>
      <c r="AQ61" s="61"/>
      <c r="AR61" s="61"/>
      <c r="AS61" s="61"/>
      <c r="AT61" s="61"/>
      <c r="AU61" s="5"/>
      <c r="AV61" s="71"/>
      <c r="AW61" s="5"/>
      <c r="AX61" s="5"/>
      <c r="AY61" s="5"/>
      <c r="AZ61" s="69"/>
      <c r="BA61" s="69"/>
      <c r="BB61" s="69"/>
      <c r="BC61" s="5"/>
      <c r="BD61" s="61"/>
      <c r="BE61" s="61"/>
      <c r="BF61" s="63"/>
      <c r="BG61" s="67"/>
      <c r="BH61" s="67"/>
      <c r="BI61" s="67"/>
      <c r="BJ61" s="67"/>
      <c r="BK61" s="67"/>
      <c r="BL61" s="5"/>
      <c r="BM61" s="5"/>
      <c r="BN61" s="5"/>
      <c r="BO61" s="5"/>
      <c r="BP61" s="5"/>
      <c r="BQ61" s="5"/>
      <c r="BR61" s="5"/>
      <c r="BS61" s="5"/>
      <c r="BT61" s="61"/>
      <c r="BU61" s="61"/>
      <c r="BV61" s="61"/>
      <c r="BW61" s="61"/>
      <c r="BX61" s="61"/>
      <c r="BY61" s="61"/>
      <c r="BZ61" s="61"/>
      <c r="CA61" s="61"/>
      <c r="CB61" s="61"/>
      <c r="CC61" s="61"/>
      <c r="CD61" s="61"/>
      <c r="CE61" s="5"/>
      <c r="CF61" s="61"/>
      <c r="CG61" s="5"/>
      <c r="CH61" s="61"/>
      <c r="CI61" s="61"/>
      <c r="CJ61" s="61"/>
      <c r="CK61" s="61"/>
      <c r="CL61" s="61"/>
      <c r="CM61" s="69"/>
      <c r="CN61" s="5"/>
      <c r="CO61" s="61"/>
      <c r="CP61" s="61"/>
      <c r="CQ61" s="73"/>
      <c r="CR61" s="73"/>
      <c r="CS61" s="73"/>
      <c r="CT61" s="5"/>
      <c r="CU61" s="73"/>
      <c r="CV61" s="5"/>
      <c r="CW61" s="5"/>
      <c r="CX61" s="5"/>
      <c r="CY61" s="5"/>
      <c r="CZ61" s="5"/>
      <c r="DA61" s="5"/>
      <c r="DB61" s="5"/>
      <c r="DC61" s="61"/>
      <c r="DD61" s="61"/>
      <c r="DE61" s="61"/>
      <c r="DF61" s="61"/>
      <c r="DG61" s="61"/>
      <c r="DH61" s="61"/>
      <c r="DI61" s="61"/>
      <c r="DJ61" s="61"/>
      <c r="DK61" s="61"/>
      <c r="DL61" s="61"/>
      <c r="DM61" s="61"/>
      <c r="DN61" s="61"/>
      <c r="DO61" s="61"/>
      <c r="DP61" s="61"/>
      <c r="DQ61" s="61"/>
      <c r="DR61" s="61"/>
      <c r="DS61" s="61"/>
      <c r="DT61" s="61"/>
      <c r="DU61" s="61"/>
      <c r="DV61" s="61"/>
      <c r="DW61" s="61"/>
      <c r="DX61" s="61"/>
      <c r="DY61" s="61"/>
      <c r="DZ61" s="61"/>
      <c r="EA61" s="61"/>
      <c r="EB61" s="61"/>
      <c r="EC61" s="61"/>
      <c r="ED61" s="74"/>
      <c r="EE61" s="6"/>
      <c r="EF61" s="5"/>
      <c r="EG61" s="5"/>
      <c r="EH61" s="5"/>
      <c r="EI61" s="61"/>
      <c r="EJ61" s="61"/>
      <c r="EK61" s="61"/>
      <c r="EL61" s="61"/>
      <c r="EM61" s="61"/>
      <c r="EN61" s="61"/>
      <c r="EO61" s="61"/>
      <c r="EP61" s="6"/>
      <c r="EQ61" s="9"/>
      <c r="ER61" s="9"/>
      <c r="ES61" s="61"/>
      <c r="ET61" s="61"/>
      <c r="EU61" s="61"/>
      <c r="EV61" s="61"/>
      <c r="EW61" s="61"/>
      <c r="EX61" s="61"/>
      <c r="EY61" s="61"/>
      <c r="EZ61" s="61"/>
      <c r="FA61" s="61"/>
      <c r="FB61" s="61"/>
      <c r="FC61" s="61"/>
      <c r="FD61" s="61"/>
      <c r="FE61" s="61"/>
      <c r="FF61" s="61"/>
      <c r="FG61" s="61"/>
      <c r="FH61" s="61"/>
      <c r="FI61" s="61"/>
      <c r="FJ61" s="61"/>
      <c r="FK61" s="61"/>
      <c r="FL61" s="5"/>
      <c r="FM61" s="61"/>
      <c r="FN61" s="61"/>
      <c r="FO61" s="61"/>
      <c r="FP61" s="61"/>
      <c r="FQ61" s="61"/>
      <c r="FR61" s="61"/>
      <c r="FS61" s="61"/>
      <c r="FT61" s="61"/>
      <c r="FU61" s="61"/>
      <c r="FV61" s="61"/>
      <c r="FW61" s="61"/>
      <c r="FX61" s="61"/>
      <c r="FY61" s="61"/>
      <c r="FZ61" s="61"/>
      <c r="GA61" s="61"/>
      <c r="GB61" s="61"/>
      <c r="GC61" s="61"/>
      <c r="GD61" s="61"/>
      <c r="GE61" s="61"/>
      <c r="GF61" s="61"/>
      <c r="GG61" s="61"/>
      <c r="GH61" s="61"/>
      <c r="GI61" s="61"/>
      <c r="GJ61" s="61"/>
    </row>
    <row r="62" customFormat="1" ht="16.8" spans="1:192">
      <c r="A62" s="5"/>
      <c r="B62" s="5"/>
      <c r="C62" s="5"/>
      <c r="D62" s="61"/>
      <c r="E62" s="61"/>
      <c r="F62" s="62"/>
      <c r="G62" s="5"/>
      <c r="H62" s="5"/>
      <c r="I62" s="5"/>
      <c r="J62" s="5"/>
      <c r="K62" s="61"/>
      <c r="L62" s="67"/>
      <c r="M62" s="61"/>
      <c r="N62" s="61"/>
      <c r="O62" s="61"/>
      <c r="P62" s="61"/>
      <c r="Q62" s="61"/>
      <c r="R62" s="61"/>
      <c r="S62" s="61"/>
      <c r="T62" s="61"/>
      <c r="U62" s="61"/>
      <c r="V62" s="6"/>
      <c r="W62" s="7"/>
      <c r="X62" s="5"/>
      <c r="Y62" s="5"/>
      <c r="Z62" s="5"/>
      <c r="AA62" s="5"/>
      <c r="AB62" s="69"/>
      <c r="AC62" s="61"/>
      <c r="AD62" s="5"/>
      <c r="AE62" s="5"/>
      <c r="AF62" s="75"/>
      <c r="AG62" s="75"/>
      <c r="AH62" s="70"/>
      <c r="AI62" s="75"/>
      <c r="AJ62" s="75"/>
      <c r="AK62" s="75"/>
      <c r="AL62" s="61"/>
      <c r="AM62" s="61"/>
      <c r="AN62" s="61"/>
      <c r="AO62" s="61"/>
      <c r="AP62" s="61"/>
      <c r="AQ62" s="61"/>
      <c r="AR62" s="61"/>
      <c r="AS62" s="61"/>
      <c r="AT62" s="61"/>
      <c r="AU62" s="5"/>
      <c r="AV62" s="71"/>
      <c r="AW62" s="5"/>
      <c r="AX62" s="5"/>
      <c r="AY62" s="5"/>
      <c r="AZ62" s="69"/>
      <c r="BA62" s="69"/>
      <c r="BB62" s="69"/>
      <c r="BC62" s="5"/>
      <c r="BD62" s="61"/>
      <c r="BE62" s="61"/>
      <c r="BF62" s="63"/>
      <c r="BG62" s="67"/>
      <c r="BH62" s="67"/>
      <c r="BI62" s="67"/>
      <c r="BJ62" s="67"/>
      <c r="BK62" s="67"/>
      <c r="BL62" s="5"/>
      <c r="BM62" s="5"/>
      <c r="BN62" s="5"/>
      <c r="BO62" s="5"/>
      <c r="BP62" s="5"/>
      <c r="BQ62" s="5"/>
      <c r="BR62" s="5"/>
      <c r="BS62" s="5"/>
      <c r="BT62" s="61"/>
      <c r="BU62" s="61"/>
      <c r="BV62" s="61"/>
      <c r="BW62" s="61"/>
      <c r="BX62" s="61"/>
      <c r="BY62" s="61"/>
      <c r="BZ62" s="61"/>
      <c r="CA62" s="61"/>
      <c r="CB62" s="61"/>
      <c r="CC62" s="61"/>
      <c r="CD62" s="61"/>
      <c r="CE62" s="5"/>
      <c r="CF62" s="61"/>
      <c r="CG62" s="5"/>
      <c r="CH62" s="61"/>
      <c r="CI62" s="61"/>
      <c r="CJ62" s="61"/>
      <c r="CK62" s="61"/>
      <c r="CL62" s="61"/>
      <c r="CM62" s="69"/>
      <c r="CN62" s="5"/>
      <c r="CO62" s="61"/>
      <c r="CP62" s="61"/>
      <c r="CQ62" s="73"/>
      <c r="CR62" s="73"/>
      <c r="CS62" s="73"/>
      <c r="CT62" s="5"/>
      <c r="CU62" s="73"/>
      <c r="CV62" s="5"/>
      <c r="CW62" s="5"/>
      <c r="CX62" s="5"/>
      <c r="CY62" s="5"/>
      <c r="CZ62" s="5"/>
      <c r="DA62" s="5"/>
      <c r="DB62" s="5"/>
      <c r="DC62" s="61"/>
      <c r="DD62" s="61"/>
      <c r="DE62" s="61"/>
      <c r="DF62" s="61"/>
      <c r="DG62" s="61"/>
      <c r="DH62" s="61"/>
      <c r="DI62" s="61"/>
      <c r="DJ62" s="61"/>
      <c r="DK62" s="61"/>
      <c r="DL62" s="61"/>
      <c r="DM62" s="61"/>
      <c r="DN62" s="61"/>
      <c r="DO62" s="61"/>
      <c r="DP62" s="61"/>
      <c r="DQ62" s="61"/>
      <c r="DR62" s="61"/>
      <c r="DS62" s="61"/>
      <c r="DT62" s="61"/>
      <c r="DU62" s="61"/>
      <c r="DV62" s="61"/>
      <c r="DW62" s="61"/>
      <c r="DX62" s="61"/>
      <c r="DY62" s="61"/>
      <c r="DZ62" s="61"/>
      <c r="EA62" s="61"/>
      <c r="EB62" s="61"/>
      <c r="EC62" s="61"/>
      <c r="ED62" s="74"/>
      <c r="EE62" s="6"/>
      <c r="EF62" s="5"/>
      <c r="EG62" s="5"/>
      <c r="EH62" s="5"/>
      <c r="EI62" s="61"/>
      <c r="EJ62" s="61"/>
      <c r="EK62" s="61"/>
      <c r="EL62" s="61"/>
      <c r="EM62" s="61"/>
      <c r="EN62" s="61"/>
      <c r="EO62" s="61"/>
      <c r="EP62" s="6"/>
      <c r="EQ62" s="9"/>
      <c r="ER62" s="9"/>
      <c r="ES62" s="61"/>
      <c r="ET62" s="61"/>
      <c r="EU62" s="61"/>
      <c r="EV62" s="61"/>
      <c r="EW62" s="61"/>
      <c r="EX62" s="61"/>
      <c r="EY62" s="61"/>
      <c r="EZ62" s="61"/>
      <c r="FA62" s="61"/>
      <c r="FB62" s="61"/>
      <c r="FC62" s="61"/>
      <c r="FD62" s="61"/>
      <c r="FE62" s="61"/>
      <c r="FF62" s="61"/>
      <c r="FG62" s="61"/>
      <c r="FH62" s="61"/>
      <c r="FI62" s="61"/>
      <c r="FJ62" s="61"/>
      <c r="FK62" s="61"/>
      <c r="FL62" s="5"/>
      <c r="FM62" s="61"/>
      <c r="FN62" s="61"/>
      <c r="FO62" s="61"/>
      <c r="FP62" s="61"/>
      <c r="FQ62" s="61"/>
      <c r="FR62" s="61"/>
      <c r="FS62" s="61"/>
      <c r="FT62" s="61"/>
      <c r="FU62" s="61"/>
      <c r="FV62" s="61"/>
      <c r="FW62" s="61"/>
      <c r="FX62" s="61"/>
      <c r="FY62" s="61"/>
      <c r="FZ62" s="61"/>
      <c r="GA62" s="61"/>
      <c r="GB62" s="61"/>
      <c r="GC62" s="61"/>
      <c r="GD62" s="61"/>
      <c r="GE62" s="61"/>
      <c r="GF62" s="61"/>
      <c r="GG62" s="61"/>
      <c r="GH62" s="61"/>
      <c r="GI62" s="61"/>
      <c r="GJ62" s="61"/>
    </row>
    <row r="63" customFormat="1" ht="16.8" spans="1:192">
      <c r="A63" s="5"/>
      <c r="B63" s="5"/>
      <c r="C63" s="5"/>
      <c r="D63" s="61"/>
      <c r="E63" s="61"/>
      <c r="F63" s="62"/>
      <c r="G63" s="5"/>
      <c r="H63" s="5"/>
      <c r="I63" s="5"/>
      <c r="J63" s="5"/>
      <c r="K63" s="61"/>
      <c r="L63" s="67"/>
      <c r="M63" s="61"/>
      <c r="N63" s="61"/>
      <c r="O63" s="61"/>
      <c r="P63" s="61"/>
      <c r="Q63" s="61"/>
      <c r="R63" s="61"/>
      <c r="S63" s="61"/>
      <c r="T63" s="61"/>
      <c r="U63" s="61"/>
      <c r="V63" s="6"/>
      <c r="W63" s="7"/>
      <c r="X63" s="5"/>
      <c r="Y63" s="5"/>
      <c r="Z63" s="5"/>
      <c r="AA63" s="5"/>
      <c r="AB63" s="69"/>
      <c r="AC63" s="61"/>
      <c r="AD63" s="5"/>
      <c r="AE63" s="5"/>
      <c r="AF63" s="75"/>
      <c r="AG63" s="75"/>
      <c r="AH63" s="70"/>
      <c r="AI63" s="75"/>
      <c r="AJ63" s="75"/>
      <c r="AK63" s="75"/>
      <c r="AL63" s="61"/>
      <c r="AM63" s="61"/>
      <c r="AN63" s="61"/>
      <c r="AO63" s="61"/>
      <c r="AP63" s="61"/>
      <c r="AQ63" s="61"/>
      <c r="AR63" s="61"/>
      <c r="AS63" s="61"/>
      <c r="AT63" s="61"/>
      <c r="AU63" s="5"/>
      <c r="AV63" s="71"/>
      <c r="AW63" s="5"/>
      <c r="AX63" s="5"/>
      <c r="AY63" s="5"/>
      <c r="AZ63" s="69"/>
      <c r="BA63" s="69"/>
      <c r="BB63" s="69"/>
      <c r="BC63" s="5"/>
      <c r="BD63" s="61"/>
      <c r="BE63" s="61"/>
      <c r="BF63" s="63"/>
      <c r="BG63" s="67"/>
      <c r="BH63" s="67"/>
      <c r="BI63" s="67"/>
      <c r="BJ63" s="67"/>
      <c r="BK63" s="67"/>
      <c r="BL63" s="5"/>
      <c r="BM63" s="5"/>
      <c r="BN63" s="5"/>
      <c r="BO63" s="5"/>
      <c r="BP63" s="5"/>
      <c r="BQ63" s="5"/>
      <c r="BR63" s="5"/>
      <c r="BS63" s="5"/>
      <c r="BT63" s="61"/>
      <c r="BU63" s="61"/>
      <c r="BV63" s="61"/>
      <c r="BW63" s="61"/>
      <c r="BX63" s="61"/>
      <c r="BY63" s="61"/>
      <c r="BZ63" s="61"/>
      <c r="CA63" s="61"/>
      <c r="CB63" s="61"/>
      <c r="CC63" s="61"/>
      <c r="CD63" s="61"/>
      <c r="CE63" s="5"/>
      <c r="CF63" s="61"/>
      <c r="CG63" s="5"/>
      <c r="CH63" s="61"/>
      <c r="CI63" s="61"/>
      <c r="CJ63" s="61"/>
      <c r="CK63" s="61"/>
      <c r="CL63" s="61"/>
      <c r="CM63" s="69"/>
      <c r="CN63" s="5"/>
      <c r="CO63" s="61"/>
      <c r="CP63" s="61"/>
      <c r="CQ63" s="73"/>
      <c r="CR63" s="73"/>
      <c r="CS63" s="73"/>
      <c r="CT63" s="5"/>
      <c r="CU63" s="73"/>
      <c r="CV63" s="5"/>
      <c r="CW63" s="5"/>
      <c r="CX63" s="5"/>
      <c r="CY63" s="5"/>
      <c r="CZ63" s="5"/>
      <c r="DA63" s="5"/>
      <c r="DB63" s="5"/>
      <c r="DC63" s="61"/>
      <c r="DD63" s="61"/>
      <c r="DE63" s="61"/>
      <c r="DF63" s="61"/>
      <c r="DG63" s="61"/>
      <c r="DH63" s="61"/>
      <c r="DI63" s="61"/>
      <c r="DJ63" s="61"/>
      <c r="DK63" s="61"/>
      <c r="DL63" s="61"/>
      <c r="DM63" s="61"/>
      <c r="DN63" s="61"/>
      <c r="DO63" s="61"/>
      <c r="DP63" s="61"/>
      <c r="DQ63" s="61"/>
      <c r="DR63" s="61"/>
      <c r="DS63" s="61"/>
      <c r="DT63" s="61"/>
      <c r="DU63" s="61"/>
      <c r="DV63" s="61"/>
      <c r="DW63" s="61"/>
      <c r="DX63" s="61"/>
      <c r="DY63" s="61"/>
      <c r="DZ63" s="61"/>
      <c r="EA63" s="61"/>
      <c r="EB63" s="61"/>
      <c r="EC63" s="61"/>
      <c r="ED63" s="74"/>
      <c r="EE63" s="6"/>
      <c r="EF63" s="5"/>
      <c r="EG63" s="5"/>
      <c r="EH63" s="5"/>
      <c r="EI63" s="61"/>
      <c r="EJ63" s="61"/>
      <c r="EK63" s="61"/>
      <c r="EL63" s="61"/>
      <c r="EM63" s="61"/>
      <c r="EN63" s="61"/>
      <c r="EO63" s="61"/>
      <c r="EP63" s="6"/>
      <c r="EQ63" s="9"/>
      <c r="ER63" s="9"/>
      <c r="ES63" s="61"/>
      <c r="ET63" s="61"/>
      <c r="EU63" s="61"/>
      <c r="EV63" s="61"/>
      <c r="EW63" s="61"/>
      <c r="EX63" s="61"/>
      <c r="EY63" s="61"/>
      <c r="EZ63" s="61"/>
      <c r="FA63" s="61"/>
      <c r="FB63" s="61"/>
      <c r="FC63" s="61"/>
      <c r="FD63" s="61"/>
      <c r="FE63" s="61"/>
      <c r="FF63" s="61"/>
      <c r="FG63" s="61"/>
      <c r="FH63" s="61"/>
      <c r="FI63" s="61"/>
      <c r="FJ63" s="61"/>
      <c r="FK63" s="61"/>
      <c r="FL63" s="5"/>
      <c r="FM63" s="61"/>
      <c r="FN63" s="61"/>
      <c r="FO63" s="61"/>
      <c r="FP63" s="61"/>
      <c r="FQ63" s="61"/>
      <c r="FR63" s="61"/>
      <c r="FS63" s="61"/>
      <c r="FT63" s="61"/>
      <c r="FU63" s="61"/>
      <c r="FV63" s="61"/>
      <c r="FW63" s="61"/>
      <c r="FX63" s="61"/>
      <c r="FY63" s="61"/>
      <c r="FZ63" s="61"/>
      <c r="GA63" s="61"/>
      <c r="GB63" s="61"/>
      <c r="GC63" s="61"/>
      <c r="GD63" s="61"/>
      <c r="GE63" s="61"/>
      <c r="GF63" s="61"/>
      <c r="GG63" s="61"/>
      <c r="GH63" s="61"/>
      <c r="GI63" s="61"/>
      <c r="GJ63" s="61"/>
    </row>
    <row r="64" customFormat="1" ht="16.8" spans="1:192">
      <c r="A64" s="5"/>
      <c r="B64" s="5"/>
      <c r="C64" s="5"/>
      <c r="D64" s="61"/>
      <c r="E64" s="61"/>
      <c r="F64" s="62"/>
      <c r="G64" s="5"/>
      <c r="H64" s="5"/>
      <c r="I64" s="5"/>
      <c r="J64" s="5"/>
      <c r="K64" s="61"/>
      <c r="L64" s="67"/>
      <c r="M64" s="61"/>
      <c r="N64" s="61"/>
      <c r="O64" s="61"/>
      <c r="P64" s="61"/>
      <c r="Q64" s="61"/>
      <c r="R64" s="61"/>
      <c r="S64" s="61"/>
      <c r="T64" s="61"/>
      <c r="U64" s="61"/>
      <c r="V64" s="6"/>
      <c r="W64" s="7"/>
      <c r="X64" s="5"/>
      <c r="Y64" s="5"/>
      <c r="Z64" s="5"/>
      <c r="AA64" s="5"/>
      <c r="AB64" s="69"/>
      <c r="AC64" s="61"/>
      <c r="AD64" s="5"/>
      <c r="AE64" s="5"/>
      <c r="AF64" s="75"/>
      <c r="AG64" s="75"/>
      <c r="AH64" s="70"/>
      <c r="AI64" s="75"/>
      <c r="AJ64" s="75"/>
      <c r="AK64" s="75"/>
      <c r="AL64" s="61"/>
      <c r="AM64" s="61"/>
      <c r="AN64" s="61"/>
      <c r="AO64" s="61"/>
      <c r="AP64" s="61"/>
      <c r="AQ64" s="61"/>
      <c r="AR64" s="61"/>
      <c r="AS64" s="61"/>
      <c r="AT64" s="61"/>
      <c r="AU64" s="5"/>
      <c r="AV64" s="71"/>
      <c r="AW64" s="5"/>
      <c r="AX64" s="5"/>
      <c r="AY64" s="5"/>
      <c r="AZ64" s="69"/>
      <c r="BA64" s="69"/>
      <c r="BB64" s="69"/>
      <c r="BC64" s="5"/>
      <c r="BD64" s="61"/>
      <c r="BE64" s="61"/>
      <c r="BF64" s="63"/>
      <c r="BG64" s="67"/>
      <c r="BH64" s="67"/>
      <c r="BI64" s="67"/>
      <c r="BJ64" s="67"/>
      <c r="BK64" s="67"/>
      <c r="BL64" s="5"/>
      <c r="BM64" s="5"/>
      <c r="BN64" s="5"/>
      <c r="BO64" s="5"/>
      <c r="BP64" s="5"/>
      <c r="BQ64" s="5"/>
      <c r="BR64" s="5"/>
      <c r="BS64" s="5"/>
      <c r="BT64" s="61"/>
      <c r="BU64" s="61"/>
      <c r="BV64" s="61"/>
      <c r="BW64" s="61"/>
      <c r="BX64" s="61"/>
      <c r="BY64" s="61"/>
      <c r="BZ64" s="61"/>
      <c r="CA64" s="61"/>
      <c r="CB64" s="61"/>
      <c r="CC64" s="61"/>
      <c r="CD64" s="61"/>
      <c r="CE64" s="5"/>
      <c r="CF64" s="61"/>
      <c r="CG64" s="5"/>
      <c r="CH64" s="61"/>
      <c r="CI64" s="61"/>
      <c r="CJ64" s="61"/>
      <c r="CK64" s="61"/>
      <c r="CL64" s="61"/>
      <c r="CM64" s="69"/>
      <c r="CN64" s="5"/>
      <c r="CO64" s="61"/>
      <c r="CP64" s="61"/>
      <c r="CQ64" s="73"/>
      <c r="CR64" s="73"/>
      <c r="CS64" s="73"/>
      <c r="CT64" s="5"/>
      <c r="CU64" s="73"/>
      <c r="CV64" s="5"/>
      <c r="CW64" s="5"/>
      <c r="CX64" s="5"/>
      <c r="CY64" s="5"/>
      <c r="CZ64" s="5"/>
      <c r="DA64" s="5"/>
      <c r="DB64" s="5"/>
      <c r="DC64" s="61"/>
      <c r="DD64" s="61"/>
      <c r="DE64" s="61"/>
      <c r="DF64" s="61"/>
      <c r="DG64" s="61"/>
      <c r="DH64" s="61"/>
      <c r="DI64" s="61"/>
      <c r="DJ64" s="61"/>
      <c r="DK64" s="61"/>
      <c r="DL64" s="61"/>
      <c r="DM64" s="61"/>
      <c r="DN64" s="61"/>
      <c r="DO64" s="61"/>
      <c r="DP64" s="61"/>
      <c r="DQ64" s="61"/>
      <c r="DR64" s="61"/>
      <c r="DS64" s="61"/>
      <c r="DT64" s="61"/>
      <c r="DU64" s="61"/>
      <c r="DV64" s="61"/>
      <c r="DW64" s="61"/>
      <c r="DX64" s="61"/>
      <c r="DY64" s="61"/>
      <c r="DZ64" s="61"/>
      <c r="EA64" s="61"/>
      <c r="EB64" s="61"/>
      <c r="EC64" s="61"/>
      <c r="ED64" s="74"/>
      <c r="EE64" s="6"/>
      <c r="EF64" s="5"/>
      <c r="EG64" s="5"/>
      <c r="EH64" s="5"/>
      <c r="EI64" s="61"/>
      <c r="EJ64" s="61"/>
      <c r="EK64" s="61"/>
      <c r="EL64" s="61"/>
      <c r="EM64" s="61"/>
      <c r="EN64" s="61"/>
      <c r="EO64" s="61"/>
      <c r="EP64" s="6"/>
      <c r="EQ64" s="9"/>
      <c r="ER64" s="9"/>
      <c r="ES64" s="61"/>
      <c r="ET64" s="61"/>
      <c r="EU64" s="61"/>
      <c r="EV64" s="61"/>
      <c r="EW64" s="61"/>
      <c r="EX64" s="61"/>
      <c r="EY64" s="61"/>
      <c r="EZ64" s="61"/>
      <c r="FA64" s="61"/>
      <c r="FB64" s="61"/>
      <c r="FC64" s="61"/>
      <c r="FD64" s="61"/>
      <c r="FE64" s="61"/>
      <c r="FF64" s="61"/>
      <c r="FG64" s="61"/>
      <c r="FH64" s="61"/>
      <c r="FI64" s="61"/>
      <c r="FJ64" s="61"/>
      <c r="FK64" s="61"/>
      <c r="FL64" s="5"/>
      <c r="FM64" s="61"/>
      <c r="FN64" s="61"/>
      <c r="FO64" s="61"/>
      <c r="FP64" s="61"/>
      <c r="FQ64" s="61"/>
      <c r="FR64" s="61"/>
      <c r="FS64" s="61"/>
      <c r="FT64" s="61"/>
      <c r="FU64" s="61"/>
      <c r="FV64" s="61"/>
      <c r="FW64" s="61"/>
      <c r="FX64" s="61"/>
      <c r="FY64" s="61"/>
      <c r="FZ64" s="61"/>
      <c r="GA64" s="61"/>
      <c r="GB64" s="61"/>
      <c r="GC64" s="61"/>
      <c r="GD64" s="61"/>
      <c r="GE64" s="61"/>
      <c r="GF64" s="61"/>
      <c r="GG64" s="61"/>
      <c r="GH64" s="61"/>
      <c r="GI64" s="61"/>
      <c r="GJ64" s="61"/>
    </row>
    <row r="65" customFormat="1" ht="16.8" spans="1:192">
      <c r="A65" s="5"/>
      <c r="B65" s="5"/>
      <c r="C65" s="5"/>
      <c r="D65" s="61"/>
      <c r="E65" s="61"/>
      <c r="F65" s="62"/>
      <c r="G65" s="5"/>
      <c r="H65" s="5"/>
      <c r="I65" s="5"/>
      <c r="J65" s="5"/>
      <c r="K65" s="61"/>
      <c r="L65" s="67"/>
      <c r="M65" s="61"/>
      <c r="N65" s="61"/>
      <c r="O65" s="61"/>
      <c r="P65" s="61"/>
      <c r="Q65" s="61"/>
      <c r="R65" s="61"/>
      <c r="S65" s="61"/>
      <c r="T65" s="61"/>
      <c r="U65" s="61"/>
      <c r="V65" s="6"/>
      <c r="W65" s="7"/>
      <c r="X65" s="5"/>
      <c r="Y65" s="5"/>
      <c r="Z65" s="5"/>
      <c r="AA65" s="5"/>
      <c r="AB65" s="69"/>
      <c r="AC65" s="61"/>
      <c r="AD65" s="5"/>
      <c r="AE65" s="5"/>
      <c r="AF65" s="75"/>
      <c r="AG65" s="75"/>
      <c r="AH65" s="70"/>
      <c r="AI65" s="75"/>
      <c r="AJ65" s="75"/>
      <c r="AK65" s="75"/>
      <c r="AL65" s="61"/>
      <c r="AM65" s="61"/>
      <c r="AN65" s="61"/>
      <c r="AO65" s="61"/>
      <c r="AP65" s="61"/>
      <c r="AQ65" s="61"/>
      <c r="AR65" s="61"/>
      <c r="AS65" s="61"/>
      <c r="AT65" s="61"/>
      <c r="AU65" s="5"/>
      <c r="AV65" s="71"/>
      <c r="AW65" s="5"/>
      <c r="AX65" s="5"/>
      <c r="AY65" s="5"/>
      <c r="AZ65" s="69"/>
      <c r="BA65" s="69"/>
      <c r="BB65" s="69"/>
      <c r="BC65" s="5"/>
      <c r="BD65" s="61"/>
      <c r="BE65" s="61"/>
      <c r="BF65" s="63"/>
      <c r="BG65" s="67"/>
      <c r="BH65" s="67"/>
      <c r="BI65" s="67"/>
      <c r="BJ65" s="67"/>
      <c r="BK65" s="67"/>
      <c r="BL65" s="5"/>
      <c r="BM65" s="5"/>
      <c r="BN65" s="5"/>
      <c r="BO65" s="5"/>
      <c r="BP65" s="5"/>
      <c r="BQ65" s="5"/>
      <c r="BR65" s="5"/>
      <c r="BS65" s="5"/>
      <c r="BT65" s="61"/>
      <c r="BU65" s="61"/>
      <c r="BV65" s="61"/>
      <c r="BW65" s="61"/>
      <c r="BX65" s="61"/>
      <c r="BY65" s="61"/>
      <c r="BZ65" s="61"/>
      <c r="CA65" s="61"/>
      <c r="CB65" s="61"/>
      <c r="CC65" s="61"/>
      <c r="CD65" s="61"/>
      <c r="CE65" s="5"/>
      <c r="CF65" s="61"/>
      <c r="CG65" s="5"/>
      <c r="CH65" s="61"/>
      <c r="CI65" s="61"/>
      <c r="CJ65" s="61"/>
      <c r="CK65" s="61"/>
      <c r="CL65" s="61"/>
      <c r="CM65" s="69"/>
      <c r="CN65" s="5"/>
      <c r="CO65" s="61"/>
      <c r="CP65" s="61"/>
      <c r="CQ65" s="73"/>
      <c r="CR65" s="73"/>
      <c r="CS65" s="73"/>
      <c r="CT65" s="5"/>
      <c r="CU65" s="73"/>
      <c r="CV65" s="5"/>
      <c r="CW65" s="5"/>
      <c r="CX65" s="5"/>
      <c r="CY65" s="5"/>
      <c r="CZ65" s="5"/>
      <c r="DA65" s="5"/>
      <c r="DB65" s="5"/>
      <c r="DC65" s="61"/>
      <c r="DD65" s="61"/>
      <c r="DE65" s="61"/>
      <c r="DF65" s="61"/>
      <c r="DG65" s="61"/>
      <c r="DH65" s="61"/>
      <c r="DI65" s="61"/>
      <c r="DJ65" s="61"/>
      <c r="DK65" s="61"/>
      <c r="DL65" s="61"/>
      <c r="DM65" s="61"/>
      <c r="DN65" s="61"/>
      <c r="DO65" s="61"/>
      <c r="DP65" s="61"/>
      <c r="DQ65" s="61"/>
      <c r="DR65" s="61"/>
      <c r="DS65" s="61"/>
      <c r="DT65" s="61"/>
      <c r="DU65" s="61"/>
      <c r="DV65" s="61"/>
      <c r="DW65" s="61"/>
      <c r="DX65" s="61"/>
      <c r="DY65" s="61"/>
      <c r="DZ65" s="61"/>
      <c r="EA65" s="61"/>
      <c r="EB65" s="61"/>
      <c r="EC65" s="61"/>
      <c r="ED65" s="74"/>
      <c r="EE65" s="6"/>
      <c r="EF65" s="5"/>
      <c r="EG65" s="5"/>
      <c r="EH65" s="5"/>
      <c r="EI65" s="61"/>
      <c r="EJ65" s="61"/>
      <c r="EK65" s="61"/>
      <c r="EL65" s="61"/>
      <c r="EM65" s="61"/>
      <c r="EN65" s="61"/>
      <c r="EO65" s="61"/>
      <c r="EP65" s="6"/>
      <c r="EQ65" s="9"/>
      <c r="ER65" s="9"/>
      <c r="ES65" s="61"/>
      <c r="ET65" s="61"/>
      <c r="EU65" s="61"/>
      <c r="EV65" s="61"/>
      <c r="EW65" s="61"/>
      <c r="EX65" s="61"/>
      <c r="EY65" s="61"/>
      <c r="EZ65" s="61"/>
      <c r="FA65" s="61"/>
      <c r="FB65" s="61"/>
      <c r="FC65" s="61"/>
      <c r="FD65" s="61"/>
      <c r="FE65" s="61"/>
      <c r="FF65" s="61"/>
      <c r="FG65" s="61"/>
      <c r="FH65" s="61"/>
      <c r="FI65" s="61"/>
      <c r="FJ65" s="61"/>
      <c r="FK65" s="61"/>
      <c r="FL65" s="5"/>
      <c r="FM65" s="61"/>
      <c r="FN65" s="61"/>
      <c r="FO65" s="61"/>
      <c r="FP65" s="61"/>
      <c r="FQ65" s="61"/>
      <c r="FR65" s="61"/>
      <c r="FS65" s="61"/>
      <c r="FT65" s="61"/>
      <c r="FU65" s="61"/>
      <c r="FV65" s="61"/>
      <c r="FW65" s="61"/>
      <c r="FX65" s="61"/>
      <c r="FY65" s="61"/>
      <c r="FZ65" s="61"/>
      <c r="GA65" s="61"/>
      <c r="GB65" s="61"/>
      <c r="GC65" s="61"/>
      <c r="GD65" s="61"/>
      <c r="GE65" s="61"/>
      <c r="GF65" s="61"/>
      <c r="GG65" s="61"/>
      <c r="GH65" s="61"/>
      <c r="GI65" s="61"/>
      <c r="GJ65" s="61"/>
    </row>
    <row r="66" customFormat="1" ht="16.8" spans="1:192">
      <c r="A66" s="5"/>
      <c r="B66" s="5"/>
      <c r="C66" s="5"/>
      <c r="D66" s="61"/>
      <c r="E66" s="61"/>
      <c r="F66" s="62"/>
      <c r="G66" s="5"/>
      <c r="H66" s="5"/>
      <c r="I66" s="5"/>
      <c r="J66" s="5"/>
      <c r="K66" s="61"/>
      <c r="L66" s="67"/>
      <c r="M66" s="61"/>
      <c r="N66" s="61"/>
      <c r="O66" s="61"/>
      <c r="P66" s="61"/>
      <c r="Q66" s="61"/>
      <c r="R66" s="61"/>
      <c r="S66" s="61"/>
      <c r="T66" s="61"/>
      <c r="U66" s="61"/>
      <c r="V66" s="6"/>
      <c r="W66" s="7"/>
      <c r="X66" s="5"/>
      <c r="Y66" s="5"/>
      <c r="Z66" s="5"/>
      <c r="AA66" s="5"/>
      <c r="AB66" s="69"/>
      <c r="AC66" s="61"/>
      <c r="AD66" s="5"/>
      <c r="AE66" s="5"/>
      <c r="AF66" s="75"/>
      <c r="AG66" s="75"/>
      <c r="AH66" s="70"/>
      <c r="AI66" s="75"/>
      <c r="AJ66" s="75"/>
      <c r="AK66" s="75"/>
      <c r="AL66" s="61"/>
      <c r="AM66" s="61"/>
      <c r="AN66" s="61"/>
      <c r="AO66" s="61"/>
      <c r="AP66" s="61"/>
      <c r="AQ66" s="61"/>
      <c r="AR66" s="61"/>
      <c r="AS66" s="61"/>
      <c r="AT66" s="61"/>
      <c r="AU66" s="5"/>
      <c r="AV66" s="71"/>
      <c r="AW66" s="5"/>
      <c r="AX66" s="5"/>
      <c r="AY66" s="5"/>
      <c r="AZ66" s="69"/>
      <c r="BA66" s="69"/>
      <c r="BB66" s="69"/>
      <c r="BC66" s="5"/>
      <c r="BD66" s="61"/>
      <c r="BE66" s="61"/>
      <c r="BF66" s="63"/>
      <c r="BG66" s="67"/>
      <c r="BH66" s="67"/>
      <c r="BI66" s="67"/>
      <c r="BJ66" s="67"/>
      <c r="BK66" s="67"/>
      <c r="BL66" s="5"/>
      <c r="BM66" s="5"/>
      <c r="BN66" s="5"/>
      <c r="BO66" s="5"/>
      <c r="BP66" s="5"/>
      <c r="BQ66" s="5"/>
      <c r="BR66" s="5"/>
      <c r="BS66" s="5"/>
      <c r="BT66" s="61"/>
      <c r="BU66" s="61"/>
      <c r="BV66" s="61"/>
      <c r="BW66" s="61"/>
      <c r="BX66" s="61"/>
      <c r="BY66" s="61"/>
      <c r="BZ66" s="61"/>
      <c r="CA66" s="61"/>
      <c r="CB66" s="61"/>
      <c r="CC66" s="61"/>
      <c r="CD66" s="61"/>
      <c r="CE66" s="5"/>
      <c r="CF66" s="61"/>
      <c r="CG66" s="5"/>
      <c r="CH66" s="61"/>
      <c r="CI66" s="61"/>
      <c r="CJ66" s="61"/>
      <c r="CK66" s="61"/>
      <c r="CL66" s="61"/>
      <c r="CM66" s="69"/>
      <c r="CN66" s="5"/>
      <c r="CO66" s="61"/>
      <c r="CP66" s="61"/>
      <c r="CQ66" s="73"/>
      <c r="CR66" s="73"/>
      <c r="CS66" s="73"/>
      <c r="CT66" s="5"/>
      <c r="CU66" s="73"/>
      <c r="CV66" s="5"/>
      <c r="CW66" s="5"/>
      <c r="CX66" s="5"/>
      <c r="CY66" s="5"/>
      <c r="CZ66" s="5"/>
      <c r="DA66" s="5"/>
      <c r="DB66" s="5"/>
      <c r="DC66" s="61"/>
      <c r="DD66" s="61"/>
      <c r="DE66" s="61"/>
      <c r="DF66" s="61"/>
      <c r="DG66" s="61"/>
      <c r="DH66" s="61"/>
      <c r="DI66" s="61"/>
      <c r="DJ66" s="61"/>
      <c r="DK66" s="61"/>
      <c r="DL66" s="61"/>
      <c r="DM66" s="61"/>
      <c r="DN66" s="61"/>
      <c r="DO66" s="61"/>
      <c r="DP66" s="61"/>
      <c r="DQ66" s="61"/>
      <c r="DR66" s="61"/>
      <c r="DS66" s="61"/>
      <c r="DT66" s="61"/>
      <c r="DU66" s="61"/>
      <c r="DV66" s="61"/>
      <c r="DW66" s="61"/>
      <c r="DX66" s="61"/>
      <c r="DY66" s="61"/>
      <c r="DZ66" s="61"/>
      <c r="EA66" s="61"/>
      <c r="EB66" s="61"/>
      <c r="EC66" s="61"/>
      <c r="ED66" s="74"/>
      <c r="EE66" s="6"/>
      <c r="EF66" s="5"/>
      <c r="EG66" s="5"/>
      <c r="EH66" s="5"/>
      <c r="EI66" s="61"/>
      <c r="EJ66" s="61"/>
      <c r="EK66" s="61"/>
      <c r="EL66" s="61"/>
      <c r="EM66" s="61"/>
      <c r="EN66" s="61"/>
      <c r="EO66" s="61"/>
      <c r="EP66" s="6"/>
      <c r="EQ66" s="9"/>
      <c r="ER66" s="9"/>
      <c r="ES66" s="61"/>
      <c r="ET66" s="61"/>
      <c r="EU66" s="61"/>
      <c r="EV66" s="61"/>
      <c r="EW66" s="61"/>
      <c r="EX66" s="61"/>
      <c r="EY66" s="61"/>
      <c r="EZ66" s="61"/>
      <c r="FA66" s="61"/>
      <c r="FB66" s="61"/>
      <c r="FC66" s="61"/>
      <c r="FD66" s="61"/>
      <c r="FE66" s="61"/>
      <c r="FF66" s="61"/>
      <c r="FG66" s="61"/>
      <c r="FH66" s="61"/>
      <c r="FI66" s="61"/>
      <c r="FJ66" s="61"/>
      <c r="FK66" s="61"/>
      <c r="FL66" s="5"/>
      <c r="FM66" s="61"/>
      <c r="FN66" s="61"/>
      <c r="FO66" s="61"/>
      <c r="FP66" s="61"/>
      <c r="FQ66" s="61"/>
      <c r="FR66" s="61"/>
      <c r="FS66" s="61"/>
      <c r="FT66" s="61"/>
      <c r="FU66" s="61"/>
      <c r="FV66" s="61"/>
      <c r="FW66" s="61"/>
      <c r="FX66" s="61"/>
      <c r="FY66" s="61"/>
      <c r="FZ66" s="61"/>
      <c r="GA66" s="61"/>
      <c r="GB66" s="61"/>
      <c r="GC66" s="61"/>
      <c r="GD66" s="61"/>
      <c r="GE66" s="61"/>
      <c r="GF66" s="61"/>
      <c r="GG66" s="61"/>
      <c r="GH66" s="61"/>
      <c r="GI66" s="61"/>
      <c r="GJ66" s="61"/>
    </row>
    <row r="67" customFormat="1" ht="16.8" spans="1:192">
      <c r="A67" s="5"/>
      <c r="B67" s="5"/>
      <c r="C67" s="5"/>
      <c r="D67" s="61"/>
      <c r="E67" s="61"/>
      <c r="F67" s="62"/>
      <c r="G67" s="5"/>
      <c r="H67" s="5"/>
      <c r="I67" s="5"/>
      <c r="J67" s="5"/>
      <c r="K67" s="61"/>
      <c r="L67" s="67"/>
      <c r="M67" s="61"/>
      <c r="N67" s="61"/>
      <c r="O67" s="61"/>
      <c r="P67" s="61"/>
      <c r="Q67" s="61"/>
      <c r="R67" s="61"/>
      <c r="S67" s="61"/>
      <c r="T67" s="61"/>
      <c r="U67" s="61"/>
      <c r="V67" s="6"/>
      <c r="W67" s="7"/>
      <c r="X67" s="5"/>
      <c r="Y67" s="5"/>
      <c r="Z67" s="5"/>
      <c r="AA67" s="5"/>
      <c r="AB67" s="69"/>
      <c r="AC67" s="61"/>
      <c r="AD67" s="5"/>
      <c r="AE67" s="5"/>
      <c r="AF67" s="75"/>
      <c r="AG67" s="75"/>
      <c r="AH67" s="70"/>
      <c r="AI67" s="75"/>
      <c r="AJ67" s="75"/>
      <c r="AK67" s="75"/>
      <c r="AL67" s="61"/>
      <c r="AM67" s="61"/>
      <c r="AN67" s="61"/>
      <c r="AO67" s="61"/>
      <c r="AP67" s="61"/>
      <c r="AQ67" s="61"/>
      <c r="AR67" s="61"/>
      <c r="AS67" s="61"/>
      <c r="AT67" s="61"/>
      <c r="AU67" s="5"/>
      <c r="AV67" s="71"/>
      <c r="AW67" s="5"/>
      <c r="AX67" s="5"/>
      <c r="AY67" s="5"/>
      <c r="AZ67" s="69"/>
      <c r="BA67" s="69"/>
      <c r="BB67" s="69"/>
      <c r="BC67" s="5"/>
      <c r="BD67" s="61"/>
      <c r="BE67" s="61"/>
      <c r="BF67" s="63"/>
      <c r="BG67" s="67"/>
      <c r="BH67" s="67"/>
      <c r="BI67" s="67"/>
      <c r="BJ67" s="67"/>
      <c r="BK67" s="67"/>
      <c r="BL67" s="5"/>
      <c r="BM67" s="5"/>
      <c r="BN67" s="5"/>
      <c r="BO67" s="5"/>
      <c r="BP67" s="5"/>
      <c r="BQ67" s="5"/>
      <c r="BR67" s="5"/>
      <c r="BS67" s="5"/>
      <c r="BT67" s="61"/>
      <c r="BU67" s="61"/>
      <c r="BV67" s="61"/>
      <c r="BW67" s="61"/>
      <c r="BX67" s="61"/>
      <c r="BY67" s="61"/>
      <c r="BZ67" s="61"/>
      <c r="CA67" s="61"/>
      <c r="CB67" s="61"/>
      <c r="CC67" s="61"/>
      <c r="CD67" s="61"/>
      <c r="CE67" s="5"/>
      <c r="CF67" s="61"/>
      <c r="CG67" s="5"/>
      <c r="CH67" s="61"/>
      <c r="CI67" s="61"/>
      <c r="CJ67" s="61"/>
      <c r="CK67" s="61"/>
      <c r="CL67" s="61"/>
      <c r="CM67" s="69"/>
      <c r="CN67" s="5"/>
      <c r="CO67" s="61"/>
      <c r="CP67" s="61"/>
      <c r="CQ67" s="73"/>
      <c r="CR67" s="73"/>
      <c r="CS67" s="73"/>
      <c r="CT67" s="5"/>
      <c r="CU67" s="73"/>
      <c r="CV67" s="5"/>
      <c r="CW67" s="5"/>
      <c r="CX67" s="5"/>
      <c r="CY67" s="5"/>
      <c r="CZ67" s="5"/>
      <c r="DA67" s="5"/>
      <c r="DB67" s="5"/>
      <c r="DC67" s="61"/>
      <c r="DD67" s="61"/>
      <c r="DE67" s="61"/>
      <c r="DF67" s="61"/>
      <c r="DG67" s="61"/>
      <c r="DH67" s="61"/>
      <c r="DI67" s="61"/>
      <c r="DJ67" s="61"/>
      <c r="DK67" s="61"/>
      <c r="DL67" s="61"/>
      <c r="DM67" s="61"/>
      <c r="DN67" s="61"/>
      <c r="DO67" s="61"/>
      <c r="DP67" s="61"/>
      <c r="DQ67" s="61"/>
      <c r="DR67" s="61"/>
      <c r="DS67" s="61"/>
      <c r="DT67" s="61"/>
      <c r="DU67" s="61"/>
      <c r="DV67" s="61"/>
      <c r="DW67" s="61"/>
      <c r="DX67" s="61"/>
      <c r="DY67" s="61"/>
      <c r="DZ67" s="61"/>
      <c r="EA67" s="61"/>
      <c r="EB67" s="61"/>
      <c r="EC67" s="61"/>
      <c r="ED67" s="74"/>
      <c r="EE67" s="6"/>
      <c r="EF67" s="5"/>
      <c r="EG67" s="5"/>
      <c r="EH67" s="5"/>
      <c r="EI67" s="61"/>
      <c r="EJ67" s="61"/>
      <c r="EK67" s="61"/>
      <c r="EL67" s="61"/>
      <c r="EM67" s="61"/>
      <c r="EN67" s="61"/>
      <c r="EO67" s="61"/>
      <c r="EP67" s="6"/>
      <c r="EQ67" s="9"/>
      <c r="ER67" s="9"/>
      <c r="ES67" s="61"/>
      <c r="ET67" s="61"/>
      <c r="EU67" s="61"/>
      <c r="EV67" s="61"/>
      <c r="EW67" s="61"/>
      <c r="EX67" s="61"/>
      <c r="EY67" s="61"/>
      <c r="EZ67" s="61"/>
      <c r="FA67" s="61"/>
      <c r="FB67" s="61"/>
      <c r="FC67" s="61"/>
      <c r="FD67" s="61"/>
      <c r="FE67" s="61"/>
      <c r="FF67" s="61"/>
      <c r="FG67" s="61"/>
      <c r="FH67" s="61"/>
      <c r="FI67" s="61"/>
      <c r="FJ67" s="61"/>
      <c r="FK67" s="61"/>
      <c r="FL67" s="5"/>
      <c r="FM67" s="61"/>
      <c r="FN67" s="61"/>
      <c r="FO67" s="61"/>
      <c r="FP67" s="61"/>
      <c r="FQ67" s="61"/>
      <c r="FR67" s="61"/>
      <c r="FS67" s="61"/>
      <c r="FT67" s="61"/>
      <c r="FU67" s="61"/>
      <c r="FV67" s="61"/>
      <c r="FW67" s="61"/>
      <c r="FX67" s="61"/>
      <c r="FY67" s="61"/>
      <c r="FZ67" s="61"/>
      <c r="GA67" s="61"/>
      <c r="GB67" s="61"/>
      <c r="GC67" s="61"/>
      <c r="GD67" s="61"/>
      <c r="GE67" s="61"/>
      <c r="GF67" s="61"/>
      <c r="GG67" s="61"/>
      <c r="GH67" s="61"/>
      <c r="GI67" s="61"/>
      <c r="GJ67" s="61"/>
    </row>
    <row r="68" customFormat="1" ht="16.8" spans="1:192">
      <c r="A68" s="5"/>
      <c r="B68" s="5"/>
      <c r="C68" s="5"/>
      <c r="D68" s="61"/>
      <c r="E68" s="61"/>
      <c r="F68" s="62"/>
      <c r="G68" s="5"/>
      <c r="H68" s="5"/>
      <c r="I68" s="5"/>
      <c r="J68" s="5"/>
      <c r="K68" s="61"/>
      <c r="L68" s="67"/>
      <c r="M68" s="61"/>
      <c r="N68" s="61"/>
      <c r="O68" s="61"/>
      <c r="P68" s="61"/>
      <c r="Q68" s="61"/>
      <c r="R68" s="61"/>
      <c r="S68" s="61"/>
      <c r="T68" s="61"/>
      <c r="U68" s="61"/>
      <c r="V68" s="6"/>
      <c r="W68" s="7"/>
      <c r="X68" s="5"/>
      <c r="Y68" s="5"/>
      <c r="Z68" s="5"/>
      <c r="AA68" s="5"/>
      <c r="AB68" s="69"/>
      <c r="AC68" s="61"/>
      <c r="AD68" s="5"/>
      <c r="AE68" s="5"/>
      <c r="AF68" s="75"/>
      <c r="AG68" s="75"/>
      <c r="AH68" s="70"/>
      <c r="AI68" s="75"/>
      <c r="AJ68" s="75"/>
      <c r="AK68" s="75"/>
      <c r="AL68" s="61"/>
      <c r="AM68" s="61"/>
      <c r="AN68" s="61"/>
      <c r="AO68" s="61"/>
      <c r="AP68" s="61"/>
      <c r="AQ68" s="61"/>
      <c r="AR68" s="61"/>
      <c r="AS68" s="61"/>
      <c r="AT68" s="61"/>
      <c r="AU68" s="5"/>
      <c r="AV68" s="71"/>
      <c r="AW68" s="5"/>
      <c r="AX68" s="5"/>
      <c r="AY68" s="5"/>
      <c r="AZ68" s="69"/>
      <c r="BA68" s="69"/>
      <c r="BB68" s="69"/>
      <c r="BC68" s="5"/>
      <c r="BD68" s="61"/>
      <c r="BE68" s="61"/>
      <c r="BF68" s="63"/>
      <c r="BG68" s="67"/>
      <c r="BH68" s="67"/>
      <c r="BI68" s="67"/>
      <c r="BJ68" s="67"/>
      <c r="BK68" s="67"/>
      <c r="BL68" s="5"/>
      <c r="BM68" s="5"/>
      <c r="BN68" s="5"/>
      <c r="BO68" s="5"/>
      <c r="BP68" s="5"/>
      <c r="BQ68" s="5"/>
      <c r="BR68" s="5"/>
      <c r="BS68" s="5"/>
      <c r="BT68" s="61"/>
      <c r="BU68" s="61"/>
      <c r="BV68" s="61"/>
      <c r="BW68" s="61"/>
      <c r="BX68" s="61"/>
      <c r="BY68" s="61"/>
      <c r="BZ68" s="61"/>
      <c r="CA68" s="61"/>
      <c r="CB68" s="61"/>
      <c r="CC68" s="61"/>
      <c r="CD68" s="61"/>
      <c r="CE68" s="5"/>
      <c r="CF68" s="61"/>
      <c r="CG68" s="5"/>
      <c r="CH68" s="61"/>
      <c r="CI68" s="61"/>
      <c r="CJ68" s="61"/>
      <c r="CK68" s="61"/>
      <c r="CL68" s="61"/>
      <c r="CM68" s="69"/>
      <c r="CN68" s="5"/>
      <c r="CO68" s="61"/>
      <c r="CP68" s="61"/>
      <c r="CQ68" s="73"/>
      <c r="CR68" s="73"/>
      <c r="CS68" s="73"/>
      <c r="CT68" s="5"/>
      <c r="CU68" s="73"/>
      <c r="CV68" s="5"/>
      <c r="CW68" s="5"/>
      <c r="CX68" s="5"/>
      <c r="CY68" s="5"/>
      <c r="CZ68" s="5"/>
      <c r="DA68" s="5"/>
      <c r="DB68" s="5"/>
      <c r="DC68" s="61"/>
      <c r="DD68" s="61"/>
      <c r="DE68" s="61"/>
      <c r="DF68" s="61"/>
      <c r="DG68" s="61"/>
      <c r="DH68" s="61"/>
      <c r="DI68" s="61"/>
      <c r="DJ68" s="61"/>
      <c r="DK68" s="61"/>
      <c r="DL68" s="61"/>
      <c r="DM68" s="61"/>
      <c r="DN68" s="61"/>
      <c r="DO68" s="61"/>
      <c r="DP68" s="61"/>
      <c r="DQ68" s="61"/>
      <c r="DR68" s="61"/>
      <c r="DS68" s="61"/>
      <c r="DT68" s="61"/>
      <c r="DU68" s="61"/>
      <c r="DV68" s="61"/>
      <c r="DW68" s="61"/>
      <c r="DX68" s="61"/>
      <c r="DY68" s="61"/>
      <c r="DZ68" s="61"/>
      <c r="EA68" s="61"/>
      <c r="EB68" s="61"/>
      <c r="EC68" s="61"/>
      <c r="ED68" s="74"/>
      <c r="EE68" s="6"/>
      <c r="EF68" s="5"/>
      <c r="EG68" s="5"/>
      <c r="EH68" s="5"/>
      <c r="EI68" s="61"/>
      <c r="EJ68" s="61"/>
      <c r="EK68" s="61"/>
      <c r="EL68" s="61"/>
      <c r="EM68" s="61"/>
      <c r="EN68" s="61"/>
      <c r="EO68" s="61"/>
      <c r="EP68" s="6"/>
      <c r="EQ68" s="9"/>
      <c r="ER68" s="9"/>
      <c r="ES68" s="61"/>
      <c r="ET68" s="61"/>
      <c r="EU68" s="61"/>
      <c r="EV68" s="61"/>
      <c r="EW68" s="61"/>
      <c r="EX68" s="61"/>
      <c r="EY68" s="61"/>
      <c r="EZ68" s="61"/>
      <c r="FA68" s="61"/>
      <c r="FB68" s="61"/>
      <c r="FC68" s="61"/>
      <c r="FD68" s="61"/>
      <c r="FE68" s="61"/>
      <c r="FF68" s="61"/>
      <c r="FG68" s="61"/>
      <c r="FH68" s="61"/>
      <c r="FI68" s="61"/>
      <c r="FJ68" s="61"/>
      <c r="FK68" s="61"/>
      <c r="FL68" s="5"/>
      <c r="FM68" s="61"/>
      <c r="FN68" s="61"/>
      <c r="FO68" s="61"/>
      <c r="FP68" s="61"/>
      <c r="FQ68" s="61"/>
      <c r="FR68" s="61"/>
      <c r="FS68" s="61"/>
      <c r="FT68" s="61"/>
      <c r="FU68" s="61"/>
      <c r="FV68" s="61"/>
      <c r="FW68" s="61"/>
      <c r="FX68" s="61"/>
      <c r="FY68" s="61"/>
      <c r="FZ68" s="61"/>
      <c r="GA68" s="61"/>
      <c r="GB68" s="61"/>
      <c r="GC68" s="61"/>
      <c r="GD68" s="61"/>
      <c r="GE68" s="61"/>
      <c r="GF68" s="61"/>
      <c r="GG68" s="61"/>
      <c r="GH68" s="61"/>
      <c r="GI68" s="61"/>
      <c r="GJ68" s="61"/>
    </row>
    <row r="69" customFormat="1" ht="16.8" spans="1:192">
      <c r="A69" s="5"/>
      <c r="B69" s="5"/>
      <c r="C69" s="5"/>
      <c r="D69" s="61"/>
      <c r="E69" s="61"/>
      <c r="F69" s="62"/>
      <c r="G69" s="5"/>
      <c r="H69" s="5"/>
      <c r="I69" s="5"/>
      <c r="J69" s="5"/>
      <c r="K69" s="61"/>
      <c r="L69" s="67"/>
      <c r="M69" s="61"/>
      <c r="N69" s="61"/>
      <c r="O69" s="61"/>
      <c r="P69" s="61"/>
      <c r="Q69" s="61"/>
      <c r="R69" s="61"/>
      <c r="S69" s="61"/>
      <c r="T69" s="61"/>
      <c r="U69" s="61"/>
      <c r="V69" s="6"/>
      <c r="W69" s="7"/>
      <c r="X69" s="5"/>
      <c r="Y69" s="5"/>
      <c r="Z69" s="5"/>
      <c r="AA69" s="5"/>
      <c r="AB69" s="69"/>
      <c r="AC69" s="61"/>
      <c r="AD69" s="5"/>
      <c r="AE69" s="5"/>
      <c r="AF69" s="75"/>
      <c r="AG69" s="75"/>
      <c r="AH69" s="70"/>
      <c r="AI69" s="75"/>
      <c r="AJ69" s="75"/>
      <c r="AK69" s="75"/>
      <c r="AL69" s="61"/>
      <c r="AM69" s="61"/>
      <c r="AN69" s="61"/>
      <c r="AO69" s="61"/>
      <c r="AP69" s="61"/>
      <c r="AQ69" s="61"/>
      <c r="AR69" s="61"/>
      <c r="AS69" s="61"/>
      <c r="AT69" s="61"/>
      <c r="AU69" s="5"/>
      <c r="AV69" s="71"/>
      <c r="AW69" s="5"/>
      <c r="AX69" s="5"/>
      <c r="AY69" s="5"/>
      <c r="AZ69" s="69"/>
      <c r="BA69" s="69"/>
      <c r="BB69" s="69"/>
      <c r="BC69" s="5"/>
      <c r="BD69" s="61"/>
      <c r="BE69" s="61"/>
      <c r="BF69" s="63"/>
      <c r="BG69" s="67"/>
      <c r="BH69" s="67"/>
      <c r="BI69" s="67"/>
      <c r="BJ69" s="67"/>
      <c r="BK69" s="67"/>
      <c r="BL69" s="5"/>
      <c r="BM69" s="5"/>
      <c r="BN69" s="5"/>
      <c r="BO69" s="5"/>
      <c r="BP69" s="5"/>
      <c r="BQ69" s="5"/>
      <c r="BR69" s="5"/>
      <c r="BS69" s="5"/>
      <c r="BT69" s="61"/>
      <c r="BU69" s="61"/>
      <c r="BV69" s="61"/>
      <c r="BW69" s="61"/>
      <c r="BX69" s="61"/>
      <c r="BY69" s="61"/>
      <c r="BZ69" s="61"/>
      <c r="CA69" s="61"/>
      <c r="CB69" s="61"/>
      <c r="CC69" s="61"/>
      <c r="CD69" s="61"/>
      <c r="CE69" s="5"/>
      <c r="CF69" s="61"/>
      <c r="CG69" s="5"/>
      <c r="CH69" s="61"/>
      <c r="CI69" s="61"/>
      <c r="CJ69" s="61"/>
      <c r="CK69" s="61"/>
      <c r="CL69" s="61"/>
      <c r="CM69" s="69"/>
      <c r="CN69" s="5"/>
      <c r="CO69" s="61"/>
      <c r="CP69" s="61"/>
      <c r="CQ69" s="73"/>
      <c r="CR69" s="73"/>
      <c r="CS69" s="73"/>
      <c r="CT69" s="5"/>
      <c r="CU69" s="73"/>
      <c r="CV69" s="5"/>
      <c r="CW69" s="5"/>
      <c r="CX69" s="5"/>
      <c r="CY69" s="5"/>
      <c r="CZ69" s="5"/>
      <c r="DA69" s="5"/>
      <c r="DB69" s="5"/>
      <c r="DC69" s="61"/>
      <c r="DD69" s="61"/>
      <c r="DE69" s="61"/>
      <c r="DF69" s="61"/>
      <c r="DG69" s="61"/>
      <c r="DH69" s="61"/>
      <c r="DI69" s="61"/>
      <c r="DJ69" s="61"/>
      <c r="DK69" s="61"/>
      <c r="DL69" s="61"/>
      <c r="DM69" s="61"/>
      <c r="DN69" s="61"/>
      <c r="DO69" s="61"/>
      <c r="DP69" s="61"/>
      <c r="DQ69" s="61"/>
      <c r="DR69" s="61"/>
      <c r="DS69" s="61"/>
      <c r="DT69" s="61"/>
      <c r="DU69" s="61"/>
      <c r="DV69" s="61"/>
      <c r="DW69" s="61"/>
      <c r="DX69" s="61"/>
      <c r="DY69" s="61"/>
      <c r="DZ69" s="61"/>
      <c r="EA69" s="61"/>
      <c r="EB69" s="61"/>
      <c r="EC69" s="61"/>
      <c r="ED69" s="74"/>
      <c r="EE69" s="6"/>
      <c r="EF69" s="5"/>
      <c r="EG69" s="5"/>
      <c r="EH69" s="5"/>
      <c r="EI69" s="61"/>
      <c r="EJ69" s="61"/>
      <c r="EK69" s="61"/>
      <c r="EL69" s="61"/>
      <c r="EM69" s="61"/>
      <c r="EN69" s="61"/>
      <c r="EO69" s="61"/>
      <c r="EP69" s="6"/>
      <c r="EQ69" s="9"/>
      <c r="ER69" s="9"/>
      <c r="ES69" s="61"/>
      <c r="ET69" s="61"/>
      <c r="EU69" s="61"/>
      <c r="EV69" s="61"/>
      <c r="EW69" s="61"/>
      <c r="EX69" s="61"/>
      <c r="EY69" s="61"/>
      <c r="EZ69" s="61"/>
      <c r="FA69" s="61"/>
      <c r="FB69" s="61"/>
      <c r="FC69" s="61"/>
      <c r="FD69" s="61"/>
      <c r="FE69" s="61"/>
      <c r="FF69" s="61"/>
      <c r="FG69" s="61"/>
      <c r="FH69" s="61"/>
      <c r="FI69" s="61"/>
      <c r="FJ69" s="61"/>
      <c r="FK69" s="61"/>
      <c r="FL69" s="5"/>
      <c r="FM69" s="61"/>
      <c r="FN69" s="61"/>
      <c r="FO69" s="61"/>
      <c r="FP69" s="61"/>
      <c r="FQ69" s="61"/>
      <c r="FR69" s="61"/>
      <c r="FS69" s="61"/>
      <c r="FT69" s="61"/>
      <c r="FU69" s="61"/>
      <c r="FV69" s="61"/>
      <c r="FW69" s="61"/>
      <c r="FX69" s="61"/>
      <c r="FY69" s="61"/>
      <c r="FZ69" s="61"/>
      <c r="GA69" s="61"/>
      <c r="GB69" s="61"/>
      <c r="GC69" s="61"/>
      <c r="GD69" s="61"/>
      <c r="GE69" s="61"/>
      <c r="GF69" s="61"/>
      <c r="GG69" s="61"/>
      <c r="GH69" s="61"/>
      <c r="GI69" s="61"/>
      <c r="GJ69" s="61"/>
    </row>
    <row r="70" customFormat="1" ht="16.8" spans="1:192">
      <c r="A70" s="5"/>
      <c r="B70" s="5"/>
      <c r="C70" s="5"/>
      <c r="D70" s="61"/>
      <c r="E70" s="61"/>
      <c r="F70" s="62"/>
      <c r="G70" s="5"/>
      <c r="H70" s="5"/>
      <c r="I70" s="5"/>
      <c r="J70" s="5"/>
      <c r="K70" s="61"/>
      <c r="L70" s="67"/>
      <c r="M70" s="61"/>
      <c r="N70" s="61"/>
      <c r="O70" s="61"/>
      <c r="P70" s="61"/>
      <c r="Q70" s="61"/>
      <c r="R70" s="61"/>
      <c r="S70" s="61"/>
      <c r="T70" s="61"/>
      <c r="U70" s="61"/>
      <c r="V70" s="6"/>
      <c r="W70" s="7"/>
      <c r="X70" s="5"/>
      <c r="Y70" s="5"/>
      <c r="Z70" s="5"/>
      <c r="AA70" s="5"/>
      <c r="AB70" s="69"/>
      <c r="AC70" s="61"/>
      <c r="AD70" s="5"/>
      <c r="AE70" s="5"/>
      <c r="AF70" s="75"/>
      <c r="AG70" s="75"/>
      <c r="AH70" s="70"/>
      <c r="AI70" s="75"/>
      <c r="AJ70" s="75"/>
      <c r="AK70" s="75"/>
      <c r="AL70" s="61"/>
      <c r="AM70" s="61"/>
      <c r="AN70" s="61"/>
      <c r="AO70" s="61"/>
      <c r="AP70" s="61"/>
      <c r="AQ70" s="61"/>
      <c r="AR70" s="61"/>
      <c r="AS70" s="61"/>
      <c r="AT70" s="61"/>
      <c r="AU70" s="5"/>
      <c r="AV70" s="71"/>
      <c r="AW70" s="5"/>
      <c r="AX70" s="5"/>
      <c r="AY70" s="5"/>
      <c r="AZ70" s="69"/>
      <c r="BA70" s="69"/>
      <c r="BB70" s="69"/>
      <c r="BC70" s="5"/>
      <c r="BD70" s="61"/>
      <c r="BE70" s="61"/>
      <c r="BF70" s="63"/>
      <c r="BG70" s="67"/>
      <c r="BH70" s="67"/>
      <c r="BI70" s="67"/>
      <c r="BJ70" s="67"/>
      <c r="BK70" s="67"/>
      <c r="BL70" s="5"/>
      <c r="BM70" s="5"/>
      <c r="BN70" s="5"/>
      <c r="BO70" s="5"/>
      <c r="BP70" s="5"/>
      <c r="BQ70" s="5"/>
      <c r="BR70" s="5"/>
      <c r="BS70" s="5"/>
      <c r="BT70" s="61"/>
      <c r="BU70" s="61"/>
      <c r="BV70" s="61"/>
      <c r="BW70" s="61"/>
      <c r="BX70" s="61"/>
      <c r="BY70" s="61"/>
      <c r="BZ70" s="61"/>
      <c r="CA70" s="61"/>
      <c r="CB70" s="61"/>
      <c r="CC70" s="61"/>
      <c r="CD70" s="61"/>
      <c r="CE70" s="5"/>
      <c r="CF70" s="61"/>
      <c r="CG70" s="5"/>
      <c r="CH70" s="61"/>
      <c r="CI70" s="61"/>
      <c r="CJ70" s="61"/>
      <c r="CK70" s="61"/>
      <c r="CL70" s="61"/>
      <c r="CM70" s="69"/>
      <c r="CN70" s="5"/>
      <c r="CO70" s="61"/>
      <c r="CP70" s="61"/>
      <c r="CQ70" s="73"/>
      <c r="CR70" s="73"/>
      <c r="CS70" s="73"/>
      <c r="CT70" s="5"/>
      <c r="CU70" s="73"/>
      <c r="CV70" s="5"/>
      <c r="CW70" s="5"/>
      <c r="CX70" s="5"/>
      <c r="CY70" s="5"/>
      <c r="CZ70" s="5"/>
      <c r="DA70" s="5"/>
      <c r="DB70" s="5"/>
      <c r="DC70" s="61"/>
      <c r="DD70" s="61"/>
      <c r="DE70" s="61"/>
      <c r="DF70" s="61"/>
      <c r="DG70" s="61"/>
      <c r="DH70" s="61"/>
      <c r="DI70" s="61"/>
      <c r="DJ70" s="61"/>
      <c r="DK70" s="61"/>
      <c r="DL70" s="61"/>
      <c r="DM70" s="61"/>
      <c r="DN70" s="61"/>
      <c r="DO70" s="61"/>
      <c r="DP70" s="61"/>
      <c r="DQ70" s="61"/>
      <c r="DR70" s="61"/>
      <c r="DS70" s="61"/>
      <c r="DT70" s="61"/>
      <c r="DU70" s="61"/>
      <c r="DV70" s="61"/>
      <c r="DW70" s="61"/>
      <c r="DX70" s="61"/>
      <c r="DY70" s="61"/>
      <c r="DZ70" s="61"/>
      <c r="EA70" s="61"/>
      <c r="EB70" s="61"/>
      <c r="EC70" s="61"/>
      <c r="ED70" s="74"/>
      <c r="EE70" s="6"/>
      <c r="EF70" s="5"/>
      <c r="EG70" s="5"/>
      <c r="EH70" s="5"/>
      <c r="EI70" s="61"/>
      <c r="EJ70" s="61"/>
      <c r="EK70" s="61"/>
      <c r="EL70" s="61"/>
      <c r="EM70" s="61"/>
      <c r="EN70" s="61"/>
      <c r="EO70" s="61"/>
      <c r="EP70" s="6"/>
      <c r="EQ70" s="9"/>
      <c r="ER70" s="9"/>
      <c r="ES70" s="61"/>
      <c r="ET70" s="61"/>
      <c r="EU70" s="61"/>
      <c r="EV70" s="61"/>
      <c r="EW70" s="61"/>
      <c r="EX70" s="61"/>
      <c r="EY70" s="61"/>
      <c r="EZ70" s="61"/>
      <c r="FA70" s="61"/>
      <c r="FB70" s="61"/>
      <c r="FC70" s="61"/>
      <c r="FD70" s="61"/>
      <c r="FE70" s="61"/>
      <c r="FF70" s="61"/>
      <c r="FG70" s="61"/>
      <c r="FH70" s="61"/>
      <c r="FI70" s="61"/>
      <c r="FJ70" s="61"/>
      <c r="FK70" s="61"/>
      <c r="FL70" s="5"/>
      <c r="FM70" s="61"/>
      <c r="FN70" s="61"/>
      <c r="FO70" s="61"/>
      <c r="FP70" s="61"/>
      <c r="FQ70" s="61"/>
      <c r="FR70" s="61"/>
      <c r="FS70" s="61"/>
      <c r="FT70" s="61"/>
      <c r="FU70" s="61"/>
      <c r="FV70" s="61"/>
      <c r="FW70" s="61"/>
      <c r="FX70" s="61"/>
      <c r="FY70" s="61"/>
      <c r="FZ70" s="61"/>
      <c r="GA70" s="61"/>
      <c r="GB70" s="61"/>
      <c r="GC70" s="61"/>
      <c r="GD70" s="61"/>
      <c r="GE70" s="61"/>
      <c r="GF70" s="61"/>
      <c r="GG70" s="61"/>
      <c r="GH70" s="61"/>
      <c r="GI70" s="61"/>
      <c r="GJ70" s="61"/>
    </row>
    <row r="71" s="4" customFormat="1" ht="16.8" spans="1:192">
      <c r="A71" s="63"/>
      <c r="B71" s="63"/>
      <c r="C71" s="63"/>
      <c r="D71" s="83"/>
      <c r="E71" s="83"/>
      <c r="F71" s="62"/>
      <c r="G71" s="63"/>
      <c r="H71" s="63"/>
      <c r="I71" s="63"/>
      <c r="J71" s="63"/>
      <c r="K71" s="83"/>
      <c r="L71" s="63"/>
      <c r="M71" s="83"/>
      <c r="N71" s="83"/>
      <c r="O71" s="83"/>
      <c r="P71" s="83"/>
      <c r="Q71" s="83"/>
      <c r="R71" s="83"/>
      <c r="S71" s="83"/>
      <c r="T71" s="83"/>
      <c r="U71" s="83"/>
      <c r="V71" s="68"/>
      <c r="W71" s="84"/>
      <c r="X71" s="63"/>
      <c r="Y71" s="63"/>
      <c r="Z71" s="63"/>
      <c r="AA71" s="63"/>
      <c r="AB71" s="69"/>
      <c r="AC71" s="83"/>
      <c r="AD71" s="63"/>
      <c r="AE71" s="63"/>
      <c r="AF71" s="75"/>
      <c r="AG71" s="75"/>
      <c r="AH71" s="70"/>
      <c r="AI71" s="75"/>
      <c r="AJ71" s="75"/>
      <c r="AK71" s="75"/>
      <c r="AL71" s="83"/>
      <c r="AM71" s="83"/>
      <c r="AN71" s="83"/>
      <c r="AO71" s="83"/>
      <c r="AP71" s="83"/>
      <c r="AQ71" s="83"/>
      <c r="AR71" s="83"/>
      <c r="AS71" s="83"/>
      <c r="AT71" s="83"/>
      <c r="AU71" s="63"/>
      <c r="AV71" s="71"/>
      <c r="AW71" s="63"/>
      <c r="AX71" s="63"/>
      <c r="AY71" s="63"/>
      <c r="AZ71" s="69"/>
      <c r="BA71" s="69"/>
      <c r="BB71" s="69"/>
      <c r="BC71" s="63"/>
      <c r="BD71" s="83"/>
      <c r="BE71" s="83"/>
      <c r="BF71" s="63"/>
      <c r="BG71" s="63"/>
      <c r="BH71" s="63"/>
      <c r="BI71" s="67"/>
      <c r="BJ71" s="67"/>
      <c r="BK71" s="63"/>
      <c r="BL71" s="63"/>
      <c r="BM71" s="5"/>
      <c r="BN71" s="63"/>
      <c r="BO71" s="5"/>
      <c r="BP71" s="63"/>
      <c r="BQ71" s="63"/>
      <c r="BR71" s="63"/>
      <c r="BS71" s="63"/>
      <c r="BT71" s="83"/>
      <c r="BU71" s="83"/>
      <c r="BV71" s="83"/>
      <c r="BW71" s="83"/>
      <c r="BX71" s="83"/>
      <c r="BY71" s="83"/>
      <c r="BZ71" s="83"/>
      <c r="CA71" s="83"/>
      <c r="CB71" s="83"/>
      <c r="CC71" s="83"/>
      <c r="CD71" s="83"/>
      <c r="CE71" s="63"/>
      <c r="CF71" s="83"/>
      <c r="CG71" s="5"/>
      <c r="CH71" s="83"/>
      <c r="CI71" s="83"/>
      <c r="CJ71" s="83"/>
      <c r="CK71" s="83"/>
      <c r="CL71" s="83"/>
      <c r="CM71" s="69"/>
      <c r="CN71" s="63"/>
      <c r="CO71" s="83"/>
      <c r="CP71" s="83"/>
      <c r="CQ71" s="68"/>
      <c r="CR71" s="68"/>
      <c r="CS71" s="68"/>
      <c r="CT71" s="63"/>
      <c r="CU71" s="68"/>
      <c r="CV71" s="63"/>
      <c r="CW71" s="63"/>
      <c r="CX71" s="63"/>
      <c r="CY71" s="63"/>
      <c r="CZ71" s="63"/>
      <c r="DA71" s="63"/>
      <c r="DB71" s="6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74"/>
      <c r="EE71" s="68"/>
      <c r="EF71" s="63"/>
      <c r="EG71" s="63"/>
      <c r="EH71" s="63"/>
      <c r="EI71" s="83"/>
      <c r="EJ71" s="83"/>
      <c r="EK71" s="83"/>
      <c r="EL71" s="83"/>
      <c r="EM71" s="83"/>
      <c r="EN71" s="83"/>
      <c r="EO71" s="83"/>
      <c r="EP71" s="6"/>
      <c r="EQ71" s="9"/>
      <c r="ER71" s="89"/>
      <c r="ES71" s="83"/>
      <c r="ET71" s="83"/>
      <c r="EU71" s="83"/>
      <c r="EV71" s="83"/>
      <c r="EW71" s="83"/>
      <c r="EX71" s="83"/>
      <c r="EY71" s="83"/>
      <c r="EZ71" s="83"/>
      <c r="FA71" s="83"/>
      <c r="FB71" s="83"/>
      <c r="FC71" s="83"/>
      <c r="FD71" s="83"/>
      <c r="FE71" s="83"/>
      <c r="FF71" s="83"/>
      <c r="FG71" s="83"/>
      <c r="FH71" s="83"/>
      <c r="FI71" s="83"/>
      <c r="FJ71" s="83"/>
      <c r="FK71" s="83"/>
      <c r="FL71" s="6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row>
    <row r="72" s="3" customFormat="1" ht="16.8" spans="1:192">
      <c r="A72" s="8"/>
      <c r="B72" s="8"/>
      <c r="C72" s="8"/>
      <c r="D72" s="77"/>
      <c r="E72" s="77"/>
      <c r="F72" s="62"/>
      <c r="G72" s="8"/>
      <c r="H72" s="8"/>
      <c r="I72" s="8"/>
      <c r="J72" s="8"/>
      <c r="K72" s="77"/>
      <c r="L72" s="8"/>
      <c r="M72" s="77"/>
      <c r="N72" s="77"/>
      <c r="O72" s="77"/>
      <c r="P72" s="77"/>
      <c r="Q72" s="77"/>
      <c r="R72" s="77"/>
      <c r="S72" s="77"/>
      <c r="T72" s="77"/>
      <c r="U72" s="77"/>
      <c r="V72" s="81"/>
      <c r="W72" s="78"/>
      <c r="X72" s="8"/>
      <c r="Y72" s="8"/>
      <c r="Z72" s="8"/>
      <c r="AA72" s="8"/>
      <c r="AB72" s="2"/>
      <c r="AC72" s="77"/>
      <c r="AD72" s="8"/>
      <c r="AE72" s="8"/>
      <c r="AF72" s="79"/>
      <c r="AG72" s="79"/>
      <c r="AH72" s="80"/>
      <c r="AI72" s="79"/>
      <c r="AJ72" s="79"/>
      <c r="AK72" s="79"/>
      <c r="AL72" s="77"/>
      <c r="AM72" s="77"/>
      <c r="AN72" s="77"/>
      <c r="AO72" s="77"/>
      <c r="AP72" s="77"/>
      <c r="AQ72" s="77"/>
      <c r="AR72" s="77"/>
      <c r="AS72" s="77"/>
      <c r="AT72" s="77"/>
      <c r="AU72" s="8"/>
      <c r="AV72" s="71"/>
      <c r="AW72" s="8"/>
      <c r="AX72" s="8"/>
      <c r="AY72" s="8"/>
      <c r="AZ72" s="2"/>
      <c r="BA72" s="2"/>
      <c r="BB72" s="2"/>
      <c r="BC72" s="8"/>
      <c r="BD72" s="77"/>
      <c r="BE72" s="77"/>
      <c r="BF72" s="63"/>
      <c r="BG72" s="8"/>
      <c r="BH72" s="8"/>
      <c r="BI72" s="67"/>
      <c r="BJ72" s="67"/>
      <c r="BK72" s="8"/>
      <c r="BL72" s="8"/>
      <c r="BM72" s="5"/>
      <c r="BN72" s="8"/>
      <c r="BO72" s="5"/>
      <c r="BP72" s="8"/>
      <c r="BQ72" s="8"/>
      <c r="BR72" s="8"/>
      <c r="BS72" s="8"/>
      <c r="BT72" s="77"/>
      <c r="BU72" s="77"/>
      <c r="BV72" s="77"/>
      <c r="BW72" s="77"/>
      <c r="BX72" s="77"/>
      <c r="BY72" s="77"/>
      <c r="BZ72" s="77"/>
      <c r="CA72" s="77"/>
      <c r="CB72" s="77"/>
      <c r="CC72" s="77"/>
      <c r="CD72" s="77"/>
      <c r="CE72" s="8"/>
      <c r="CF72" s="77"/>
      <c r="CG72" s="5"/>
      <c r="CH72" s="77"/>
      <c r="CI72" s="77"/>
      <c r="CJ72" s="77"/>
      <c r="CK72" s="77"/>
      <c r="CL72" s="77"/>
      <c r="CM72" s="2"/>
      <c r="CN72" s="8"/>
      <c r="CO72" s="77"/>
      <c r="CP72" s="77"/>
      <c r="CQ72" s="81"/>
      <c r="CR72" s="81"/>
      <c r="CS72" s="81"/>
      <c r="CT72" s="8"/>
      <c r="CU72" s="81"/>
      <c r="CV72" s="8"/>
      <c r="CW72" s="8"/>
      <c r="CX72" s="8"/>
      <c r="CY72" s="8"/>
      <c r="CZ72" s="8"/>
      <c r="DA72" s="8"/>
      <c r="DB72" s="8"/>
      <c r="DC72" s="77"/>
      <c r="DD72" s="77"/>
      <c r="DE72" s="77"/>
      <c r="DF72" s="77"/>
      <c r="DG72" s="77"/>
      <c r="DH72" s="77"/>
      <c r="DI72" s="77"/>
      <c r="DJ72" s="77"/>
      <c r="DK72" s="77"/>
      <c r="DL72" s="77"/>
      <c r="DM72" s="77"/>
      <c r="DN72" s="77"/>
      <c r="DO72" s="77"/>
      <c r="DP72" s="77"/>
      <c r="DQ72" s="77"/>
      <c r="DR72" s="77"/>
      <c r="DS72" s="77"/>
      <c r="DT72" s="77"/>
      <c r="DU72" s="77"/>
      <c r="DV72" s="77"/>
      <c r="DW72" s="77"/>
      <c r="DX72" s="77"/>
      <c r="DY72" s="77"/>
      <c r="DZ72" s="77"/>
      <c r="EA72" s="77"/>
      <c r="EB72" s="77"/>
      <c r="EC72" s="77"/>
      <c r="ED72" s="74"/>
      <c r="EE72" s="81"/>
      <c r="EF72" s="8"/>
      <c r="EG72" s="8"/>
      <c r="EH72" s="8"/>
      <c r="EI72" s="77"/>
      <c r="EJ72" s="77"/>
      <c r="EK72" s="77"/>
      <c r="EL72" s="77"/>
      <c r="EM72" s="77"/>
      <c r="EN72" s="77"/>
      <c r="EO72" s="77"/>
      <c r="EP72" s="6"/>
      <c r="EQ72" s="9"/>
      <c r="ER72" s="82"/>
      <c r="ES72" s="77"/>
      <c r="ET72" s="77"/>
      <c r="EU72" s="77"/>
      <c r="EV72" s="77"/>
      <c r="EW72" s="77"/>
      <c r="EX72" s="77"/>
      <c r="EY72" s="77"/>
      <c r="EZ72" s="77"/>
      <c r="FA72" s="77"/>
      <c r="FB72" s="77"/>
      <c r="FC72" s="77"/>
      <c r="FD72" s="77"/>
      <c r="FE72" s="77"/>
      <c r="FF72" s="77"/>
      <c r="FG72" s="77"/>
      <c r="FH72" s="77"/>
      <c r="FI72" s="77"/>
      <c r="FJ72" s="77"/>
      <c r="FK72" s="77"/>
      <c r="FL72" s="8"/>
      <c r="FM72" s="77"/>
      <c r="FN72" s="77"/>
      <c r="FO72" s="77"/>
      <c r="FP72" s="77"/>
      <c r="FQ72" s="77"/>
      <c r="FR72" s="77"/>
      <c r="FS72" s="77"/>
      <c r="FT72" s="77"/>
      <c r="FU72" s="77"/>
      <c r="FV72" s="77"/>
      <c r="FW72" s="77"/>
      <c r="FX72" s="77"/>
      <c r="FY72" s="77"/>
      <c r="FZ72" s="77"/>
      <c r="GA72" s="77"/>
      <c r="GB72" s="77"/>
      <c r="GC72" s="77"/>
      <c r="GD72" s="77"/>
      <c r="GE72" s="77"/>
      <c r="GF72" s="77"/>
      <c r="GG72" s="77"/>
      <c r="GH72" s="77"/>
      <c r="GI72" s="77"/>
      <c r="GJ72" s="77"/>
    </row>
    <row r="73" customFormat="1" ht="16.8" spans="1:192">
      <c r="A73" s="5"/>
      <c r="B73" s="5"/>
      <c r="C73" s="5"/>
      <c r="D73" s="61"/>
      <c r="E73" s="61"/>
      <c r="F73" s="62"/>
      <c r="G73" s="5"/>
      <c r="H73" s="5"/>
      <c r="I73" s="5"/>
      <c r="J73" s="5"/>
      <c r="K73" s="61"/>
      <c r="L73" s="67"/>
      <c r="M73" s="61"/>
      <c r="N73" s="61"/>
      <c r="O73" s="61"/>
      <c r="P73" s="61"/>
      <c r="Q73" s="61"/>
      <c r="R73" s="61"/>
      <c r="S73" s="61"/>
      <c r="T73" s="61"/>
      <c r="U73" s="61"/>
      <c r="V73" s="6"/>
      <c r="W73" s="7"/>
      <c r="X73" s="5"/>
      <c r="Y73" s="5"/>
      <c r="Z73" s="5"/>
      <c r="AA73" s="5"/>
      <c r="AB73" s="69"/>
      <c r="AC73" s="61"/>
      <c r="AD73" s="5"/>
      <c r="AE73" s="5"/>
      <c r="AF73" s="75"/>
      <c r="AG73" s="75"/>
      <c r="AH73" s="70"/>
      <c r="AI73" s="75"/>
      <c r="AJ73" s="75"/>
      <c r="AK73" s="75"/>
      <c r="AL73" s="61"/>
      <c r="AM73" s="61"/>
      <c r="AN73" s="61"/>
      <c r="AO73" s="61"/>
      <c r="AP73" s="61"/>
      <c r="AQ73" s="61"/>
      <c r="AR73" s="61"/>
      <c r="AS73" s="61"/>
      <c r="AT73" s="61"/>
      <c r="AU73" s="5"/>
      <c r="AV73" s="71"/>
      <c r="AW73" s="5"/>
      <c r="AX73" s="5"/>
      <c r="AY73" s="5"/>
      <c r="AZ73" s="69"/>
      <c r="BA73" s="69"/>
      <c r="BB73" s="69"/>
      <c r="BC73" s="5"/>
      <c r="BD73" s="61"/>
      <c r="BE73" s="61"/>
      <c r="BF73" s="63"/>
      <c r="BG73" s="67"/>
      <c r="BH73" s="67"/>
      <c r="BI73" s="67"/>
      <c r="BJ73" s="67"/>
      <c r="BK73" s="67"/>
      <c r="BL73" s="5"/>
      <c r="BM73" s="5"/>
      <c r="BN73" s="5"/>
      <c r="BO73" s="5"/>
      <c r="BP73" s="5"/>
      <c r="BQ73" s="5"/>
      <c r="BR73" s="5"/>
      <c r="BS73" s="5"/>
      <c r="BT73" s="61"/>
      <c r="BU73" s="61"/>
      <c r="BV73" s="61"/>
      <c r="BW73" s="61"/>
      <c r="BX73" s="61"/>
      <c r="BY73" s="61"/>
      <c r="BZ73" s="61"/>
      <c r="CA73" s="61"/>
      <c r="CB73" s="61"/>
      <c r="CC73" s="61"/>
      <c r="CD73" s="61"/>
      <c r="CE73" s="5"/>
      <c r="CF73" s="61"/>
      <c r="CG73" s="5"/>
      <c r="CH73" s="61"/>
      <c r="CI73" s="61"/>
      <c r="CJ73" s="61"/>
      <c r="CK73" s="61"/>
      <c r="CL73" s="61"/>
      <c r="CM73" s="69"/>
      <c r="CN73" s="5"/>
      <c r="CO73" s="61"/>
      <c r="CP73" s="61"/>
      <c r="CQ73" s="73"/>
      <c r="CR73" s="73"/>
      <c r="CS73" s="73"/>
      <c r="CT73" s="5"/>
      <c r="CU73" s="73"/>
      <c r="CV73" s="5"/>
      <c r="CW73" s="5"/>
      <c r="CX73" s="5"/>
      <c r="CY73" s="5"/>
      <c r="CZ73" s="5"/>
      <c r="DA73" s="5"/>
      <c r="DB73" s="5"/>
      <c r="DC73" s="61"/>
      <c r="DD73" s="61"/>
      <c r="DE73" s="61"/>
      <c r="DF73" s="61"/>
      <c r="DG73" s="61"/>
      <c r="DH73" s="61"/>
      <c r="DI73" s="61"/>
      <c r="DJ73" s="61"/>
      <c r="DK73" s="61"/>
      <c r="DL73" s="61"/>
      <c r="DM73" s="61"/>
      <c r="DN73" s="61"/>
      <c r="DO73" s="61"/>
      <c r="DP73" s="61"/>
      <c r="DQ73" s="61"/>
      <c r="DR73" s="61"/>
      <c r="DS73" s="61"/>
      <c r="DT73" s="61"/>
      <c r="DU73" s="61"/>
      <c r="DV73" s="61"/>
      <c r="DW73" s="61"/>
      <c r="DX73" s="61"/>
      <c r="DY73" s="61"/>
      <c r="DZ73" s="61"/>
      <c r="EA73" s="61"/>
      <c r="EB73" s="61"/>
      <c r="EC73" s="61"/>
      <c r="ED73" s="74"/>
      <c r="EE73" s="6"/>
      <c r="EF73" s="5"/>
      <c r="EG73" s="5"/>
      <c r="EH73" s="5"/>
      <c r="EI73" s="61"/>
      <c r="EJ73" s="61"/>
      <c r="EK73" s="61"/>
      <c r="EL73" s="61"/>
      <c r="EM73" s="61"/>
      <c r="EN73" s="61"/>
      <c r="EO73" s="61"/>
      <c r="EP73" s="6"/>
      <c r="EQ73" s="9"/>
      <c r="ER73" s="9"/>
      <c r="ES73" s="61"/>
      <c r="ET73" s="61"/>
      <c r="EU73" s="61"/>
      <c r="EV73" s="61"/>
      <c r="EW73" s="61"/>
      <c r="EX73" s="61"/>
      <c r="EY73" s="61"/>
      <c r="EZ73" s="61"/>
      <c r="FA73" s="61"/>
      <c r="FB73" s="61"/>
      <c r="FC73" s="61"/>
      <c r="FD73" s="61"/>
      <c r="FE73" s="61"/>
      <c r="FF73" s="61"/>
      <c r="FG73" s="61"/>
      <c r="FH73" s="61"/>
      <c r="FI73" s="61"/>
      <c r="FJ73" s="61"/>
      <c r="FK73" s="61"/>
      <c r="FL73" s="5"/>
      <c r="FM73" s="61"/>
      <c r="FN73" s="61"/>
      <c r="FO73" s="61"/>
      <c r="FP73" s="61"/>
      <c r="FQ73" s="61"/>
      <c r="FR73" s="61"/>
      <c r="FS73" s="61"/>
      <c r="FT73" s="61"/>
      <c r="FU73" s="61"/>
      <c r="FV73" s="61"/>
      <c r="FW73" s="61"/>
      <c r="FX73" s="61"/>
      <c r="FY73" s="61"/>
      <c r="FZ73" s="61"/>
      <c r="GA73" s="61"/>
      <c r="GB73" s="61"/>
      <c r="GC73" s="61"/>
      <c r="GD73" s="61"/>
      <c r="GE73" s="61"/>
      <c r="GF73" s="61"/>
      <c r="GG73" s="61"/>
      <c r="GH73" s="61"/>
      <c r="GI73" s="61"/>
      <c r="GJ73" s="61"/>
    </row>
    <row r="74" customFormat="1" ht="16.8" spans="1:192">
      <c r="A74" s="5"/>
      <c r="B74" s="5"/>
      <c r="C74" s="5"/>
      <c r="D74" s="61"/>
      <c r="E74" s="61"/>
      <c r="F74" s="62"/>
      <c r="G74" s="5"/>
      <c r="H74" s="5"/>
      <c r="I74" s="5"/>
      <c r="J74" s="5"/>
      <c r="K74" s="61"/>
      <c r="L74" s="67"/>
      <c r="M74" s="61"/>
      <c r="N74" s="61"/>
      <c r="O74" s="61"/>
      <c r="P74" s="61"/>
      <c r="Q74" s="61"/>
      <c r="R74" s="61"/>
      <c r="S74" s="61"/>
      <c r="T74" s="61"/>
      <c r="U74" s="61"/>
      <c r="V74" s="6"/>
      <c r="W74" s="7"/>
      <c r="X74" s="5"/>
      <c r="Y74" s="5"/>
      <c r="Z74" s="5"/>
      <c r="AA74" s="5"/>
      <c r="AB74" s="69"/>
      <c r="AC74" s="61"/>
      <c r="AD74" s="5"/>
      <c r="AE74" s="5"/>
      <c r="AF74" s="75"/>
      <c r="AG74" s="75"/>
      <c r="AH74" s="70"/>
      <c r="AI74" s="75"/>
      <c r="AJ74" s="75"/>
      <c r="AK74" s="75"/>
      <c r="AL74" s="61"/>
      <c r="AM74" s="61"/>
      <c r="AN74" s="61"/>
      <c r="AO74" s="61"/>
      <c r="AP74" s="61"/>
      <c r="AQ74" s="61"/>
      <c r="AR74" s="61"/>
      <c r="AS74" s="61"/>
      <c r="AT74" s="61"/>
      <c r="AU74" s="5"/>
      <c r="AV74" s="71"/>
      <c r="AW74" s="5"/>
      <c r="AX74" s="5"/>
      <c r="AY74" s="5"/>
      <c r="AZ74" s="69"/>
      <c r="BA74" s="69"/>
      <c r="BB74" s="69"/>
      <c r="BC74" s="5"/>
      <c r="BD74" s="61"/>
      <c r="BE74" s="61"/>
      <c r="BF74" s="63"/>
      <c r="BG74" s="67"/>
      <c r="BH74" s="67"/>
      <c r="BI74" s="67"/>
      <c r="BJ74" s="67"/>
      <c r="BK74" s="67"/>
      <c r="BL74" s="5"/>
      <c r="BM74" s="5"/>
      <c r="BN74" s="5"/>
      <c r="BO74" s="5"/>
      <c r="BP74" s="5"/>
      <c r="BQ74" s="5"/>
      <c r="BR74" s="5"/>
      <c r="BS74" s="5"/>
      <c r="BT74" s="61"/>
      <c r="BU74" s="61"/>
      <c r="BV74" s="61"/>
      <c r="BW74" s="61"/>
      <c r="BX74" s="61"/>
      <c r="BY74" s="61"/>
      <c r="BZ74" s="61"/>
      <c r="CA74" s="61"/>
      <c r="CB74" s="61"/>
      <c r="CC74" s="61"/>
      <c r="CD74" s="61"/>
      <c r="CE74" s="5"/>
      <c r="CF74" s="61"/>
      <c r="CG74" s="5"/>
      <c r="CH74" s="61"/>
      <c r="CI74" s="61"/>
      <c r="CJ74" s="61"/>
      <c r="CK74" s="61"/>
      <c r="CL74" s="61"/>
      <c r="CM74" s="69"/>
      <c r="CN74" s="5"/>
      <c r="CO74" s="61"/>
      <c r="CP74" s="61"/>
      <c r="CQ74" s="73"/>
      <c r="CR74" s="73"/>
      <c r="CS74" s="73"/>
      <c r="CT74" s="5"/>
      <c r="CU74" s="73"/>
      <c r="CV74" s="5"/>
      <c r="CW74" s="5"/>
      <c r="CX74" s="5"/>
      <c r="CY74" s="5"/>
      <c r="CZ74" s="5"/>
      <c r="DA74" s="5"/>
      <c r="DB74" s="5"/>
      <c r="DC74" s="61"/>
      <c r="DD74" s="61"/>
      <c r="DE74" s="61"/>
      <c r="DF74" s="61"/>
      <c r="DG74" s="61"/>
      <c r="DH74" s="61"/>
      <c r="DI74" s="61"/>
      <c r="DJ74" s="61"/>
      <c r="DK74" s="61"/>
      <c r="DL74" s="61"/>
      <c r="DM74" s="61"/>
      <c r="DN74" s="61"/>
      <c r="DO74" s="61"/>
      <c r="DP74" s="61"/>
      <c r="DQ74" s="61"/>
      <c r="DR74" s="61"/>
      <c r="DS74" s="61"/>
      <c r="DT74" s="61"/>
      <c r="DU74" s="61"/>
      <c r="DV74" s="61"/>
      <c r="DW74" s="61"/>
      <c r="DX74" s="61"/>
      <c r="DY74" s="61"/>
      <c r="DZ74" s="61"/>
      <c r="EA74" s="61"/>
      <c r="EB74" s="61"/>
      <c r="EC74" s="61"/>
      <c r="ED74" s="74"/>
      <c r="EE74" s="6"/>
      <c r="EF74" s="5"/>
      <c r="EG74" s="5"/>
      <c r="EH74" s="5"/>
      <c r="EI74" s="61"/>
      <c r="EJ74" s="61"/>
      <c r="EK74" s="61"/>
      <c r="EL74" s="61"/>
      <c r="EM74" s="61"/>
      <c r="EN74" s="61"/>
      <c r="EO74" s="61"/>
      <c r="EP74" s="6"/>
      <c r="EQ74" s="9"/>
      <c r="ER74" s="9"/>
      <c r="ES74" s="61"/>
      <c r="ET74" s="61"/>
      <c r="EU74" s="61"/>
      <c r="EV74" s="61"/>
      <c r="EW74" s="61"/>
      <c r="EX74" s="61"/>
      <c r="EY74" s="61"/>
      <c r="EZ74" s="61"/>
      <c r="FA74" s="61"/>
      <c r="FB74" s="61"/>
      <c r="FC74" s="61"/>
      <c r="FD74" s="61"/>
      <c r="FE74" s="61"/>
      <c r="FF74" s="61"/>
      <c r="FG74" s="61"/>
      <c r="FH74" s="61"/>
      <c r="FI74" s="61"/>
      <c r="FJ74" s="61"/>
      <c r="FK74" s="61"/>
      <c r="FL74" s="5"/>
      <c r="FM74" s="61"/>
      <c r="FN74" s="61"/>
      <c r="FO74" s="61"/>
      <c r="FP74" s="61"/>
      <c r="FQ74" s="61"/>
      <c r="FR74" s="61"/>
      <c r="FS74" s="61"/>
      <c r="FT74" s="61"/>
      <c r="FU74" s="61"/>
      <c r="FV74" s="61"/>
      <c r="FW74" s="61"/>
      <c r="FX74" s="61"/>
      <c r="FY74" s="61"/>
      <c r="FZ74" s="61"/>
      <c r="GA74" s="61"/>
      <c r="GB74" s="61"/>
      <c r="GC74" s="61"/>
      <c r="GD74" s="61"/>
      <c r="GE74" s="61"/>
      <c r="GF74" s="61"/>
      <c r="GG74" s="61"/>
      <c r="GH74" s="61"/>
      <c r="GI74" s="61"/>
      <c r="GJ74" s="61"/>
    </row>
    <row r="75" customFormat="1" ht="16.8" spans="1:192">
      <c r="A75" s="5"/>
      <c r="B75" s="5"/>
      <c r="C75" s="5"/>
      <c r="D75" s="61"/>
      <c r="E75" s="61"/>
      <c r="F75" s="62"/>
      <c r="G75" s="5"/>
      <c r="H75" s="5"/>
      <c r="I75" s="5"/>
      <c r="J75" s="5"/>
      <c r="K75" s="61"/>
      <c r="L75" s="67"/>
      <c r="M75" s="61"/>
      <c r="N75" s="61"/>
      <c r="O75" s="61"/>
      <c r="P75" s="61"/>
      <c r="Q75" s="61"/>
      <c r="R75" s="61"/>
      <c r="S75" s="61"/>
      <c r="T75" s="61"/>
      <c r="U75" s="61"/>
      <c r="V75" s="6"/>
      <c r="W75" s="7"/>
      <c r="X75" s="5"/>
      <c r="Y75" s="5"/>
      <c r="Z75" s="5"/>
      <c r="AA75" s="5"/>
      <c r="AB75" s="69"/>
      <c r="AC75" s="61"/>
      <c r="AD75" s="5"/>
      <c r="AE75" s="5"/>
      <c r="AF75" s="75"/>
      <c r="AG75" s="75"/>
      <c r="AH75" s="70"/>
      <c r="AI75" s="75"/>
      <c r="AJ75" s="75"/>
      <c r="AK75" s="75"/>
      <c r="AL75" s="61"/>
      <c r="AM75" s="61"/>
      <c r="AN75" s="61"/>
      <c r="AO75" s="61"/>
      <c r="AP75" s="61"/>
      <c r="AQ75" s="61"/>
      <c r="AR75" s="61"/>
      <c r="AS75" s="61"/>
      <c r="AT75" s="61"/>
      <c r="AU75" s="5"/>
      <c r="AV75" s="71"/>
      <c r="AW75" s="5"/>
      <c r="AX75" s="5"/>
      <c r="AY75" s="5"/>
      <c r="AZ75" s="69"/>
      <c r="BA75" s="69"/>
      <c r="BB75" s="69"/>
      <c r="BC75" s="5"/>
      <c r="BD75" s="61"/>
      <c r="BE75" s="61"/>
      <c r="BF75" s="63"/>
      <c r="BG75" s="67"/>
      <c r="BH75" s="67"/>
      <c r="BI75" s="67"/>
      <c r="BJ75" s="67"/>
      <c r="BK75" s="67"/>
      <c r="BL75" s="5"/>
      <c r="BM75" s="5"/>
      <c r="BN75" s="5"/>
      <c r="BO75" s="5"/>
      <c r="BP75" s="5"/>
      <c r="BQ75" s="5"/>
      <c r="BR75" s="5"/>
      <c r="BS75" s="5"/>
      <c r="BT75" s="61"/>
      <c r="BU75" s="61"/>
      <c r="BV75" s="61"/>
      <c r="BW75" s="61"/>
      <c r="BX75" s="61"/>
      <c r="BY75" s="61"/>
      <c r="BZ75" s="61"/>
      <c r="CA75" s="61"/>
      <c r="CB75" s="61"/>
      <c r="CC75" s="61"/>
      <c r="CD75" s="61"/>
      <c r="CE75" s="5"/>
      <c r="CF75" s="61"/>
      <c r="CG75" s="5"/>
      <c r="CH75" s="61"/>
      <c r="CI75" s="61"/>
      <c r="CJ75" s="61"/>
      <c r="CK75" s="61"/>
      <c r="CL75" s="61"/>
      <c r="CM75" s="69"/>
      <c r="CN75" s="5"/>
      <c r="CO75" s="61"/>
      <c r="CP75" s="61"/>
      <c r="CQ75" s="73"/>
      <c r="CR75" s="73"/>
      <c r="CS75" s="73"/>
      <c r="CT75" s="5"/>
      <c r="CU75" s="73"/>
      <c r="CV75" s="5"/>
      <c r="CW75" s="5"/>
      <c r="CX75" s="5"/>
      <c r="CY75" s="5"/>
      <c r="CZ75" s="5"/>
      <c r="DA75" s="5"/>
      <c r="DB75" s="5"/>
      <c r="DC75" s="61"/>
      <c r="DD75" s="61"/>
      <c r="DE75" s="61"/>
      <c r="DF75" s="61"/>
      <c r="DG75" s="61"/>
      <c r="DH75" s="61"/>
      <c r="DI75" s="61"/>
      <c r="DJ75" s="61"/>
      <c r="DK75" s="61"/>
      <c r="DL75" s="61"/>
      <c r="DM75" s="61"/>
      <c r="DN75" s="61"/>
      <c r="DO75" s="61"/>
      <c r="DP75" s="61"/>
      <c r="DQ75" s="61"/>
      <c r="DR75" s="61"/>
      <c r="DS75" s="61"/>
      <c r="DT75" s="61"/>
      <c r="DU75" s="61"/>
      <c r="DV75" s="61"/>
      <c r="DW75" s="61"/>
      <c r="DX75" s="61"/>
      <c r="DY75" s="61"/>
      <c r="DZ75" s="61"/>
      <c r="EA75" s="61"/>
      <c r="EB75" s="61"/>
      <c r="EC75" s="61"/>
      <c r="ED75" s="74"/>
      <c r="EE75" s="6"/>
      <c r="EF75" s="5"/>
      <c r="EG75" s="5"/>
      <c r="EH75" s="5"/>
      <c r="EI75" s="61"/>
      <c r="EJ75" s="61"/>
      <c r="EK75" s="61"/>
      <c r="EL75" s="61"/>
      <c r="EM75" s="61"/>
      <c r="EN75" s="61"/>
      <c r="EO75" s="61"/>
      <c r="EP75" s="6"/>
      <c r="EQ75" s="9"/>
      <c r="ER75" s="9"/>
      <c r="ES75" s="61"/>
      <c r="ET75" s="61"/>
      <c r="EU75" s="61"/>
      <c r="EV75" s="61"/>
      <c r="EW75" s="61"/>
      <c r="EX75" s="61"/>
      <c r="EY75" s="61"/>
      <c r="EZ75" s="61"/>
      <c r="FA75" s="61"/>
      <c r="FB75" s="61"/>
      <c r="FC75" s="61"/>
      <c r="FD75" s="61"/>
      <c r="FE75" s="61"/>
      <c r="FF75" s="61"/>
      <c r="FG75" s="61"/>
      <c r="FH75" s="61"/>
      <c r="FI75" s="61"/>
      <c r="FJ75" s="61"/>
      <c r="FK75" s="61"/>
      <c r="FL75" s="5"/>
      <c r="FM75" s="61"/>
      <c r="FN75" s="61"/>
      <c r="FO75" s="61"/>
      <c r="FP75" s="61"/>
      <c r="FQ75" s="61"/>
      <c r="FR75" s="61"/>
      <c r="FS75" s="61"/>
      <c r="FT75" s="61"/>
      <c r="FU75" s="61"/>
      <c r="FV75" s="61"/>
      <c r="FW75" s="61"/>
      <c r="FX75" s="61"/>
      <c r="FY75" s="61"/>
      <c r="FZ75" s="61"/>
      <c r="GA75" s="61"/>
      <c r="GB75" s="61"/>
      <c r="GC75" s="61"/>
      <c r="GD75" s="61"/>
      <c r="GE75" s="61"/>
      <c r="GF75" s="61"/>
      <c r="GG75" s="61"/>
      <c r="GH75" s="61"/>
      <c r="GI75" s="61"/>
      <c r="GJ75" s="61"/>
    </row>
    <row r="76" customFormat="1" ht="16.8" spans="1:192">
      <c r="A76" s="5"/>
      <c r="B76" s="5"/>
      <c r="C76" s="5"/>
      <c r="D76" s="61"/>
      <c r="E76" s="61"/>
      <c r="F76" s="62"/>
      <c r="G76" s="5"/>
      <c r="H76" s="5"/>
      <c r="I76" s="5"/>
      <c r="J76" s="5"/>
      <c r="K76" s="61"/>
      <c r="L76" s="67"/>
      <c r="M76" s="61"/>
      <c r="N76" s="61"/>
      <c r="O76" s="61"/>
      <c r="P76" s="61"/>
      <c r="Q76" s="61"/>
      <c r="R76" s="61"/>
      <c r="S76" s="61"/>
      <c r="T76" s="61"/>
      <c r="U76" s="61"/>
      <c r="V76" s="6"/>
      <c r="W76" s="7"/>
      <c r="X76" s="5"/>
      <c r="Y76" s="5"/>
      <c r="Z76" s="5"/>
      <c r="AA76" s="5"/>
      <c r="AB76" s="69"/>
      <c r="AC76" s="61"/>
      <c r="AD76" s="5"/>
      <c r="AE76" s="5"/>
      <c r="AF76" s="75"/>
      <c r="AG76" s="75"/>
      <c r="AH76" s="70"/>
      <c r="AI76" s="75"/>
      <c r="AJ76" s="75"/>
      <c r="AK76" s="75"/>
      <c r="AL76" s="61"/>
      <c r="AM76" s="61"/>
      <c r="AN76" s="61"/>
      <c r="AO76" s="61"/>
      <c r="AP76" s="61"/>
      <c r="AQ76" s="61"/>
      <c r="AR76" s="61"/>
      <c r="AS76" s="61"/>
      <c r="AT76" s="61"/>
      <c r="AU76" s="5"/>
      <c r="AV76" s="71"/>
      <c r="AW76" s="5"/>
      <c r="AX76" s="5"/>
      <c r="AY76" s="5"/>
      <c r="AZ76" s="69"/>
      <c r="BA76" s="69"/>
      <c r="BB76" s="69"/>
      <c r="BC76" s="5"/>
      <c r="BD76" s="61"/>
      <c r="BE76" s="61"/>
      <c r="BF76" s="63"/>
      <c r="BG76" s="67"/>
      <c r="BH76" s="67"/>
      <c r="BI76" s="67"/>
      <c r="BJ76" s="67"/>
      <c r="BK76" s="67"/>
      <c r="BL76" s="5"/>
      <c r="BM76" s="5"/>
      <c r="BN76" s="5"/>
      <c r="BO76" s="5"/>
      <c r="BP76" s="5"/>
      <c r="BQ76" s="5"/>
      <c r="BR76" s="5"/>
      <c r="BS76" s="5"/>
      <c r="BT76" s="61"/>
      <c r="BU76" s="61"/>
      <c r="BV76" s="61"/>
      <c r="BW76" s="61"/>
      <c r="BX76" s="61"/>
      <c r="BY76" s="61"/>
      <c r="BZ76" s="61"/>
      <c r="CA76" s="61"/>
      <c r="CB76" s="61"/>
      <c r="CC76" s="61"/>
      <c r="CD76" s="61"/>
      <c r="CE76" s="5"/>
      <c r="CF76" s="61"/>
      <c r="CG76" s="5"/>
      <c r="CH76" s="61"/>
      <c r="CI76" s="61"/>
      <c r="CJ76" s="61"/>
      <c r="CK76" s="61"/>
      <c r="CL76" s="61"/>
      <c r="CM76" s="69"/>
      <c r="CN76" s="5"/>
      <c r="CO76" s="61"/>
      <c r="CP76" s="61"/>
      <c r="CQ76" s="73"/>
      <c r="CR76" s="73"/>
      <c r="CS76" s="73"/>
      <c r="CT76" s="5"/>
      <c r="CU76" s="73"/>
      <c r="CV76" s="5"/>
      <c r="CW76" s="5"/>
      <c r="CX76" s="5"/>
      <c r="CY76" s="5"/>
      <c r="CZ76" s="5"/>
      <c r="DA76" s="5"/>
      <c r="DB76" s="5"/>
      <c r="DC76" s="61"/>
      <c r="DD76" s="61"/>
      <c r="DE76" s="61"/>
      <c r="DF76" s="61"/>
      <c r="DG76" s="61"/>
      <c r="DH76" s="61"/>
      <c r="DI76" s="61"/>
      <c r="DJ76" s="61"/>
      <c r="DK76" s="61"/>
      <c r="DL76" s="61"/>
      <c r="DM76" s="61"/>
      <c r="DN76" s="61"/>
      <c r="DO76" s="61"/>
      <c r="DP76" s="61"/>
      <c r="DQ76" s="61"/>
      <c r="DR76" s="61"/>
      <c r="DS76" s="61"/>
      <c r="DT76" s="61"/>
      <c r="DU76" s="61"/>
      <c r="DV76" s="61"/>
      <c r="DW76" s="61"/>
      <c r="DX76" s="61"/>
      <c r="DY76" s="61"/>
      <c r="DZ76" s="61"/>
      <c r="EA76" s="61"/>
      <c r="EB76" s="61"/>
      <c r="EC76" s="61"/>
      <c r="ED76" s="74"/>
      <c r="EE76" s="6"/>
      <c r="EF76" s="5"/>
      <c r="EG76" s="5"/>
      <c r="EH76" s="5"/>
      <c r="EI76" s="61"/>
      <c r="EJ76" s="61"/>
      <c r="EK76" s="61"/>
      <c r="EL76" s="61"/>
      <c r="EM76" s="61"/>
      <c r="EN76" s="61"/>
      <c r="EO76" s="61"/>
      <c r="EP76" s="6"/>
      <c r="EQ76" s="9"/>
      <c r="ER76" s="9"/>
      <c r="ES76" s="61"/>
      <c r="ET76" s="61"/>
      <c r="EU76" s="61"/>
      <c r="EV76" s="61"/>
      <c r="EW76" s="61"/>
      <c r="EX76" s="61"/>
      <c r="EY76" s="61"/>
      <c r="EZ76" s="61"/>
      <c r="FA76" s="61"/>
      <c r="FB76" s="61"/>
      <c r="FC76" s="61"/>
      <c r="FD76" s="61"/>
      <c r="FE76" s="61"/>
      <c r="FF76" s="61"/>
      <c r="FG76" s="61"/>
      <c r="FH76" s="61"/>
      <c r="FI76" s="61"/>
      <c r="FJ76" s="61"/>
      <c r="FK76" s="61"/>
      <c r="FL76" s="5"/>
      <c r="FM76" s="61"/>
      <c r="FN76" s="61"/>
      <c r="FO76" s="61"/>
      <c r="FP76" s="61"/>
      <c r="FQ76" s="61"/>
      <c r="FR76" s="61"/>
      <c r="FS76" s="61"/>
      <c r="FT76" s="61"/>
      <c r="FU76" s="61"/>
      <c r="FV76" s="61"/>
      <c r="FW76" s="61"/>
      <c r="FX76" s="61"/>
      <c r="FY76" s="61"/>
      <c r="FZ76" s="61"/>
      <c r="GA76" s="61"/>
      <c r="GB76" s="61"/>
      <c r="GC76" s="61"/>
      <c r="GD76" s="61"/>
      <c r="GE76" s="61"/>
      <c r="GF76" s="61"/>
      <c r="GG76" s="61"/>
      <c r="GH76" s="61"/>
      <c r="GI76" s="61"/>
      <c r="GJ76" s="61"/>
    </row>
    <row r="77" customFormat="1" ht="16.8" spans="1:192">
      <c r="A77" s="5"/>
      <c r="B77" s="5"/>
      <c r="C77" s="5"/>
      <c r="D77" s="61"/>
      <c r="E77" s="61"/>
      <c r="F77" s="62"/>
      <c r="G77" s="5"/>
      <c r="H77" s="5"/>
      <c r="I77" s="5"/>
      <c r="J77" s="5"/>
      <c r="K77" s="61"/>
      <c r="L77" s="67"/>
      <c r="M77" s="61"/>
      <c r="N77" s="61"/>
      <c r="O77" s="61"/>
      <c r="P77" s="61"/>
      <c r="Q77" s="61"/>
      <c r="R77" s="61"/>
      <c r="S77" s="61"/>
      <c r="T77" s="61"/>
      <c r="U77" s="61"/>
      <c r="V77" s="6"/>
      <c r="W77" s="7"/>
      <c r="X77" s="5"/>
      <c r="Y77" s="5"/>
      <c r="Z77" s="5"/>
      <c r="AA77" s="5"/>
      <c r="AB77" s="69"/>
      <c r="AC77" s="61"/>
      <c r="AD77" s="5"/>
      <c r="AE77" s="5"/>
      <c r="AF77" s="75"/>
      <c r="AG77" s="75"/>
      <c r="AH77" s="70"/>
      <c r="AI77" s="75"/>
      <c r="AJ77" s="75"/>
      <c r="AK77" s="75"/>
      <c r="AL77" s="61"/>
      <c r="AM77" s="61"/>
      <c r="AN77" s="61"/>
      <c r="AO77" s="61"/>
      <c r="AP77" s="61"/>
      <c r="AQ77" s="61"/>
      <c r="AR77" s="61"/>
      <c r="AS77" s="61"/>
      <c r="AT77" s="61"/>
      <c r="AU77" s="5"/>
      <c r="AV77" s="71"/>
      <c r="AW77" s="5"/>
      <c r="AX77" s="5"/>
      <c r="AY77" s="5"/>
      <c r="AZ77" s="69"/>
      <c r="BA77" s="69"/>
      <c r="BB77" s="69"/>
      <c r="BC77" s="5"/>
      <c r="BD77" s="61"/>
      <c r="BE77" s="61"/>
      <c r="BF77" s="63"/>
      <c r="BG77" s="67"/>
      <c r="BH77" s="67"/>
      <c r="BI77" s="67"/>
      <c r="BJ77" s="67"/>
      <c r="BK77" s="67"/>
      <c r="BL77" s="5"/>
      <c r="BM77" s="5"/>
      <c r="BN77" s="5"/>
      <c r="BO77" s="5"/>
      <c r="BP77" s="5"/>
      <c r="BQ77" s="5"/>
      <c r="BR77" s="5"/>
      <c r="BS77" s="5"/>
      <c r="BT77" s="61"/>
      <c r="BU77" s="61"/>
      <c r="BV77" s="61"/>
      <c r="BW77" s="61"/>
      <c r="BX77" s="61"/>
      <c r="BY77" s="61"/>
      <c r="BZ77" s="61"/>
      <c r="CA77" s="61"/>
      <c r="CB77" s="61"/>
      <c r="CC77" s="61"/>
      <c r="CD77" s="61"/>
      <c r="CE77" s="5"/>
      <c r="CF77" s="61"/>
      <c r="CG77" s="5"/>
      <c r="CH77" s="61"/>
      <c r="CI77" s="61"/>
      <c r="CJ77" s="61"/>
      <c r="CK77" s="61"/>
      <c r="CL77" s="61"/>
      <c r="CM77" s="69"/>
      <c r="CN77" s="5"/>
      <c r="CO77" s="61"/>
      <c r="CP77" s="61"/>
      <c r="CQ77" s="73"/>
      <c r="CR77" s="73"/>
      <c r="CS77" s="73"/>
      <c r="CT77" s="5"/>
      <c r="CU77" s="73"/>
      <c r="CV77" s="5"/>
      <c r="CW77" s="5"/>
      <c r="CX77" s="5"/>
      <c r="CY77" s="5"/>
      <c r="CZ77" s="5"/>
      <c r="DA77" s="5"/>
      <c r="DB77" s="5"/>
      <c r="DC77" s="61"/>
      <c r="DD77" s="61"/>
      <c r="DE77" s="61"/>
      <c r="DF77" s="61"/>
      <c r="DG77" s="61"/>
      <c r="DH77" s="61"/>
      <c r="DI77" s="61"/>
      <c r="DJ77" s="61"/>
      <c r="DK77" s="61"/>
      <c r="DL77" s="61"/>
      <c r="DM77" s="61"/>
      <c r="DN77" s="61"/>
      <c r="DO77" s="61"/>
      <c r="DP77" s="61"/>
      <c r="DQ77" s="61"/>
      <c r="DR77" s="61"/>
      <c r="DS77" s="61"/>
      <c r="DT77" s="61"/>
      <c r="DU77" s="61"/>
      <c r="DV77" s="61"/>
      <c r="DW77" s="61"/>
      <c r="DX77" s="61"/>
      <c r="DY77" s="61"/>
      <c r="DZ77" s="61"/>
      <c r="EA77" s="61"/>
      <c r="EB77" s="61"/>
      <c r="EC77" s="61"/>
      <c r="ED77" s="74"/>
      <c r="EE77" s="6"/>
      <c r="EF77" s="5"/>
      <c r="EG77" s="5"/>
      <c r="EH77" s="5"/>
      <c r="EI77" s="61"/>
      <c r="EJ77" s="61"/>
      <c r="EK77" s="61"/>
      <c r="EL77" s="61"/>
      <c r="EM77" s="61"/>
      <c r="EN77" s="61"/>
      <c r="EO77" s="61"/>
      <c r="EP77" s="6"/>
      <c r="EQ77" s="9"/>
      <c r="ER77" s="9"/>
      <c r="ES77" s="61"/>
      <c r="ET77" s="61"/>
      <c r="EU77" s="61"/>
      <c r="EV77" s="61"/>
      <c r="EW77" s="61"/>
      <c r="EX77" s="61"/>
      <c r="EY77" s="61"/>
      <c r="EZ77" s="61"/>
      <c r="FA77" s="61"/>
      <c r="FB77" s="61"/>
      <c r="FC77" s="61"/>
      <c r="FD77" s="61"/>
      <c r="FE77" s="61"/>
      <c r="FF77" s="61"/>
      <c r="FG77" s="61"/>
      <c r="FH77" s="61"/>
      <c r="FI77" s="61"/>
      <c r="FJ77" s="61"/>
      <c r="FK77" s="61"/>
      <c r="FL77" s="5"/>
      <c r="FM77" s="61"/>
      <c r="FN77" s="61"/>
      <c r="FO77" s="61"/>
      <c r="FP77" s="61"/>
      <c r="FQ77" s="61"/>
      <c r="FR77" s="61"/>
      <c r="FS77" s="61"/>
      <c r="FT77" s="61"/>
      <c r="FU77" s="61"/>
      <c r="FV77" s="61"/>
      <c r="FW77" s="61"/>
      <c r="FX77" s="61"/>
      <c r="FY77" s="61"/>
      <c r="FZ77" s="61"/>
      <c r="GA77" s="61"/>
      <c r="GB77" s="61"/>
      <c r="GC77" s="61"/>
      <c r="GD77" s="61"/>
      <c r="GE77" s="61"/>
      <c r="GF77" s="61"/>
      <c r="GG77" s="61"/>
      <c r="GH77" s="61"/>
      <c r="GI77" s="61"/>
      <c r="GJ77" s="61"/>
    </row>
    <row r="78" customFormat="1" ht="16.8" spans="1:192">
      <c r="A78" s="5"/>
      <c r="B78" s="5"/>
      <c r="C78" s="5"/>
      <c r="D78" s="61"/>
      <c r="E78" s="61"/>
      <c r="F78" s="62"/>
      <c r="G78" s="5"/>
      <c r="H78" s="5"/>
      <c r="I78" s="5"/>
      <c r="J78" s="5"/>
      <c r="K78" s="61"/>
      <c r="L78" s="67"/>
      <c r="M78" s="61"/>
      <c r="N78" s="61"/>
      <c r="O78" s="61"/>
      <c r="P78" s="61"/>
      <c r="Q78" s="61"/>
      <c r="R78" s="61"/>
      <c r="S78" s="61"/>
      <c r="T78" s="61"/>
      <c r="U78" s="61"/>
      <c r="V78" s="6"/>
      <c r="W78" s="7"/>
      <c r="X78" s="5"/>
      <c r="Y78" s="5"/>
      <c r="Z78" s="5"/>
      <c r="AA78" s="5"/>
      <c r="AB78" s="69"/>
      <c r="AC78" s="61"/>
      <c r="AD78" s="5"/>
      <c r="AE78" s="5"/>
      <c r="AF78" s="75"/>
      <c r="AG78" s="75"/>
      <c r="AH78" s="70"/>
      <c r="AI78" s="75"/>
      <c r="AJ78" s="75"/>
      <c r="AK78" s="75"/>
      <c r="AL78" s="61"/>
      <c r="AM78" s="61"/>
      <c r="AN78" s="61"/>
      <c r="AO78" s="61"/>
      <c r="AP78" s="61"/>
      <c r="AQ78" s="61"/>
      <c r="AR78" s="61"/>
      <c r="AS78" s="61"/>
      <c r="AT78" s="61"/>
      <c r="AU78" s="5"/>
      <c r="AV78" s="71"/>
      <c r="AW78" s="5"/>
      <c r="AX78" s="5"/>
      <c r="AY78" s="5"/>
      <c r="AZ78" s="69"/>
      <c r="BA78" s="69"/>
      <c r="BB78" s="69"/>
      <c r="BC78" s="5"/>
      <c r="BD78" s="61"/>
      <c r="BE78" s="61"/>
      <c r="BF78" s="63"/>
      <c r="BG78" s="67"/>
      <c r="BH78" s="67"/>
      <c r="BI78" s="67"/>
      <c r="BJ78" s="67"/>
      <c r="BK78" s="67"/>
      <c r="BL78" s="5"/>
      <c r="BM78" s="5"/>
      <c r="BN78" s="5"/>
      <c r="BO78" s="5"/>
      <c r="BP78" s="5"/>
      <c r="BQ78" s="5"/>
      <c r="BR78" s="5"/>
      <c r="BS78" s="5"/>
      <c r="BT78" s="61"/>
      <c r="BU78" s="61"/>
      <c r="BV78" s="61"/>
      <c r="BW78" s="61"/>
      <c r="BX78" s="61"/>
      <c r="BY78" s="61"/>
      <c r="BZ78" s="61"/>
      <c r="CA78" s="61"/>
      <c r="CB78" s="61"/>
      <c r="CC78" s="61"/>
      <c r="CD78" s="61"/>
      <c r="CE78" s="5"/>
      <c r="CF78" s="61"/>
      <c r="CG78" s="5"/>
      <c r="CH78" s="61"/>
      <c r="CI78" s="61"/>
      <c r="CJ78" s="61"/>
      <c r="CK78" s="61"/>
      <c r="CL78" s="61"/>
      <c r="CM78" s="69"/>
      <c r="CN78" s="5"/>
      <c r="CO78" s="61"/>
      <c r="CP78" s="61"/>
      <c r="CQ78" s="73"/>
      <c r="CR78" s="73"/>
      <c r="CS78" s="73"/>
      <c r="CT78" s="5"/>
      <c r="CU78" s="73"/>
      <c r="CV78" s="5"/>
      <c r="CW78" s="5"/>
      <c r="CX78" s="5"/>
      <c r="CY78" s="5"/>
      <c r="CZ78" s="5"/>
      <c r="DA78" s="5"/>
      <c r="DB78" s="5"/>
      <c r="DC78" s="61"/>
      <c r="DD78" s="61"/>
      <c r="DE78" s="61"/>
      <c r="DF78" s="61"/>
      <c r="DG78" s="61"/>
      <c r="DH78" s="61"/>
      <c r="DI78" s="61"/>
      <c r="DJ78" s="61"/>
      <c r="DK78" s="61"/>
      <c r="DL78" s="61"/>
      <c r="DM78" s="61"/>
      <c r="DN78" s="61"/>
      <c r="DO78" s="61"/>
      <c r="DP78" s="61"/>
      <c r="DQ78" s="61"/>
      <c r="DR78" s="61"/>
      <c r="DS78" s="61"/>
      <c r="DT78" s="61"/>
      <c r="DU78" s="61"/>
      <c r="DV78" s="61"/>
      <c r="DW78" s="61"/>
      <c r="DX78" s="61"/>
      <c r="DY78" s="61"/>
      <c r="DZ78" s="61"/>
      <c r="EA78" s="61"/>
      <c r="EB78" s="61"/>
      <c r="EC78" s="61"/>
      <c r="ED78" s="74"/>
      <c r="EE78" s="6"/>
      <c r="EF78" s="5"/>
      <c r="EG78" s="5"/>
      <c r="EH78" s="5"/>
      <c r="EI78" s="61"/>
      <c r="EJ78" s="61"/>
      <c r="EK78" s="61"/>
      <c r="EL78" s="61"/>
      <c r="EM78" s="61"/>
      <c r="EN78" s="61"/>
      <c r="EO78" s="61"/>
      <c r="EP78" s="6"/>
      <c r="EQ78" s="9"/>
      <c r="ER78" s="9"/>
      <c r="ES78" s="61"/>
      <c r="ET78" s="61"/>
      <c r="EU78" s="61"/>
      <c r="EV78" s="61"/>
      <c r="EW78" s="61"/>
      <c r="EX78" s="61"/>
      <c r="EY78" s="61"/>
      <c r="EZ78" s="61"/>
      <c r="FA78" s="61"/>
      <c r="FB78" s="61"/>
      <c r="FC78" s="61"/>
      <c r="FD78" s="61"/>
      <c r="FE78" s="61"/>
      <c r="FF78" s="61"/>
      <c r="FG78" s="61"/>
      <c r="FH78" s="61"/>
      <c r="FI78" s="61"/>
      <c r="FJ78" s="61"/>
      <c r="FK78" s="61"/>
      <c r="FL78" s="5"/>
      <c r="FM78" s="61"/>
      <c r="FN78" s="61"/>
      <c r="FO78" s="61"/>
      <c r="FP78" s="61"/>
      <c r="FQ78" s="61"/>
      <c r="FR78" s="61"/>
      <c r="FS78" s="61"/>
      <c r="FT78" s="61"/>
      <c r="FU78" s="61"/>
      <c r="FV78" s="61"/>
      <c r="FW78" s="61"/>
      <c r="FX78" s="61"/>
      <c r="FY78" s="61"/>
      <c r="FZ78" s="61"/>
      <c r="GA78" s="61"/>
      <c r="GB78" s="61"/>
      <c r="GC78" s="61"/>
      <c r="GD78" s="61"/>
      <c r="GE78" s="61"/>
      <c r="GF78" s="61"/>
      <c r="GG78" s="61"/>
      <c r="GH78" s="61"/>
      <c r="GI78" s="61"/>
      <c r="GJ78" s="61"/>
    </row>
    <row r="79" customFormat="1" ht="16.8" spans="1:192">
      <c r="A79" s="5"/>
      <c r="B79" s="5"/>
      <c r="C79" s="5"/>
      <c r="D79" s="61"/>
      <c r="E79" s="61"/>
      <c r="F79" s="62"/>
      <c r="G79" s="5"/>
      <c r="H79" s="5"/>
      <c r="I79" s="5"/>
      <c r="J79" s="5"/>
      <c r="K79" s="61"/>
      <c r="L79" s="67"/>
      <c r="M79" s="61"/>
      <c r="N79" s="61"/>
      <c r="O79" s="61"/>
      <c r="P79" s="61"/>
      <c r="Q79" s="61"/>
      <c r="R79" s="61"/>
      <c r="S79" s="61"/>
      <c r="T79" s="61"/>
      <c r="U79" s="61"/>
      <c r="V79" s="6"/>
      <c r="W79" s="7"/>
      <c r="X79" s="5"/>
      <c r="Y79" s="5"/>
      <c r="Z79" s="5"/>
      <c r="AA79" s="5"/>
      <c r="AB79" s="69"/>
      <c r="AC79" s="61"/>
      <c r="AD79" s="5"/>
      <c r="AE79" s="5"/>
      <c r="AF79" s="75"/>
      <c r="AG79" s="75"/>
      <c r="AH79" s="70"/>
      <c r="AI79" s="75"/>
      <c r="AJ79" s="75"/>
      <c r="AK79" s="75"/>
      <c r="AL79" s="61"/>
      <c r="AM79" s="61"/>
      <c r="AN79" s="61"/>
      <c r="AO79" s="61"/>
      <c r="AP79" s="61"/>
      <c r="AQ79" s="61"/>
      <c r="AR79" s="61"/>
      <c r="AS79" s="61"/>
      <c r="AT79" s="61"/>
      <c r="AU79" s="5"/>
      <c r="AV79" s="71"/>
      <c r="AW79" s="5"/>
      <c r="AX79" s="5"/>
      <c r="AY79" s="5"/>
      <c r="AZ79" s="69"/>
      <c r="BA79" s="69"/>
      <c r="BB79" s="69"/>
      <c r="BC79" s="5"/>
      <c r="BD79" s="61"/>
      <c r="BE79" s="61"/>
      <c r="BF79" s="63"/>
      <c r="BG79" s="67"/>
      <c r="BH79" s="67"/>
      <c r="BI79" s="67"/>
      <c r="BJ79" s="67"/>
      <c r="BK79" s="67"/>
      <c r="BL79" s="5"/>
      <c r="BM79" s="5"/>
      <c r="BN79" s="5"/>
      <c r="BO79" s="5"/>
      <c r="BP79" s="5"/>
      <c r="BQ79" s="5"/>
      <c r="BR79" s="5"/>
      <c r="BS79" s="5"/>
      <c r="BT79" s="61"/>
      <c r="BU79" s="61"/>
      <c r="BV79" s="61"/>
      <c r="BW79" s="61"/>
      <c r="BX79" s="61"/>
      <c r="BY79" s="61"/>
      <c r="BZ79" s="61"/>
      <c r="CA79" s="61"/>
      <c r="CB79" s="61"/>
      <c r="CC79" s="61"/>
      <c r="CD79" s="61"/>
      <c r="CE79" s="5"/>
      <c r="CF79" s="61"/>
      <c r="CG79" s="5"/>
      <c r="CH79" s="61"/>
      <c r="CI79" s="61"/>
      <c r="CJ79" s="61"/>
      <c r="CK79" s="61"/>
      <c r="CL79" s="61"/>
      <c r="CM79" s="69"/>
      <c r="CN79" s="5"/>
      <c r="CO79" s="61"/>
      <c r="CP79" s="61"/>
      <c r="CQ79" s="73"/>
      <c r="CR79" s="73"/>
      <c r="CS79" s="73"/>
      <c r="CT79" s="5"/>
      <c r="CU79" s="73"/>
      <c r="CV79" s="5"/>
      <c r="CW79" s="5"/>
      <c r="CX79" s="5"/>
      <c r="CY79" s="5"/>
      <c r="CZ79" s="5"/>
      <c r="DA79" s="5"/>
      <c r="DB79" s="5"/>
      <c r="DC79" s="61"/>
      <c r="DD79" s="61"/>
      <c r="DE79" s="61"/>
      <c r="DF79" s="61"/>
      <c r="DG79" s="61"/>
      <c r="DH79" s="61"/>
      <c r="DI79" s="61"/>
      <c r="DJ79" s="61"/>
      <c r="DK79" s="61"/>
      <c r="DL79" s="61"/>
      <c r="DM79" s="61"/>
      <c r="DN79" s="61"/>
      <c r="DO79" s="61"/>
      <c r="DP79" s="61"/>
      <c r="DQ79" s="61"/>
      <c r="DR79" s="61"/>
      <c r="DS79" s="61"/>
      <c r="DT79" s="61"/>
      <c r="DU79" s="61"/>
      <c r="DV79" s="61"/>
      <c r="DW79" s="61"/>
      <c r="DX79" s="61"/>
      <c r="DY79" s="61"/>
      <c r="DZ79" s="61"/>
      <c r="EA79" s="61"/>
      <c r="EB79" s="61"/>
      <c r="EC79" s="61"/>
      <c r="ED79" s="74"/>
      <c r="EE79" s="6"/>
      <c r="EF79" s="5"/>
      <c r="EG79" s="5"/>
      <c r="EH79" s="5"/>
      <c r="EI79" s="61"/>
      <c r="EJ79" s="61"/>
      <c r="EK79" s="61"/>
      <c r="EL79" s="61"/>
      <c r="EM79" s="61"/>
      <c r="EN79" s="61"/>
      <c r="EO79" s="61"/>
      <c r="EP79" s="6"/>
      <c r="EQ79" s="9"/>
      <c r="ER79" s="9"/>
      <c r="ES79" s="61"/>
      <c r="ET79" s="61"/>
      <c r="EU79" s="61"/>
      <c r="EV79" s="61"/>
      <c r="EW79" s="61"/>
      <c r="EX79" s="61"/>
      <c r="EY79" s="61"/>
      <c r="EZ79" s="61"/>
      <c r="FA79" s="61"/>
      <c r="FB79" s="61"/>
      <c r="FC79" s="61"/>
      <c r="FD79" s="61"/>
      <c r="FE79" s="61"/>
      <c r="FF79" s="61"/>
      <c r="FG79" s="61"/>
      <c r="FH79" s="61"/>
      <c r="FI79" s="61"/>
      <c r="FJ79" s="61"/>
      <c r="FK79" s="61"/>
      <c r="FL79" s="5"/>
      <c r="FM79" s="61"/>
      <c r="FN79" s="61"/>
      <c r="FO79" s="61"/>
      <c r="FP79" s="61"/>
      <c r="FQ79" s="61"/>
      <c r="FR79" s="61"/>
      <c r="FS79" s="61"/>
      <c r="FT79" s="61"/>
      <c r="FU79" s="61"/>
      <c r="FV79" s="61"/>
      <c r="FW79" s="61"/>
      <c r="FX79" s="61"/>
      <c r="FY79" s="61"/>
      <c r="FZ79" s="61"/>
      <c r="GA79" s="61"/>
      <c r="GB79" s="61"/>
      <c r="GC79" s="61"/>
      <c r="GD79" s="61"/>
      <c r="GE79" s="61"/>
      <c r="GF79" s="61"/>
      <c r="GG79" s="61"/>
      <c r="GH79" s="61"/>
      <c r="GI79" s="61"/>
      <c r="GJ79" s="61"/>
    </row>
    <row r="80" customFormat="1" ht="16.8" spans="1:192">
      <c r="A80" s="5"/>
      <c r="B80" s="5"/>
      <c r="C80" s="5"/>
      <c r="D80" s="61"/>
      <c r="E80" s="61"/>
      <c r="F80" s="62"/>
      <c r="G80" s="5"/>
      <c r="H80" s="5"/>
      <c r="I80" s="5"/>
      <c r="J80" s="5"/>
      <c r="K80" s="61"/>
      <c r="L80" s="67"/>
      <c r="M80" s="61"/>
      <c r="N80" s="61"/>
      <c r="O80" s="61"/>
      <c r="P80" s="61"/>
      <c r="Q80" s="61"/>
      <c r="R80" s="61"/>
      <c r="S80" s="61"/>
      <c r="T80" s="61"/>
      <c r="U80" s="61"/>
      <c r="V80" s="6"/>
      <c r="W80" s="7"/>
      <c r="X80" s="5"/>
      <c r="Y80" s="5"/>
      <c r="Z80" s="5"/>
      <c r="AA80" s="5"/>
      <c r="AB80" s="69"/>
      <c r="AC80" s="61"/>
      <c r="AD80" s="5"/>
      <c r="AE80" s="5"/>
      <c r="AF80" s="75"/>
      <c r="AG80" s="75"/>
      <c r="AH80" s="70"/>
      <c r="AI80" s="75"/>
      <c r="AJ80" s="75"/>
      <c r="AK80" s="75"/>
      <c r="AL80" s="61"/>
      <c r="AM80" s="61"/>
      <c r="AN80" s="61"/>
      <c r="AO80" s="61"/>
      <c r="AP80" s="61"/>
      <c r="AQ80" s="61"/>
      <c r="AR80" s="61"/>
      <c r="AS80" s="61"/>
      <c r="AT80" s="61"/>
      <c r="AU80" s="5"/>
      <c r="AV80" s="71"/>
      <c r="AW80" s="5"/>
      <c r="AX80" s="5"/>
      <c r="AY80" s="5"/>
      <c r="AZ80" s="69"/>
      <c r="BA80" s="69"/>
      <c r="BB80" s="69"/>
      <c r="BC80" s="5"/>
      <c r="BD80" s="61"/>
      <c r="BE80" s="61"/>
      <c r="BF80" s="63"/>
      <c r="BG80" s="67"/>
      <c r="BH80" s="67"/>
      <c r="BI80" s="67"/>
      <c r="BJ80" s="67"/>
      <c r="BK80" s="67"/>
      <c r="BL80" s="5"/>
      <c r="BM80" s="5"/>
      <c r="BN80" s="5"/>
      <c r="BO80" s="5"/>
      <c r="BP80" s="5"/>
      <c r="BQ80" s="5"/>
      <c r="BR80" s="5"/>
      <c r="BS80" s="5"/>
      <c r="BT80" s="61"/>
      <c r="BU80" s="61"/>
      <c r="BV80" s="61"/>
      <c r="BW80" s="61"/>
      <c r="BX80" s="61"/>
      <c r="BY80" s="61"/>
      <c r="BZ80" s="61"/>
      <c r="CA80" s="61"/>
      <c r="CB80" s="61"/>
      <c r="CC80" s="61"/>
      <c r="CD80" s="61"/>
      <c r="CE80" s="5"/>
      <c r="CF80" s="61"/>
      <c r="CG80" s="5"/>
      <c r="CH80" s="61"/>
      <c r="CI80" s="61"/>
      <c r="CJ80" s="61"/>
      <c r="CK80" s="61"/>
      <c r="CL80" s="61"/>
      <c r="CM80" s="69"/>
      <c r="CN80" s="5"/>
      <c r="CO80" s="61"/>
      <c r="CP80" s="61"/>
      <c r="CQ80" s="73"/>
      <c r="CR80" s="73"/>
      <c r="CS80" s="73"/>
      <c r="CT80" s="5"/>
      <c r="CU80" s="73"/>
      <c r="CV80" s="5"/>
      <c r="CW80" s="5"/>
      <c r="CX80" s="5"/>
      <c r="CY80" s="5"/>
      <c r="CZ80" s="5"/>
      <c r="DA80" s="5"/>
      <c r="DB80" s="5"/>
      <c r="DC80" s="61"/>
      <c r="DD80" s="61"/>
      <c r="DE80" s="61"/>
      <c r="DF80" s="61"/>
      <c r="DG80" s="61"/>
      <c r="DH80" s="61"/>
      <c r="DI80" s="61"/>
      <c r="DJ80" s="61"/>
      <c r="DK80" s="61"/>
      <c r="DL80" s="61"/>
      <c r="DM80" s="61"/>
      <c r="DN80" s="61"/>
      <c r="DO80" s="61"/>
      <c r="DP80" s="61"/>
      <c r="DQ80" s="61"/>
      <c r="DR80" s="61"/>
      <c r="DS80" s="61"/>
      <c r="DT80" s="61"/>
      <c r="DU80" s="61"/>
      <c r="DV80" s="61"/>
      <c r="DW80" s="61"/>
      <c r="DX80" s="61"/>
      <c r="DY80" s="61"/>
      <c r="DZ80" s="61"/>
      <c r="EA80" s="61"/>
      <c r="EB80" s="61"/>
      <c r="EC80" s="61"/>
      <c r="ED80" s="74"/>
      <c r="EE80" s="6"/>
      <c r="EF80" s="5"/>
      <c r="EG80" s="5"/>
      <c r="EH80" s="5"/>
      <c r="EI80" s="61"/>
      <c r="EJ80" s="61"/>
      <c r="EK80" s="61"/>
      <c r="EL80" s="61"/>
      <c r="EM80" s="61"/>
      <c r="EN80" s="61"/>
      <c r="EO80" s="61"/>
      <c r="EP80" s="6"/>
      <c r="EQ80" s="9"/>
      <c r="ER80" s="9"/>
      <c r="ES80" s="61"/>
      <c r="ET80" s="61"/>
      <c r="EU80" s="61"/>
      <c r="EV80" s="61"/>
      <c r="EW80" s="61"/>
      <c r="EX80" s="61"/>
      <c r="EY80" s="61"/>
      <c r="EZ80" s="61"/>
      <c r="FA80" s="61"/>
      <c r="FB80" s="61"/>
      <c r="FC80" s="61"/>
      <c r="FD80" s="61"/>
      <c r="FE80" s="61"/>
      <c r="FF80" s="61"/>
      <c r="FG80" s="61"/>
      <c r="FH80" s="61"/>
      <c r="FI80" s="61"/>
      <c r="FJ80" s="61"/>
      <c r="FK80" s="61"/>
      <c r="FL80" s="5"/>
      <c r="FM80" s="61"/>
      <c r="FN80" s="61"/>
      <c r="FO80" s="61"/>
      <c r="FP80" s="61"/>
      <c r="FQ80" s="61"/>
      <c r="FR80" s="61"/>
      <c r="FS80" s="61"/>
      <c r="FT80" s="61"/>
      <c r="FU80" s="61"/>
      <c r="FV80" s="61"/>
      <c r="FW80" s="61"/>
      <c r="FX80" s="61"/>
      <c r="FY80" s="61"/>
      <c r="FZ80" s="61"/>
      <c r="GA80" s="61"/>
      <c r="GB80" s="61"/>
      <c r="GC80" s="61"/>
      <c r="GD80" s="61"/>
      <c r="GE80" s="61"/>
      <c r="GF80" s="61"/>
      <c r="GG80" s="61"/>
      <c r="GH80" s="61"/>
      <c r="GI80" s="61"/>
      <c r="GJ80" s="61"/>
    </row>
    <row r="81" customFormat="1" ht="16.8" spans="1:192">
      <c r="A81" s="5"/>
      <c r="B81" s="5"/>
      <c r="C81" s="5"/>
      <c r="D81" s="61"/>
      <c r="E81" s="61"/>
      <c r="F81" s="62"/>
      <c r="G81" s="5"/>
      <c r="H81" s="5"/>
      <c r="I81" s="5"/>
      <c r="J81" s="5"/>
      <c r="K81" s="61"/>
      <c r="L81" s="67"/>
      <c r="M81" s="61"/>
      <c r="N81" s="61"/>
      <c r="O81" s="61"/>
      <c r="P81" s="61"/>
      <c r="Q81" s="61"/>
      <c r="R81" s="61"/>
      <c r="S81" s="61"/>
      <c r="T81" s="61"/>
      <c r="U81" s="61"/>
      <c r="V81" s="6"/>
      <c r="W81" s="7"/>
      <c r="X81" s="5"/>
      <c r="Y81" s="5"/>
      <c r="Z81" s="5"/>
      <c r="AA81" s="5"/>
      <c r="AB81" s="69"/>
      <c r="AC81" s="61"/>
      <c r="AD81" s="5"/>
      <c r="AE81" s="5"/>
      <c r="AF81" s="75"/>
      <c r="AG81" s="75"/>
      <c r="AH81" s="70"/>
      <c r="AI81" s="75"/>
      <c r="AJ81" s="75"/>
      <c r="AK81" s="75"/>
      <c r="AL81" s="61"/>
      <c r="AM81" s="61"/>
      <c r="AN81" s="61"/>
      <c r="AO81" s="61"/>
      <c r="AP81" s="61"/>
      <c r="AQ81" s="61"/>
      <c r="AR81" s="61"/>
      <c r="AS81" s="61"/>
      <c r="AT81" s="61"/>
      <c r="AU81" s="5"/>
      <c r="AV81" s="71"/>
      <c r="AW81" s="5"/>
      <c r="AX81" s="5"/>
      <c r="AY81" s="5"/>
      <c r="AZ81" s="69"/>
      <c r="BA81" s="69"/>
      <c r="BB81" s="69"/>
      <c r="BC81" s="5"/>
      <c r="BD81" s="61"/>
      <c r="BE81" s="61"/>
      <c r="BF81" s="63"/>
      <c r="BG81" s="67"/>
      <c r="BH81" s="67"/>
      <c r="BI81" s="67"/>
      <c r="BJ81" s="67"/>
      <c r="BK81" s="67"/>
      <c r="BL81" s="5"/>
      <c r="BM81" s="5"/>
      <c r="BN81" s="5"/>
      <c r="BO81" s="5"/>
      <c r="BP81" s="5"/>
      <c r="BQ81" s="5"/>
      <c r="BR81" s="5"/>
      <c r="BS81" s="5"/>
      <c r="BT81" s="61"/>
      <c r="BU81" s="61"/>
      <c r="BV81" s="61"/>
      <c r="BW81" s="61"/>
      <c r="BX81" s="61"/>
      <c r="BY81" s="61"/>
      <c r="BZ81" s="61"/>
      <c r="CA81" s="61"/>
      <c r="CB81" s="61"/>
      <c r="CC81" s="61"/>
      <c r="CD81" s="61"/>
      <c r="CE81" s="5"/>
      <c r="CF81" s="61"/>
      <c r="CG81" s="5"/>
      <c r="CH81" s="61"/>
      <c r="CI81" s="61"/>
      <c r="CJ81" s="61"/>
      <c r="CK81" s="61"/>
      <c r="CL81" s="61"/>
      <c r="CM81" s="69"/>
      <c r="CN81" s="5"/>
      <c r="CO81" s="61"/>
      <c r="CP81" s="61"/>
      <c r="CQ81" s="73"/>
      <c r="CR81" s="73"/>
      <c r="CS81" s="73"/>
      <c r="CT81" s="5"/>
      <c r="CU81" s="73"/>
      <c r="CV81" s="5"/>
      <c r="CW81" s="5"/>
      <c r="CX81" s="5"/>
      <c r="CY81" s="5"/>
      <c r="CZ81" s="5"/>
      <c r="DA81" s="5"/>
      <c r="DB81" s="5"/>
      <c r="DC81" s="61"/>
      <c r="DD81" s="61"/>
      <c r="DE81" s="61"/>
      <c r="DF81" s="61"/>
      <c r="DG81" s="61"/>
      <c r="DH81" s="61"/>
      <c r="DI81" s="61"/>
      <c r="DJ81" s="61"/>
      <c r="DK81" s="61"/>
      <c r="DL81" s="61"/>
      <c r="DM81" s="61"/>
      <c r="DN81" s="61"/>
      <c r="DO81" s="61"/>
      <c r="DP81" s="61"/>
      <c r="DQ81" s="61"/>
      <c r="DR81" s="61"/>
      <c r="DS81" s="61"/>
      <c r="DT81" s="61"/>
      <c r="DU81" s="61"/>
      <c r="DV81" s="61"/>
      <c r="DW81" s="61"/>
      <c r="DX81" s="61"/>
      <c r="DY81" s="61"/>
      <c r="DZ81" s="61"/>
      <c r="EA81" s="61"/>
      <c r="EB81" s="61"/>
      <c r="EC81" s="61"/>
      <c r="ED81" s="74"/>
      <c r="EE81" s="6"/>
      <c r="EF81" s="5"/>
      <c r="EG81" s="5"/>
      <c r="EH81" s="5"/>
      <c r="EI81" s="61"/>
      <c r="EJ81" s="61"/>
      <c r="EK81" s="61"/>
      <c r="EL81" s="61"/>
      <c r="EM81" s="61"/>
      <c r="EN81" s="61"/>
      <c r="EO81" s="61"/>
      <c r="EP81" s="6"/>
      <c r="EQ81" s="9"/>
      <c r="ER81" s="9"/>
      <c r="ES81" s="61"/>
      <c r="ET81" s="61"/>
      <c r="EU81" s="61"/>
      <c r="EV81" s="61"/>
      <c r="EW81" s="61"/>
      <c r="EX81" s="61"/>
      <c r="EY81" s="61"/>
      <c r="EZ81" s="61"/>
      <c r="FA81" s="61"/>
      <c r="FB81" s="61"/>
      <c r="FC81" s="61"/>
      <c r="FD81" s="61"/>
      <c r="FE81" s="61"/>
      <c r="FF81" s="61"/>
      <c r="FG81" s="61"/>
      <c r="FH81" s="61"/>
      <c r="FI81" s="61"/>
      <c r="FJ81" s="61"/>
      <c r="FK81" s="61"/>
      <c r="FL81" s="5"/>
      <c r="FM81" s="61"/>
      <c r="FN81" s="61"/>
      <c r="FO81" s="61"/>
      <c r="FP81" s="61"/>
      <c r="FQ81" s="61"/>
      <c r="FR81" s="61"/>
      <c r="FS81" s="61"/>
      <c r="FT81" s="61"/>
      <c r="FU81" s="61"/>
      <c r="FV81" s="61"/>
      <c r="FW81" s="61"/>
      <c r="FX81" s="61"/>
      <c r="FY81" s="61"/>
      <c r="FZ81" s="61"/>
      <c r="GA81" s="61"/>
      <c r="GB81" s="61"/>
      <c r="GC81" s="61"/>
      <c r="GD81" s="61"/>
      <c r="GE81" s="61"/>
      <c r="GF81" s="61"/>
      <c r="GG81" s="61"/>
      <c r="GH81" s="61"/>
      <c r="GI81" s="61"/>
      <c r="GJ81" s="61"/>
    </row>
    <row r="82" customFormat="1" ht="16.8" spans="1:192">
      <c r="A82" s="5"/>
      <c r="B82" s="5"/>
      <c r="C82" s="5"/>
      <c r="D82" s="61"/>
      <c r="E82" s="61"/>
      <c r="F82" s="62"/>
      <c r="G82" s="5"/>
      <c r="H82" s="5"/>
      <c r="I82" s="5"/>
      <c r="J82" s="5"/>
      <c r="K82" s="61"/>
      <c r="L82" s="67"/>
      <c r="M82" s="61"/>
      <c r="N82" s="61"/>
      <c r="O82" s="61"/>
      <c r="P82" s="61"/>
      <c r="Q82" s="61"/>
      <c r="R82" s="61"/>
      <c r="S82" s="61"/>
      <c r="T82" s="61"/>
      <c r="U82" s="61"/>
      <c r="V82" s="6"/>
      <c r="W82" s="7"/>
      <c r="X82" s="5"/>
      <c r="Y82" s="5"/>
      <c r="Z82" s="5"/>
      <c r="AA82" s="5"/>
      <c r="AB82" s="69"/>
      <c r="AC82" s="61"/>
      <c r="AD82" s="5"/>
      <c r="AE82" s="5"/>
      <c r="AF82" s="75"/>
      <c r="AG82" s="75"/>
      <c r="AH82" s="70"/>
      <c r="AI82" s="75"/>
      <c r="AJ82" s="75"/>
      <c r="AK82" s="75"/>
      <c r="AL82" s="61"/>
      <c r="AM82" s="61"/>
      <c r="AN82" s="61"/>
      <c r="AO82" s="61"/>
      <c r="AP82" s="61"/>
      <c r="AQ82" s="61"/>
      <c r="AR82" s="61"/>
      <c r="AS82" s="61"/>
      <c r="AT82" s="61"/>
      <c r="AU82" s="5"/>
      <c r="AV82" s="71"/>
      <c r="AW82" s="5"/>
      <c r="AX82" s="5"/>
      <c r="AY82" s="5"/>
      <c r="AZ82" s="69"/>
      <c r="BA82" s="69"/>
      <c r="BB82" s="69"/>
      <c r="BC82" s="5"/>
      <c r="BD82" s="61"/>
      <c r="BE82" s="61"/>
      <c r="BF82" s="63"/>
      <c r="BG82" s="67"/>
      <c r="BH82" s="67"/>
      <c r="BI82" s="67"/>
      <c r="BJ82" s="67"/>
      <c r="BK82" s="67"/>
      <c r="BL82" s="5"/>
      <c r="BM82" s="5"/>
      <c r="BN82" s="5"/>
      <c r="BO82" s="5"/>
      <c r="BP82" s="5"/>
      <c r="BQ82" s="5"/>
      <c r="BR82" s="5"/>
      <c r="BS82" s="5"/>
      <c r="BT82" s="61"/>
      <c r="BU82" s="61"/>
      <c r="BV82" s="61"/>
      <c r="BW82" s="61"/>
      <c r="BX82" s="61"/>
      <c r="BY82" s="61"/>
      <c r="BZ82" s="61"/>
      <c r="CA82" s="61"/>
      <c r="CB82" s="61"/>
      <c r="CC82" s="61"/>
      <c r="CD82" s="61"/>
      <c r="CE82" s="5"/>
      <c r="CF82" s="61"/>
      <c r="CG82" s="5"/>
      <c r="CH82" s="61"/>
      <c r="CI82" s="61"/>
      <c r="CJ82" s="61"/>
      <c r="CK82" s="61"/>
      <c r="CL82" s="61"/>
      <c r="CM82" s="69"/>
      <c r="CN82" s="5"/>
      <c r="CO82" s="61"/>
      <c r="CP82" s="61"/>
      <c r="CQ82" s="73"/>
      <c r="CR82" s="73"/>
      <c r="CS82" s="73"/>
      <c r="CT82" s="5"/>
      <c r="CU82" s="73"/>
      <c r="CV82" s="5"/>
      <c r="CW82" s="5"/>
      <c r="CX82" s="5"/>
      <c r="CY82" s="5"/>
      <c r="CZ82" s="5"/>
      <c r="DA82" s="5"/>
      <c r="DB82" s="5"/>
      <c r="DC82" s="61"/>
      <c r="DD82" s="61"/>
      <c r="DE82" s="61"/>
      <c r="DF82" s="61"/>
      <c r="DG82" s="61"/>
      <c r="DH82" s="61"/>
      <c r="DI82" s="61"/>
      <c r="DJ82" s="61"/>
      <c r="DK82" s="61"/>
      <c r="DL82" s="61"/>
      <c r="DM82" s="61"/>
      <c r="DN82" s="61"/>
      <c r="DO82" s="61"/>
      <c r="DP82" s="61"/>
      <c r="DQ82" s="61"/>
      <c r="DR82" s="61"/>
      <c r="DS82" s="61"/>
      <c r="DT82" s="61"/>
      <c r="DU82" s="61"/>
      <c r="DV82" s="61"/>
      <c r="DW82" s="61"/>
      <c r="DX82" s="61"/>
      <c r="DY82" s="61"/>
      <c r="DZ82" s="61"/>
      <c r="EA82" s="61"/>
      <c r="EB82" s="61"/>
      <c r="EC82" s="61"/>
      <c r="ED82" s="74"/>
      <c r="EE82" s="6"/>
      <c r="EF82" s="5"/>
      <c r="EG82" s="5"/>
      <c r="EH82" s="5"/>
      <c r="EI82" s="61"/>
      <c r="EJ82" s="61"/>
      <c r="EK82" s="61"/>
      <c r="EL82" s="61"/>
      <c r="EM82" s="61"/>
      <c r="EN82" s="61"/>
      <c r="EO82" s="61"/>
      <c r="EP82" s="6"/>
      <c r="EQ82" s="9"/>
      <c r="ER82" s="9"/>
      <c r="ES82" s="61"/>
      <c r="ET82" s="61"/>
      <c r="EU82" s="61"/>
      <c r="EV82" s="61"/>
      <c r="EW82" s="61"/>
      <c r="EX82" s="61"/>
      <c r="EY82" s="61"/>
      <c r="EZ82" s="61"/>
      <c r="FA82" s="61"/>
      <c r="FB82" s="61"/>
      <c r="FC82" s="61"/>
      <c r="FD82" s="61"/>
      <c r="FE82" s="61"/>
      <c r="FF82" s="61"/>
      <c r="FG82" s="61"/>
      <c r="FH82" s="61"/>
      <c r="FI82" s="61"/>
      <c r="FJ82" s="61"/>
      <c r="FK82" s="61"/>
      <c r="FL82" s="5"/>
      <c r="FM82" s="61"/>
      <c r="FN82" s="61"/>
      <c r="FO82" s="61"/>
      <c r="FP82" s="61"/>
      <c r="FQ82" s="61"/>
      <c r="FR82" s="61"/>
      <c r="FS82" s="61"/>
      <c r="FT82" s="61"/>
      <c r="FU82" s="61"/>
      <c r="FV82" s="61"/>
      <c r="FW82" s="61"/>
      <c r="FX82" s="61"/>
      <c r="FY82" s="61"/>
      <c r="FZ82" s="61"/>
      <c r="GA82" s="61"/>
      <c r="GB82" s="61"/>
      <c r="GC82" s="61"/>
      <c r="GD82" s="61"/>
      <c r="GE82" s="61"/>
      <c r="GF82" s="61"/>
      <c r="GG82" s="61"/>
      <c r="GH82" s="61"/>
      <c r="GI82" s="61"/>
      <c r="GJ82" s="61"/>
    </row>
    <row r="83" s="4" customFormat="1" ht="16.8" spans="1:192">
      <c r="A83" s="63"/>
      <c r="B83" s="63"/>
      <c r="C83" s="63"/>
      <c r="D83" s="83"/>
      <c r="E83" s="83"/>
      <c r="F83" s="62"/>
      <c r="G83" s="63"/>
      <c r="H83" s="63"/>
      <c r="I83" s="63"/>
      <c r="J83" s="63"/>
      <c r="K83" s="83"/>
      <c r="L83" s="63"/>
      <c r="M83" s="83"/>
      <c r="N83" s="83"/>
      <c r="O83" s="83"/>
      <c r="P83" s="83"/>
      <c r="Q83" s="83"/>
      <c r="R83" s="83"/>
      <c r="S83" s="83"/>
      <c r="T83" s="83"/>
      <c r="U83" s="83"/>
      <c r="V83" s="68"/>
      <c r="W83" s="84"/>
      <c r="X83" s="63"/>
      <c r="Y83" s="63"/>
      <c r="Z83" s="63"/>
      <c r="AA83" s="63"/>
      <c r="AB83" s="69"/>
      <c r="AC83" s="83"/>
      <c r="AD83" s="63"/>
      <c r="AE83" s="63"/>
      <c r="AF83" s="75"/>
      <c r="AG83" s="75"/>
      <c r="AH83" s="70"/>
      <c r="AI83" s="75"/>
      <c r="AJ83" s="75"/>
      <c r="AK83" s="75"/>
      <c r="AL83" s="83"/>
      <c r="AM83" s="83"/>
      <c r="AN83" s="83"/>
      <c r="AO83" s="83"/>
      <c r="AP83" s="83"/>
      <c r="AQ83" s="83"/>
      <c r="AR83" s="83"/>
      <c r="AS83" s="83"/>
      <c r="AT83" s="83"/>
      <c r="AU83" s="63"/>
      <c r="AV83" s="71"/>
      <c r="AW83" s="63"/>
      <c r="AX83" s="63"/>
      <c r="AY83" s="63"/>
      <c r="AZ83" s="69"/>
      <c r="BA83" s="69"/>
      <c r="BB83" s="69"/>
      <c r="BC83" s="63"/>
      <c r="BD83" s="83"/>
      <c r="BE83" s="83"/>
      <c r="BF83" s="63"/>
      <c r="BG83" s="63"/>
      <c r="BH83" s="63"/>
      <c r="BI83" s="67"/>
      <c r="BJ83" s="67"/>
      <c r="BK83" s="63"/>
      <c r="BL83" s="63"/>
      <c r="BM83" s="5"/>
      <c r="BN83" s="63"/>
      <c r="BO83" s="5"/>
      <c r="BP83" s="63"/>
      <c r="BQ83" s="63"/>
      <c r="BR83" s="63"/>
      <c r="BS83" s="63"/>
      <c r="BT83" s="83"/>
      <c r="BU83" s="83"/>
      <c r="BV83" s="83"/>
      <c r="BW83" s="83"/>
      <c r="BX83" s="83"/>
      <c r="BY83" s="83"/>
      <c r="BZ83" s="83"/>
      <c r="CA83" s="83"/>
      <c r="CB83" s="83"/>
      <c r="CC83" s="83"/>
      <c r="CD83" s="83"/>
      <c r="CE83" s="63"/>
      <c r="CF83" s="83"/>
      <c r="CG83" s="5"/>
      <c r="CH83" s="83"/>
      <c r="CI83" s="83"/>
      <c r="CJ83" s="83"/>
      <c r="CK83" s="83"/>
      <c r="CL83" s="83"/>
      <c r="CM83" s="69"/>
      <c r="CN83" s="63"/>
      <c r="CO83" s="83"/>
      <c r="CP83" s="83"/>
      <c r="CQ83" s="68"/>
      <c r="CR83" s="68"/>
      <c r="CS83" s="68"/>
      <c r="CT83" s="63"/>
      <c r="CU83" s="68"/>
      <c r="CV83" s="63"/>
      <c r="CW83" s="63"/>
      <c r="CX83" s="63"/>
      <c r="CY83" s="63"/>
      <c r="CZ83" s="63"/>
      <c r="DA83" s="63"/>
      <c r="DB83" s="6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74"/>
      <c r="EE83" s="68"/>
      <c r="EF83" s="63"/>
      <c r="EG83" s="63"/>
      <c r="EH83" s="63"/>
      <c r="EI83" s="83"/>
      <c r="EJ83" s="83"/>
      <c r="EK83" s="83"/>
      <c r="EL83" s="83"/>
      <c r="EM83" s="83"/>
      <c r="EN83" s="83"/>
      <c r="EO83" s="83"/>
      <c r="EP83" s="6"/>
      <c r="EQ83" s="9"/>
      <c r="ER83" s="89"/>
      <c r="ES83" s="83"/>
      <c r="ET83" s="83"/>
      <c r="EU83" s="83"/>
      <c r="EV83" s="83"/>
      <c r="EW83" s="83"/>
      <c r="EX83" s="83"/>
      <c r="EY83" s="83"/>
      <c r="EZ83" s="83"/>
      <c r="FA83" s="83"/>
      <c r="FB83" s="83"/>
      <c r="FC83" s="83"/>
      <c r="FD83" s="83"/>
      <c r="FE83" s="83"/>
      <c r="FF83" s="83"/>
      <c r="FG83" s="83"/>
      <c r="FH83" s="83"/>
      <c r="FI83" s="83"/>
      <c r="FJ83" s="83"/>
      <c r="FK83" s="83"/>
      <c r="FL83" s="6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row>
    <row r="84" s="3" customFormat="1" ht="16.8" spans="1:192">
      <c r="A84" s="8"/>
      <c r="B84" s="8"/>
      <c r="C84" s="8"/>
      <c r="D84" s="77"/>
      <c r="E84" s="77"/>
      <c r="F84" s="62"/>
      <c r="G84" s="8"/>
      <c r="H84" s="8"/>
      <c r="I84" s="8"/>
      <c r="J84" s="8"/>
      <c r="K84" s="77"/>
      <c r="L84" s="8"/>
      <c r="M84" s="77"/>
      <c r="N84" s="77"/>
      <c r="O84" s="77"/>
      <c r="P84" s="77"/>
      <c r="Q84" s="77"/>
      <c r="R84" s="77"/>
      <c r="S84" s="77"/>
      <c r="T84" s="77"/>
      <c r="U84" s="77"/>
      <c r="V84" s="81"/>
      <c r="W84" s="78"/>
      <c r="X84" s="8"/>
      <c r="Y84" s="8"/>
      <c r="Z84" s="8"/>
      <c r="AA84" s="8"/>
      <c r="AB84" s="2"/>
      <c r="AC84" s="77"/>
      <c r="AD84" s="8"/>
      <c r="AE84" s="8"/>
      <c r="AF84" s="79"/>
      <c r="AG84" s="79"/>
      <c r="AH84" s="80"/>
      <c r="AI84" s="79"/>
      <c r="AJ84" s="79"/>
      <c r="AK84" s="79"/>
      <c r="AL84" s="77"/>
      <c r="AM84" s="77"/>
      <c r="AN84" s="77"/>
      <c r="AO84" s="77"/>
      <c r="AP84" s="77"/>
      <c r="AQ84" s="77"/>
      <c r="AR84" s="77"/>
      <c r="AS84" s="77"/>
      <c r="AT84" s="77"/>
      <c r="AU84" s="8"/>
      <c r="AV84" s="71"/>
      <c r="AW84" s="8"/>
      <c r="AX84" s="8"/>
      <c r="AY84" s="8"/>
      <c r="AZ84" s="2"/>
      <c r="BA84" s="2"/>
      <c r="BB84" s="2"/>
      <c r="BC84" s="8"/>
      <c r="BD84" s="77"/>
      <c r="BE84" s="77"/>
      <c r="BF84" s="63"/>
      <c r="BG84" s="8"/>
      <c r="BH84" s="8"/>
      <c r="BI84" s="67"/>
      <c r="BJ84" s="67"/>
      <c r="BK84" s="8"/>
      <c r="BL84" s="8"/>
      <c r="BM84" s="5"/>
      <c r="BN84" s="8"/>
      <c r="BO84" s="5"/>
      <c r="BP84" s="8"/>
      <c r="BQ84" s="8"/>
      <c r="BR84" s="8"/>
      <c r="BS84" s="8"/>
      <c r="BT84" s="77"/>
      <c r="BU84" s="77"/>
      <c r="BV84" s="77"/>
      <c r="BW84" s="77"/>
      <c r="BX84" s="77"/>
      <c r="BY84" s="77"/>
      <c r="BZ84" s="77"/>
      <c r="CA84" s="77"/>
      <c r="CB84" s="77"/>
      <c r="CC84" s="77"/>
      <c r="CD84" s="77"/>
      <c r="CE84" s="8"/>
      <c r="CF84" s="77"/>
      <c r="CG84" s="5"/>
      <c r="CH84" s="77"/>
      <c r="CI84" s="77"/>
      <c r="CJ84" s="77"/>
      <c r="CK84" s="77"/>
      <c r="CL84" s="77"/>
      <c r="CM84" s="2"/>
      <c r="CN84" s="8"/>
      <c r="CO84" s="77"/>
      <c r="CP84" s="77"/>
      <c r="CQ84" s="81"/>
      <c r="CR84" s="81"/>
      <c r="CS84" s="81"/>
      <c r="CT84" s="8"/>
      <c r="CU84" s="81"/>
      <c r="CV84" s="8"/>
      <c r="CW84" s="8"/>
      <c r="CX84" s="8"/>
      <c r="CY84" s="8"/>
      <c r="CZ84" s="8"/>
      <c r="DA84" s="8"/>
      <c r="DB84" s="8"/>
      <c r="DC84" s="77"/>
      <c r="DD84" s="77"/>
      <c r="DE84" s="77"/>
      <c r="DF84" s="77"/>
      <c r="DG84" s="77"/>
      <c r="DH84" s="77"/>
      <c r="DI84" s="77"/>
      <c r="DJ84" s="77"/>
      <c r="DK84" s="77"/>
      <c r="DL84" s="77"/>
      <c r="DM84" s="77"/>
      <c r="DN84" s="77"/>
      <c r="DO84" s="77"/>
      <c r="DP84" s="77"/>
      <c r="DQ84" s="77"/>
      <c r="DR84" s="77"/>
      <c r="DS84" s="77"/>
      <c r="DT84" s="77"/>
      <c r="DU84" s="77"/>
      <c r="DV84" s="77"/>
      <c r="DW84" s="77"/>
      <c r="DX84" s="77"/>
      <c r="DY84" s="77"/>
      <c r="DZ84" s="77"/>
      <c r="EA84" s="77"/>
      <c r="EB84" s="77"/>
      <c r="EC84" s="77"/>
      <c r="ED84" s="74"/>
      <c r="EE84" s="81"/>
      <c r="EF84" s="8"/>
      <c r="EG84" s="8"/>
      <c r="EH84" s="8"/>
      <c r="EI84" s="77"/>
      <c r="EJ84" s="77"/>
      <c r="EK84" s="77"/>
      <c r="EL84" s="77"/>
      <c r="EM84" s="77"/>
      <c r="EN84" s="77"/>
      <c r="EO84" s="77"/>
      <c r="EP84" s="6"/>
      <c r="EQ84" s="9"/>
      <c r="ER84" s="82"/>
      <c r="ES84" s="77"/>
      <c r="ET84" s="77"/>
      <c r="EU84" s="77"/>
      <c r="EV84" s="77"/>
      <c r="EW84" s="77"/>
      <c r="EX84" s="77"/>
      <c r="EY84" s="77"/>
      <c r="EZ84" s="77"/>
      <c r="FA84" s="77"/>
      <c r="FB84" s="77"/>
      <c r="FC84" s="77"/>
      <c r="FD84" s="77"/>
      <c r="FE84" s="77"/>
      <c r="FF84" s="77"/>
      <c r="FG84" s="77"/>
      <c r="FH84" s="77"/>
      <c r="FI84" s="77"/>
      <c r="FJ84" s="77"/>
      <c r="FK84" s="77"/>
      <c r="FL84" s="8"/>
      <c r="FM84" s="77"/>
      <c r="FN84" s="77"/>
      <c r="FO84" s="77"/>
      <c r="FP84" s="77"/>
      <c r="FQ84" s="77"/>
      <c r="FR84" s="77"/>
      <c r="FS84" s="77"/>
      <c r="FT84" s="77"/>
      <c r="FU84" s="77"/>
      <c r="FV84" s="77"/>
      <c r="FW84" s="77"/>
      <c r="FX84" s="77"/>
      <c r="FY84" s="77"/>
      <c r="FZ84" s="77"/>
      <c r="GA84" s="77"/>
      <c r="GB84" s="77"/>
      <c r="GC84" s="77"/>
      <c r="GD84" s="77"/>
      <c r="GE84" s="77"/>
      <c r="GF84" s="77"/>
      <c r="GG84" s="77"/>
      <c r="GH84" s="77"/>
      <c r="GI84" s="77"/>
      <c r="GJ84" s="77"/>
    </row>
    <row r="85" customFormat="1" ht="16.8" spans="1:192">
      <c r="A85" s="5"/>
      <c r="B85" s="61"/>
      <c r="C85" s="5"/>
      <c r="D85" s="61"/>
      <c r="E85" s="61"/>
      <c r="F85" s="62"/>
      <c r="G85" s="5"/>
      <c r="H85" s="5"/>
      <c r="I85" s="5"/>
      <c r="J85" s="5"/>
      <c r="K85" s="61"/>
      <c r="L85" s="67"/>
      <c r="M85" s="61"/>
      <c r="N85" s="61"/>
      <c r="O85" s="61"/>
      <c r="P85" s="61"/>
      <c r="Q85" s="61"/>
      <c r="R85" s="61"/>
      <c r="S85" s="61"/>
      <c r="T85" s="61"/>
      <c r="U85" s="61"/>
      <c r="V85" s="6"/>
      <c r="W85" s="7"/>
      <c r="X85" s="5"/>
      <c r="Y85" s="5"/>
      <c r="Z85" s="5"/>
      <c r="AA85" s="5"/>
      <c r="AB85" s="69"/>
      <c r="AC85" s="61"/>
      <c r="AD85" s="5"/>
      <c r="AE85" s="5"/>
      <c r="AF85" s="61"/>
      <c r="AG85" s="61"/>
      <c r="AH85" s="71"/>
      <c r="AI85" s="61"/>
      <c r="AJ85" s="61"/>
      <c r="AK85" s="61"/>
      <c r="AL85" s="61"/>
      <c r="AM85" s="61"/>
      <c r="AN85" s="61"/>
      <c r="AO85" s="61"/>
      <c r="AP85" s="61"/>
      <c r="AQ85" s="61"/>
      <c r="AR85" s="61"/>
      <c r="AS85" s="61"/>
      <c r="AT85" s="61"/>
      <c r="AU85" s="5"/>
      <c r="AV85" s="71"/>
      <c r="AW85" s="5"/>
      <c r="AX85" s="5"/>
      <c r="AY85" s="5"/>
      <c r="AZ85" s="69"/>
      <c r="BA85" s="69"/>
      <c r="BB85" s="69"/>
      <c r="BC85" s="5"/>
      <c r="BD85" s="61"/>
      <c r="BE85" s="61"/>
      <c r="BF85" s="67"/>
      <c r="BG85" s="67"/>
      <c r="BH85" s="67"/>
      <c r="BI85" s="67"/>
      <c r="BJ85" s="67"/>
      <c r="BK85" s="67"/>
      <c r="BL85" s="5"/>
      <c r="BM85" s="5"/>
      <c r="BN85" s="5"/>
      <c r="BO85" s="5"/>
      <c r="BP85" s="5"/>
      <c r="BQ85" s="5"/>
      <c r="BR85" s="5"/>
      <c r="BS85" s="5"/>
      <c r="BT85" s="61"/>
      <c r="BU85" s="61"/>
      <c r="BV85" s="61"/>
      <c r="BW85" s="61"/>
      <c r="BX85" s="61"/>
      <c r="BY85" s="61"/>
      <c r="BZ85" s="61"/>
      <c r="CA85" s="61"/>
      <c r="CB85" s="61"/>
      <c r="CC85" s="61"/>
      <c r="CD85" s="61"/>
      <c r="CE85" s="5"/>
      <c r="CF85" s="61"/>
      <c r="CG85" s="61"/>
      <c r="CH85" s="61"/>
      <c r="CI85" s="61"/>
      <c r="CJ85" s="61"/>
      <c r="CK85" s="61"/>
      <c r="CL85" s="61"/>
      <c r="CM85" s="69"/>
      <c r="CN85" s="5"/>
      <c r="CO85" s="61"/>
      <c r="CP85" s="61"/>
      <c r="CQ85" s="73"/>
      <c r="CR85" s="73"/>
      <c r="CS85" s="73"/>
      <c r="CT85" s="5"/>
      <c r="CU85" s="73"/>
      <c r="CV85" s="5"/>
      <c r="CW85" s="5"/>
      <c r="CX85" s="5"/>
      <c r="CY85" s="5"/>
      <c r="CZ85" s="5"/>
      <c r="DA85" s="5"/>
      <c r="DB85" s="5"/>
      <c r="DC85" s="61"/>
      <c r="DD85" s="61"/>
      <c r="DE85" s="61"/>
      <c r="DF85" s="61"/>
      <c r="DG85" s="61"/>
      <c r="DH85" s="61"/>
      <c r="DI85" s="61"/>
      <c r="DJ85" s="61"/>
      <c r="DK85" s="61"/>
      <c r="DL85" s="61"/>
      <c r="DM85" s="61"/>
      <c r="DN85" s="61"/>
      <c r="DO85" s="61"/>
      <c r="DP85" s="61"/>
      <c r="DQ85" s="61"/>
      <c r="DR85" s="61"/>
      <c r="DS85" s="61"/>
      <c r="DT85" s="61"/>
      <c r="DU85" s="61"/>
      <c r="DV85" s="61"/>
      <c r="DW85" s="61"/>
      <c r="DX85" s="61"/>
      <c r="DY85" s="61"/>
      <c r="DZ85" s="61"/>
      <c r="EA85" s="61"/>
      <c r="EB85" s="61"/>
      <c r="EC85" s="61"/>
      <c r="ED85" s="74"/>
      <c r="EE85" s="6"/>
      <c r="EF85" s="5"/>
      <c r="EG85" s="5"/>
      <c r="EH85" s="5"/>
      <c r="EI85" s="61"/>
      <c r="EJ85" s="61"/>
      <c r="EK85" s="61"/>
      <c r="EL85" s="61"/>
      <c r="EM85" s="61"/>
      <c r="EN85" s="61"/>
      <c r="EO85" s="61"/>
      <c r="EP85" s="6"/>
      <c r="EQ85" s="9"/>
      <c r="ER85" s="9"/>
      <c r="ES85" s="61"/>
      <c r="ET85" s="61"/>
      <c r="EU85" s="61"/>
      <c r="EV85" s="61"/>
      <c r="EW85" s="61"/>
      <c r="EX85" s="61"/>
      <c r="EY85" s="61"/>
      <c r="EZ85" s="61"/>
      <c r="FA85" s="61"/>
      <c r="FB85" s="61"/>
      <c r="FC85" s="61"/>
      <c r="FD85" s="61"/>
      <c r="FE85" s="61"/>
      <c r="FF85" s="61"/>
      <c r="FG85" s="61"/>
      <c r="FH85" s="61"/>
      <c r="FI85" s="61"/>
      <c r="FJ85" s="61"/>
      <c r="FK85" s="61"/>
      <c r="FL85" s="5"/>
      <c r="FM85" s="61"/>
      <c r="FN85" s="61"/>
      <c r="FO85" s="61"/>
      <c r="FP85" s="61"/>
      <c r="FQ85" s="61"/>
      <c r="FR85" s="61"/>
      <c r="FS85" s="61"/>
      <c r="FT85" s="61"/>
      <c r="FU85" s="61"/>
      <c r="FV85" s="61"/>
      <c r="FW85" s="61"/>
      <c r="FX85" s="61"/>
      <c r="FY85" s="61"/>
      <c r="FZ85" s="61"/>
      <c r="GA85" s="61"/>
      <c r="GB85" s="61"/>
      <c r="GC85" s="61"/>
      <c r="GD85" s="61"/>
      <c r="GE85" s="61"/>
      <c r="GF85" s="61"/>
      <c r="GG85" s="61"/>
      <c r="GH85" s="61"/>
      <c r="GI85" s="61"/>
      <c r="GJ85" s="61"/>
    </row>
    <row r="86" customFormat="1" ht="16.8" spans="1:192">
      <c r="A86" s="5"/>
      <c r="B86" s="61"/>
      <c r="C86" s="5"/>
      <c r="D86" s="61"/>
      <c r="E86" s="61"/>
      <c r="F86" s="62"/>
      <c r="G86" s="5"/>
      <c r="H86" s="5"/>
      <c r="I86" s="5"/>
      <c r="J86" s="5"/>
      <c r="K86" s="61"/>
      <c r="L86" s="67"/>
      <c r="M86" s="61"/>
      <c r="N86" s="61"/>
      <c r="O86" s="61"/>
      <c r="P86" s="61"/>
      <c r="Q86" s="61"/>
      <c r="R86" s="61"/>
      <c r="S86" s="61"/>
      <c r="T86" s="61"/>
      <c r="U86" s="61"/>
      <c r="V86" s="6"/>
      <c r="W86" s="7"/>
      <c r="X86" s="5"/>
      <c r="Y86" s="5"/>
      <c r="Z86" s="5"/>
      <c r="AA86" s="5"/>
      <c r="AB86" s="69"/>
      <c r="AC86" s="61"/>
      <c r="AD86" s="5"/>
      <c r="AE86" s="5"/>
      <c r="AF86" s="61"/>
      <c r="AG86" s="61"/>
      <c r="AH86" s="71"/>
      <c r="AI86" s="61"/>
      <c r="AJ86" s="61"/>
      <c r="AK86" s="61"/>
      <c r="AL86" s="61"/>
      <c r="AM86" s="61"/>
      <c r="AN86" s="61"/>
      <c r="AO86" s="61"/>
      <c r="AP86" s="61"/>
      <c r="AQ86" s="61"/>
      <c r="AR86" s="61"/>
      <c r="AS86" s="61"/>
      <c r="AT86" s="61"/>
      <c r="AU86" s="5"/>
      <c r="AV86" s="71"/>
      <c r="AW86" s="5"/>
      <c r="AX86" s="5"/>
      <c r="AY86" s="5"/>
      <c r="AZ86" s="69"/>
      <c r="BA86" s="69"/>
      <c r="BB86" s="69"/>
      <c r="BC86" s="5"/>
      <c r="BD86" s="61"/>
      <c r="BE86" s="61"/>
      <c r="BF86" s="67"/>
      <c r="BG86" s="67"/>
      <c r="BH86" s="67"/>
      <c r="BI86" s="67"/>
      <c r="BJ86" s="67"/>
      <c r="BK86" s="67"/>
      <c r="BL86" s="5"/>
      <c r="BM86" s="5"/>
      <c r="BN86" s="5"/>
      <c r="BO86" s="5"/>
      <c r="BP86" s="5"/>
      <c r="BQ86" s="5"/>
      <c r="BR86" s="5"/>
      <c r="BS86" s="5"/>
      <c r="BT86" s="61"/>
      <c r="BU86" s="61"/>
      <c r="BV86" s="61"/>
      <c r="BW86" s="61"/>
      <c r="BX86" s="61"/>
      <c r="BY86" s="61"/>
      <c r="BZ86" s="61"/>
      <c r="CA86" s="61"/>
      <c r="CB86" s="61"/>
      <c r="CC86" s="61"/>
      <c r="CD86" s="61"/>
      <c r="CE86" s="5"/>
      <c r="CF86" s="61"/>
      <c r="CG86" s="61"/>
      <c r="CH86" s="61"/>
      <c r="CI86" s="61"/>
      <c r="CJ86" s="61"/>
      <c r="CK86" s="61"/>
      <c r="CL86" s="61"/>
      <c r="CM86" s="69"/>
      <c r="CN86" s="5"/>
      <c r="CO86" s="61"/>
      <c r="CP86" s="61"/>
      <c r="CQ86" s="73"/>
      <c r="CR86" s="73"/>
      <c r="CS86" s="73"/>
      <c r="CT86" s="5"/>
      <c r="CU86" s="73"/>
      <c r="CV86" s="5"/>
      <c r="CW86" s="5"/>
      <c r="CX86" s="5"/>
      <c r="CY86" s="5"/>
      <c r="CZ86" s="5"/>
      <c r="DA86" s="5"/>
      <c r="DB86" s="5"/>
      <c r="DC86" s="61"/>
      <c r="DD86" s="61"/>
      <c r="DE86" s="61"/>
      <c r="DF86" s="61"/>
      <c r="DG86" s="61"/>
      <c r="DH86" s="61"/>
      <c r="DI86" s="61"/>
      <c r="DJ86" s="61"/>
      <c r="DK86" s="61"/>
      <c r="DL86" s="61"/>
      <c r="DM86" s="61"/>
      <c r="DN86" s="61"/>
      <c r="DO86" s="61"/>
      <c r="DP86" s="61"/>
      <c r="DQ86" s="61"/>
      <c r="DR86" s="61"/>
      <c r="DS86" s="61"/>
      <c r="DT86" s="61"/>
      <c r="DU86" s="61"/>
      <c r="DV86" s="61"/>
      <c r="DW86" s="61"/>
      <c r="DX86" s="61"/>
      <c r="DY86" s="61"/>
      <c r="DZ86" s="61"/>
      <c r="EA86" s="61"/>
      <c r="EB86" s="61"/>
      <c r="EC86" s="61"/>
      <c r="ED86" s="74"/>
      <c r="EE86" s="6"/>
      <c r="EF86" s="5"/>
      <c r="EG86" s="5"/>
      <c r="EH86" s="5"/>
      <c r="EI86" s="61"/>
      <c r="EJ86" s="61"/>
      <c r="EK86" s="61"/>
      <c r="EL86" s="61"/>
      <c r="EM86" s="61"/>
      <c r="EN86" s="61"/>
      <c r="EO86" s="61"/>
      <c r="EP86" s="6"/>
      <c r="EQ86" s="9"/>
      <c r="ER86" s="9"/>
      <c r="ES86" s="61"/>
      <c r="ET86" s="61"/>
      <c r="EU86" s="61"/>
      <c r="EV86" s="61"/>
      <c r="EW86" s="61"/>
      <c r="EX86" s="61"/>
      <c r="EY86" s="61"/>
      <c r="EZ86" s="61"/>
      <c r="FA86" s="61"/>
      <c r="FB86" s="61"/>
      <c r="FC86" s="61"/>
      <c r="FD86" s="61"/>
      <c r="FE86" s="61"/>
      <c r="FF86" s="61"/>
      <c r="FG86" s="61"/>
      <c r="FH86" s="61"/>
      <c r="FI86" s="61"/>
      <c r="FJ86" s="61"/>
      <c r="FK86" s="61"/>
      <c r="FL86" s="5"/>
      <c r="FM86" s="61"/>
      <c r="FN86" s="61"/>
      <c r="FO86" s="61"/>
      <c r="FP86" s="61"/>
      <c r="FQ86" s="61"/>
      <c r="FR86" s="61"/>
      <c r="FS86" s="61"/>
      <c r="FT86" s="61"/>
      <c r="FU86" s="61"/>
      <c r="FV86" s="61"/>
      <c r="FW86" s="61"/>
      <c r="FX86" s="61"/>
      <c r="FY86" s="61"/>
      <c r="FZ86" s="61"/>
      <c r="GA86" s="61"/>
      <c r="GB86" s="61"/>
      <c r="GC86" s="61"/>
      <c r="GD86" s="61"/>
      <c r="GE86" s="61"/>
      <c r="GF86" s="61"/>
      <c r="GG86" s="61"/>
      <c r="GH86" s="61"/>
      <c r="GI86" s="61"/>
      <c r="GJ86" s="61"/>
    </row>
    <row r="87" customFormat="1" ht="16.8" spans="1:192">
      <c r="A87" s="5"/>
      <c r="B87" s="61"/>
      <c r="C87" s="5"/>
      <c r="D87" s="61"/>
      <c r="E87" s="61"/>
      <c r="F87" s="62"/>
      <c r="G87" s="5"/>
      <c r="H87" s="5"/>
      <c r="I87" s="5"/>
      <c r="J87" s="5"/>
      <c r="K87" s="61"/>
      <c r="L87" s="67"/>
      <c r="M87" s="61"/>
      <c r="N87" s="61"/>
      <c r="O87" s="61"/>
      <c r="P87" s="61"/>
      <c r="Q87" s="61"/>
      <c r="R87" s="61"/>
      <c r="S87" s="61"/>
      <c r="T87" s="61"/>
      <c r="U87" s="61"/>
      <c r="V87" s="6"/>
      <c r="W87" s="7"/>
      <c r="X87" s="5"/>
      <c r="Y87" s="5"/>
      <c r="Z87" s="5"/>
      <c r="AA87" s="5"/>
      <c r="AB87" s="69"/>
      <c r="AC87" s="61"/>
      <c r="AD87" s="5"/>
      <c r="AE87" s="5"/>
      <c r="AF87" s="61"/>
      <c r="AG87" s="61"/>
      <c r="AH87" s="71"/>
      <c r="AI87" s="61"/>
      <c r="AJ87" s="61"/>
      <c r="AK87" s="61"/>
      <c r="AL87" s="61"/>
      <c r="AM87" s="61"/>
      <c r="AN87" s="61"/>
      <c r="AO87" s="61"/>
      <c r="AP87" s="61"/>
      <c r="AQ87" s="61"/>
      <c r="AR87" s="61"/>
      <c r="AS87" s="61"/>
      <c r="AT87" s="61"/>
      <c r="AU87" s="5"/>
      <c r="AV87" s="71"/>
      <c r="AW87" s="5"/>
      <c r="AX87" s="5"/>
      <c r="AY87" s="5"/>
      <c r="AZ87" s="69"/>
      <c r="BA87" s="69"/>
      <c r="BB87" s="69"/>
      <c r="BC87" s="5"/>
      <c r="BD87" s="61"/>
      <c r="BE87" s="61"/>
      <c r="BF87" s="67"/>
      <c r="BG87" s="67"/>
      <c r="BH87" s="67"/>
      <c r="BI87" s="67"/>
      <c r="BJ87" s="67"/>
      <c r="BK87" s="67"/>
      <c r="BL87" s="5"/>
      <c r="BM87" s="5"/>
      <c r="BN87" s="5"/>
      <c r="BO87" s="5"/>
      <c r="BP87" s="5"/>
      <c r="BQ87" s="5"/>
      <c r="BR87" s="5"/>
      <c r="BS87" s="5"/>
      <c r="BT87" s="61"/>
      <c r="BU87" s="61"/>
      <c r="BV87" s="61"/>
      <c r="BW87" s="61"/>
      <c r="BX87" s="61"/>
      <c r="BY87" s="61"/>
      <c r="BZ87" s="61"/>
      <c r="CA87" s="61"/>
      <c r="CB87" s="61"/>
      <c r="CC87" s="61"/>
      <c r="CD87" s="61"/>
      <c r="CE87" s="5"/>
      <c r="CF87" s="61"/>
      <c r="CG87" s="61"/>
      <c r="CH87" s="61"/>
      <c r="CI87" s="61"/>
      <c r="CJ87" s="61"/>
      <c r="CK87" s="61"/>
      <c r="CL87" s="61"/>
      <c r="CM87" s="69"/>
      <c r="CN87" s="5"/>
      <c r="CO87" s="61"/>
      <c r="CP87" s="61"/>
      <c r="CQ87" s="73"/>
      <c r="CR87" s="73"/>
      <c r="CS87" s="73"/>
      <c r="CT87" s="5"/>
      <c r="CU87" s="73"/>
      <c r="CV87" s="5"/>
      <c r="CW87" s="5"/>
      <c r="CX87" s="5"/>
      <c r="CY87" s="5"/>
      <c r="CZ87" s="5"/>
      <c r="DA87" s="5"/>
      <c r="DB87" s="5"/>
      <c r="DC87" s="61"/>
      <c r="DD87" s="61"/>
      <c r="DE87" s="61"/>
      <c r="DF87" s="61"/>
      <c r="DG87" s="61"/>
      <c r="DH87" s="61"/>
      <c r="DI87" s="61"/>
      <c r="DJ87" s="61"/>
      <c r="DK87" s="61"/>
      <c r="DL87" s="61"/>
      <c r="DM87" s="61"/>
      <c r="DN87" s="61"/>
      <c r="DO87" s="61"/>
      <c r="DP87" s="61"/>
      <c r="DQ87" s="61"/>
      <c r="DR87" s="61"/>
      <c r="DS87" s="61"/>
      <c r="DT87" s="61"/>
      <c r="DU87" s="61"/>
      <c r="DV87" s="61"/>
      <c r="DW87" s="61"/>
      <c r="DX87" s="61"/>
      <c r="DY87" s="61"/>
      <c r="DZ87" s="61"/>
      <c r="EA87" s="61"/>
      <c r="EB87" s="61"/>
      <c r="EC87" s="61"/>
      <c r="ED87" s="74"/>
      <c r="EE87" s="6"/>
      <c r="EF87" s="5"/>
      <c r="EG87" s="5"/>
      <c r="EH87" s="5"/>
      <c r="EI87" s="61"/>
      <c r="EJ87" s="61"/>
      <c r="EK87" s="61"/>
      <c r="EL87" s="61"/>
      <c r="EM87" s="61"/>
      <c r="EN87" s="61"/>
      <c r="EO87" s="61"/>
      <c r="EP87" s="6"/>
      <c r="EQ87" s="9"/>
      <c r="ER87" s="9"/>
      <c r="ES87" s="61"/>
      <c r="ET87" s="61"/>
      <c r="EU87" s="61"/>
      <c r="EV87" s="61"/>
      <c r="EW87" s="61"/>
      <c r="EX87" s="61"/>
      <c r="EY87" s="61"/>
      <c r="EZ87" s="61"/>
      <c r="FA87" s="61"/>
      <c r="FB87" s="61"/>
      <c r="FC87" s="61"/>
      <c r="FD87" s="61"/>
      <c r="FE87" s="61"/>
      <c r="FF87" s="61"/>
      <c r="FG87" s="61"/>
      <c r="FH87" s="61"/>
      <c r="FI87" s="61"/>
      <c r="FJ87" s="61"/>
      <c r="FK87" s="61"/>
      <c r="FL87" s="5"/>
      <c r="FM87" s="61"/>
      <c r="FN87" s="61"/>
      <c r="FO87" s="61"/>
      <c r="FP87" s="61"/>
      <c r="FQ87" s="61"/>
      <c r="FR87" s="61"/>
      <c r="FS87" s="61"/>
      <c r="FT87" s="61"/>
      <c r="FU87" s="61"/>
      <c r="FV87" s="61"/>
      <c r="FW87" s="61"/>
      <c r="FX87" s="61"/>
      <c r="FY87" s="61"/>
      <c r="FZ87" s="61"/>
      <c r="GA87" s="61"/>
      <c r="GB87" s="61"/>
      <c r="GC87" s="61"/>
      <c r="GD87" s="61"/>
      <c r="GE87" s="61"/>
      <c r="GF87" s="61"/>
      <c r="GG87" s="61"/>
      <c r="GH87" s="61"/>
      <c r="GI87" s="61"/>
      <c r="GJ87" s="61"/>
    </row>
    <row r="88" customFormat="1" ht="16.8" spans="1:192">
      <c r="A88" s="5"/>
      <c r="B88" s="61"/>
      <c r="C88" s="5"/>
      <c r="D88" s="61"/>
      <c r="E88" s="61"/>
      <c r="F88" s="62"/>
      <c r="G88" s="5"/>
      <c r="H88" s="5"/>
      <c r="I88" s="5"/>
      <c r="J88" s="5"/>
      <c r="K88" s="61"/>
      <c r="L88" s="67"/>
      <c r="M88" s="61"/>
      <c r="N88" s="61"/>
      <c r="O88" s="61"/>
      <c r="P88" s="61"/>
      <c r="Q88" s="61"/>
      <c r="R88" s="61"/>
      <c r="S88" s="61"/>
      <c r="T88" s="61"/>
      <c r="U88" s="61"/>
      <c r="V88" s="6"/>
      <c r="W88" s="7"/>
      <c r="X88" s="5"/>
      <c r="Y88" s="5"/>
      <c r="Z88" s="5"/>
      <c r="AA88" s="5"/>
      <c r="AB88" s="69"/>
      <c r="AC88" s="61"/>
      <c r="AD88" s="5"/>
      <c r="AE88" s="5"/>
      <c r="AF88" s="61"/>
      <c r="AG88" s="61"/>
      <c r="AH88" s="71"/>
      <c r="AI88" s="61"/>
      <c r="AJ88" s="61"/>
      <c r="AK88" s="61"/>
      <c r="AL88" s="61"/>
      <c r="AM88" s="61"/>
      <c r="AN88" s="61"/>
      <c r="AO88" s="61"/>
      <c r="AP88" s="61"/>
      <c r="AQ88" s="61"/>
      <c r="AR88" s="61"/>
      <c r="AS88" s="61"/>
      <c r="AT88" s="61"/>
      <c r="AU88" s="5"/>
      <c r="AV88" s="71"/>
      <c r="AW88" s="5"/>
      <c r="AX88" s="5"/>
      <c r="AY88" s="5"/>
      <c r="AZ88" s="69"/>
      <c r="BA88" s="69"/>
      <c r="BB88" s="69"/>
      <c r="BC88" s="5"/>
      <c r="BD88" s="61"/>
      <c r="BE88" s="61"/>
      <c r="BF88" s="67"/>
      <c r="BG88" s="67"/>
      <c r="BH88" s="67"/>
      <c r="BI88" s="67"/>
      <c r="BJ88" s="67"/>
      <c r="BK88" s="67"/>
      <c r="BL88" s="5"/>
      <c r="BM88" s="5"/>
      <c r="BN88" s="5"/>
      <c r="BO88" s="5"/>
      <c r="BP88" s="5"/>
      <c r="BQ88" s="5"/>
      <c r="BR88" s="5"/>
      <c r="BS88" s="5"/>
      <c r="BT88" s="61"/>
      <c r="BU88" s="61"/>
      <c r="BV88" s="61"/>
      <c r="BW88" s="61"/>
      <c r="BX88" s="61"/>
      <c r="BY88" s="61"/>
      <c r="BZ88" s="61"/>
      <c r="CA88" s="61"/>
      <c r="CB88" s="61"/>
      <c r="CC88" s="61"/>
      <c r="CD88" s="61"/>
      <c r="CE88" s="5"/>
      <c r="CF88" s="61"/>
      <c r="CG88" s="61"/>
      <c r="CH88" s="61"/>
      <c r="CI88" s="61"/>
      <c r="CJ88" s="61"/>
      <c r="CK88" s="61"/>
      <c r="CL88" s="61"/>
      <c r="CM88" s="69"/>
      <c r="CN88" s="5"/>
      <c r="CO88" s="61"/>
      <c r="CP88" s="61"/>
      <c r="CQ88" s="73"/>
      <c r="CR88" s="73"/>
      <c r="CS88" s="73"/>
      <c r="CT88" s="5"/>
      <c r="CU88" s="73"/>
      <c r="CV88" s="5"/>
      <c r="CW88" s="5"/>
      <c r="CX88" s="5"/>
      <c r="CY88" s="5"/>
      <c r="CZ88" s="5"/>
      <c r="DA88" s="5"/>
      <c r="DB88" s="5"/>
      <c r="DC88" s="61"/>
      <c r="DD88" s="61"/>
      <c r="DE88" s="61"/>
      <c r="DF88" s="61"/>
      <c r="DG88" s="61"/>
      <c r="DH88" s="61"/>
      <c r="DI88" s="61"/>
      <c r="DJ88" s="61"/>
      <c r="DK88" s="61"/>
      <c r="DL88" s="61"/>
      <c r="DM88" s="61"/>
      <c r="DN88" s="61"/>
      <c r="DO88" s="61"/>
      <c r="DP88" s="61"/>
      <c r="DQ88" s="61"/>
      <c r="DR88" s="61"/>
      <c r="DS88" s="61"/>
      <c r="DT88" s="61"/>
      <c r="DU88" s="61"/>
      <c r="DV88" s="61"/>
      <c r="DW88" s="61"/>
      <c r="DX88" s="61"/>
      <c r="DY88" s="61"/>
      <c r="DZ88" s="61"/>
      <c r="EA88" s="61"/>
      <c r="EB88" s="61"/>
      <c r="EC88" s="61"/>
      <c r="ED88" s="74"/>
      <c r="EE88" s="6"/>
      <c r="EF88" s="5"/>
      <c r="EG88" s="5"/>
      <c r="EH88" s="5"/>
      <c r="EI88" s="61"/>
      <c r="EJ88" s="61"/>
      <c r="EK88" s="61"/>
      <c r="EL88" s="61"/>
      <c r="EM88" s="61"/>
      <c r="EN88" s="61"/>
      <c r="EO88" s="61"/>
      <c r="EP88" s="6"/>
      <c r="EQ88" s="9"/>
      <c r="ER88" s="9"/>
      <c r="ES88" s="61"/>
      <c r="ET88" s="61"/>
      <c r="EU88" s="61"/>
      <c r="EV88" s="61"/>
      <c r="EW88" s="61"/>
      <c r="EX88" s="61"/>
      <c r="EY88" s="61"/>
      <c r="EZ88" s="61"/>
      <c r="FA88" s="61"/>
      <c r="FB88" s="61"/>
      <c r="FC88" s="61"/>
      <c r="FD88" s="61"/>
      <c r="FE88" s="61"/>
      <c r="FF88" s="61"/>
      <c r="FG88" s="61"/>
      <c r="FH88" s="61"/>
      <c r="FI88" s="61"/>
      <c r="FJ88" s="61"/>
      <c r="FK88" s="61"/>
      <c r="FL88" s="5"/>
      <c r="FM88" s="61"/>
      <c r="FN88" s="61"/>
      <c r="FO88" s="61"/>
      <c r="FP88" s="61"/>
      <c r="FQ88" s="61"/>
      <c r="FR88" s="61"/>
      <c r="FS88" s="61"/>
      <c r="FT88" s="61"/>
      <c r="FU88" s="61"/>
      <c r="FV88" s="61"/>
      <c r="FW88" s="61"/>
      <c r="FX88" s="61"/>
      <c r="FY88" s="61"/>
      <c r="FZ88" s="61"/>
      <c r="GA88" s="61"/>
      <c r="GB88" s="61"/>
      <c r="GC88" s="61"/>
      <c r="GD88" s="61"/>
      <c r="GE88" s="61"/>
      <c r="GF88" s="61"/>
      <c r="GG88" s="61"/>
      <c r="GH88" s="61"/>
      <c r="GI88" s="61"/>
      <c r="GJ88" s="61"/>
    </row>
    <row r="89" customFormat="1" ht="16.8" spans="1:192">
      <c r="A89" s="5"/>
      <c r="B89" s="61"/>
      <c r="C89" s="5"/>
      <c r="D89" s="61"/>
      <c r="E89" s="61"/>
      <c r="F89" s="62"/>
      <c r="G89" s="5"/>
      <c r="H89" s="5"/>
      <c r="I89" s="5"/>
      <c r="J89" s="5"/>
      <c r="K89" s="61"/>
      <c r="L89" s="67"/>
      <c r="M89" s="61"/>
      <c r="N89" s="61"/>
      <c r="O89" s="61"/>
      <c r="P89" s="61"/>
      <c r="Q89" s="61"/>
      <c r="R89" s="61"/>
      <c r="S89" s="61"/>
      <c r="T89" s="61"/>
      <c r="U89" s="61"/>
      <c r="V89" s="6"/>
      <c r="W89" s="7"/>
      <c r="X89" s="5"/>
      <c r="Y89" s="5"/>
      <c r="Z89" s="5"/>
      <c r="AA89" s="5"/>
      <c r="AB89" s="69"/>
      <c r="AC89" s="61"/>
      <c r="AD89" s="5"/>
      <c r="AE89" s="5"/>
      <c r="AF89" s="61"/>
      <c r="AG89" s="61"/>
      <c r="AH89" s="71"/>
      <c r="AI89" s="61"/>
      <c r="AJ89" s="61"/>
      <c r="AK89" s="61"/>
      <c r="AL89" s="61"/>
      <c r="AM89" s="61"/>
      <c r="AN89" s="61"/>
      <c r="AO89" s="61"/>
      <c r="AP89" s="61"/>
      <c r="AQ89" s="61"/>
      <c r="AR89" s="61"/>
      <c r="AS89" s="61"/>
      <c r="AT89" s="61"/>
      <c r="AU89" s="5"/>
      <c r="AV89" s="71"/>
      <c r="AW89" s="5"/>
      <c r="AX89" s="5"/>
      <c r="AY89" s="5"/>
      <c r="AZ89" s="69"/>
      <c r="BA89" s="69"/>
      <c r="BB89" s="69"/>
      <c r="BC89" s="5"/>
      <c r="BD89" s="61"/>
      <c r="BE89" s="61"/>
      <c r="BF89" s="67"/>
      <c r="BG89" s="67"/>
      <c r="BH89" s="67"/>
      <c r="BI89" s="67"/>
      <c r="BJ89" s="67"/>
      <c r="BK89" s="67"/>
      <c r="BL89" s="5"/>
      <c r="BM89" s="5"/>
      <c r="BN89" s="5"/>
      <c r="BO89" s="5"/>
      <c r="BP89" s="5"/>
      <c r="BQ89" s="5"/>
      <c r="BR89" s="5"/>
      <c r="BS89" s="5"/>
      <c r="BT89" s="61"/>
      <c r="BU89" s="61"/>
      <c r="BV89" s="61"/>
      <c r="BW89" s="61"/>
      <c r="BX89" s="61"/>
      <c r="BY89" s="61"/>
      <c r="BZ89" s="61"/>
      <c r="CA89" s="61"/>
      <c r="CB89" s="61"/>
      <c r="CC89" s="61"/>
      <c r="CD89" s="61"/>
      <c r="CE89" s="5"/>
      <c r="CF89" s="61"/>
      <c r="CG89" s="61"/>
      <c r="CH89" s="61"/>
      <c r="CI89" s="61"/>
      <c r="CJ89" s="61"/>
      <c r="CK89" s="61"/>
      <c r="CL89" s="61"/>
      <c r="CM89" s="69"/>
      <c r="CN89" s="5"/>
      <c r="CO89" s="61"/>
      <c r="CP89" s="61"/>
      <c r="CQ89" s="73"/>
      <c r="CR89" s="73"/>
      <c r="CS89" s="73"/>
      <c r="CT89" s="5"/>
      <c r="CU89" s="73"/>
      <c r="CV89" s="5"/>
      <c r="CW89" s="5"/>
      <c r="CX89" s="5"/>
      <c r="CY89" s="5"/>
      <c r="CZ89" s="5"/>
      <c r="DA89" s="5"/>
      <c r="DB89" s="5"/>
      <c r="DC89" s="61"/>
      <c r="DD89" s="61"/>
      <c r="DE89" s="61"/>
      <c r="DF89" s="61"/>
      <c r="DG89" s="61"/>
      <c r="DH89" s="61"/>
      <c r="DI89" s="61"/>
      <c r="DJ89" s="61"/>
      <c r="DK89" s="61"/>
      <c r="DL89" s="61"/>
      <c r="DM89" s="61"/>
      <c r="DN89" s="61"/>
      <c r="DO89" s="61"/>
      <c r="DP89" s="61"/>
      <c r="DQ89" s="61"/>
      <c r="DR89" s="61"/>
      <c r="DS89" s="61"/>
      <c r="DT89" s="61"/>
      <c r="DU89" s="61"/>
      <c r="DV89" s="61"/>
      <c r="DW89" s="61"/>
      <c r="DX89" s="61"/>
      <c r="DY89" s="61"/>
      <c r="DZ89" s="61"/>
      <c r="EA89" s="61"/>
      <c r="EB89" s="61"/>
      <c r="EC89" s="61"/>
      <c r="ED89" s="74"/>
      <c r="EE89" s="6"/>
      <c r="EF89" s="5"/>
      <c r="EG89" s="5"/>
      <c r="EH89" s="5"/>
      <c r="EI89" s="61"/>
      <c r="EJ89" s="61"/>
      <c r="EK89" s="61"/>
      <c r="EL89" s="61"/>
      <c r="EM89" s="61"/>
      <c r="EN89" s="61"/>
      <c r="EO89" s="61"/>
      <c r="EP89" s="6"/>
      <c r="EQ89" s="9"/>
      <c r="ER89" s="9"/>
      <c r="ES89" s="61"/>
      <c r="ET89" s="61"/>
      <c r="EU89" s="61"/>
      <c r="EV89" s="61"/>
      <c r="EW89" s="61"/>
      <c r="EX89" s="61"/>
      <c r="EY89" s="61"/>
      <c r="EZ89" s="61"/>
      <c r="FA89" s="61"/>
      <c r="FB89" s="61"/>
      <c r="FC89" s="61"/>
      <c r="FD89" s="61"/>
      <c r="FE89" s="61"/>
      <c r="FF89" s="61"/>
      <c r="FG89" s="61"/>
      <c r="FH89" s="61"/>
      <c r="FI89" s="61"/>
      <c r="FJ89" s="61"/>
      <c r="FK89" s="61"/>
      <c r="FL89" s="5"/>
      <c r="FM89" s="61"/>
      <c r="FN89" s="61"/>
      <c r="FO89" s="61"/>
      <c r="FP89" s="61"/>
      <c r="FQ89" s="61"/>
      <c r="FR89" s="61"/>
      <c r="FS89" s="61"/>
      <c r="FT89" s="61"/>
      <c r="FU89" s="61"/>
      <c r="FV89" s="61"/>
      <c r="FW89" s="61"/>
      <c r="FX89" s="61"/>
      <c r="FY89" s="61"/>
      <c r="FZ89" s="61"/>
      <c r="GA89" s="61"/>
      <c r="GB89" s="61"/>
      <c r="GC89" s="61"/>
      <c r="GD89" s="61"/>
      <c r="GE89" s="61"/>
      <c r="GF89" s="61"/>
      <c r="GG89" s="61"/>
      <c r="GH89" s="61"/>
      <c r="GI89" s="61"/>
      <c r="GJ89" s="61"/>
    </row>
    <row r="90" customFormat="1" ht="16.8" spans="1:192">
      <c r="A90" s="5"/>
      <c r="B90" s="61"/>
      <c r="C90" s="5"/>
      <c r="D90" s="61"/>
      <c r="E90" s="61"/>
      <c r="F90" s="62"/>
      <c r="G90" s="5"/>
      <c r="H90" s="5"/>
      <c r="I90" s="5"/>
      <c r="J90" s="5"/>
      <c r="K90" s="61"/>
      <c r="L90" s="67"/>
      <c r="M90" s="61"/>
      <c r="N90" s="61"/>
      <c r="O90" s="61"/>
      <c r="P90" s="61"/>
      <c r="Q90" s="61"/>
      <c r="R90" s="61"/>
      <c r="S90" s="61"/>
      <c r="T90" s="61"/>
      <c r="U90" s="61"/>
      <c r="V90" s="6"/>
      <c r="W90" s="7"/>
      <c r="X90" s="5"/>
      <c r="Y90" s="5"/>
      <c r="Z90" s="5"/>
      <c r="AA90" s="5"/>
      <c r="AB90" s="69"/>
      <c r="AC90" s="61"/>
      <c r="AD90" s="5"/>
      <c r="AE90" s="5"/>
      <c r="AF90" s="61"/>
      <c r="AG90" s="61"/>
      <c r="AH90" s="71"/>
      <c r="AI90" s="61"/>
      <c r="AJ90" s="61"/>
      <c r="AK90" s="61"/>
      <c r="AL90" s="61"/>
      <c r="AM90" s="61"/>
      <c r="AN90" s="61"/>
      <c r="AO90" s="61"/>
      <c r="AP90" s="61"/>
      <c r="AQ90" s="61"/>
      <c r="AR90" s="61"/>
      <c r="AS90" s="61"/>
      <c r="AT90" s="61"/>
      <c r="AU90" s="5"/>
      <c r="AV90" s="71"/>
      <c r="AW90" s="5"/>
      <c r="AX90" s="5"/>
      <c r="AY90" s="5"/>
      <c r="AZ90" s="69"/>
      <c r="BA90" s="69"/>
      <c r="BB90" s="69"/>
      <c r="BC90" s="5"/>
      <c r="BD90" s="61"/>
      <c r="BE90" s="61"/>
      <c r="BF90" s="67"/>
      <c r="BG90" s="67"/>
      <c r="BH90" s="67"/>
      <c r="BI90" s="67"/>
      <c r="BJ90" s="67"/>
      <c r="BK90" s="67"/>
      <c r="BL90" s="5"/>
      <c r="BM90" s="5"/>
      <c r="BN90" s="5"/>
      <c r="BO90" s="5"/>
      <c r="BP90" s="5"/>
      <c r="BQ90" s="5"/>
      <c r="BR90" s="5"/>
      <c r="BS90" s="5"/>
      <c r="BT90" s="61"/>
      <c r="BU90" s="61"/>
      <c r="BV90" s="61"/>
      <c r="BW90" s="61"/>
      <c r="BX90" s="61"/>
      <c r="BY90" s="61"/>
      <c r="BZ90" s="61"/>
      <c r="CA90" s="61"/>
      <c r="CB90" s="61"/>
      <c r="CC90" s="61"/>
      <c r="CD90" s="61"/>
      <c r="CE90" s="5"/>
      <c r="CF90" s="61"/>
      <c r="CG90" s="61"/>
      <c r="CH90" s="61"/>
      <c r="CI90" s="61"/>
      <c r="CJ90" s="61"/>
      <c r="CK90" s="61"/>
      <c r="CL90" s="61"/>
      <c r="CM90" s="69"/>
      <c r="CN90" s="5"/>
      <c r="CO90" s="61"/>
      <c r="CP90" s="61"/>
      <c r="CQ90" s="73"/>
      <c r="CR90" s="73"/>
      <c r="CS90" s="73"/>
      <c r="CT90" s="5"/>
      <c r="CU90" s="73"/>
      <c r="CV90" s="5"/>
      <c r="CW90" s="5"/>
      <c r="CX90" s="5"/>
      <c r="CY90" s="5"/>
      <c r="CZ90" s="5"/>
      <c r="DA90" s="5"/>
      <c r="DB90" s="5"/>
      <c r="DC90" s="61"/>
      <c r="DD90" s="61"/>
      <c r="DE90" s="61"/>
      <c r="DF90" s="61"/>
      <c r="DG90" s="61"/>
      <c r="DH90" s="61"/>
      <c r="DI90" s="61"/>
      <c r="DJ90" s="61"/>
      <c r="DK90" s="61"/>
      <c r="DL90" s="61"/>
      <c r="DM90" s="61"/>
      <c r="DN90" s="61"/>
      <c r="DO90" s="61"/>
      <c r="DP90" s="61"/>
      <c r="DQ90" s="61"/>
      <c r="DR90" s="61"/>
      <c r="DS90" s="61"/>
      <c r="DT90" s="61"/>
      <c r="DU90" s="61"/>
      <c r="DV90" s="61"/>
      <c r="DW90" s="61"/>
      <c r="DX90" s="61"/>
      <c r="DY90" s="61"/>
      <c r="DZ90" s="61"/>
      <c r="EA90" s="61"/>
      <c r="EB90" s="61"/>
      <c r="EC90" s="61"/>
      <c r="ED90" s="74"/>
      <c r="EE90" s="6"/>
      <c r="EF90" s="5"/>
      <c r="EG90" s="5"/>
      <c r="EH90" s="5"/>
      <c r="EI90" s="61"/>
      <c r="EJ90" s="61"/>
      <c r="EK90" s="61"/>
      <c r="EL90" s="61"/>
      <c r="EM90" s="61"/>
      <c r="EN90" s="61"/>
      <c r="EO90" s="61"/>
      <c r="EP90" s="6"/>
      <c r="EQ90" s="9"/>
      <c r="ER90" s="9"/>
      <c r="ES90" s="61"/>
      <c r="ET90" s="61"/>
      <c r="EU90" s="61"/>
      <c r="EV90" s="61"/>
      <c r="EW90" s="61"/>
      <c r="EX90" s="61"/>
      <c r="EY90" s="61"/>
      <c r="EZ90" s="61"/>
      <c r="FA90" s="61"/>
      <c r="FB90" s="61"/>
      <c r="FC90" s="61"/>
      <c r="FD90" s="61"/>
      <c r="FE90" s="61"/>
      <c r="FF90" s="61"/>
      <c r="FG90" s="61"/>
      <c r="FH90" s="61"/>
      <c r="FI90" s="61"/>
      <c r="FJ90" s="61"/>
      <c r="FK90" s="61"/>
      <c r="FL90" s="5"/>
      <c r="FM90" s="61"/>
      <c r="FN90" s="61"/>
      <c r="FO90" s="61"/>
      <c r="FP90" s="61"/>
      <c r="FQ90" s="61"/>
      <c r="FR90" s="61"/>
      <c r="FS90" s="61"/>
      <c r="FT90" s="61"/>
      <c r="FU90" s="61"/>
      <c r="FV90" s="61"/>
      <c r="FW90" s="61"/>
      <c r="FX90" s="61"/>
      <c r="FY90" s="61"/>
      <c r="FZ90" s="61"/>
      <c r="GA90" s="61"/>
      <c r="GB90" s="61"/>
      <c r="GC90" s="61"/>
      <c r="GD90" s="61"/>
      <c r="GE90" s="61"/>
      <c r="GF90" s="61"/>
      <c r="GG90" s="61"/>
      <c r="GH90" s="61"/>
      <c r="GI90" s="61"/>
      <c r="GJ90" s="61"/>
    </row>
    <row r="91" customFormat="1" ht="16.8" spans="1:192">
      <c r="A91" s="5"/>
      <c r="B91" s="61"/>
      <c r="C91" s="5"/>
      <c r="D91" s="61"/>
      <c r="E91" s="61"/>
      <c r="F91" s="62"/>
      <c r="G91" s="5"/>
      <c r="H91" s="5"/>
      <c r="I91" s="5"/>
      <c r="J91" s="5"/>
      <c r="K91" s="61"/>
      <c r="L91" s="67"/>
      <c r="M91" s="61"/>
      <c r="N91" s="61"/>
      <c r="O91" s="61"/>
      <c r="P91" s="61"/>
      <c r="Q91" s="61"/>
      <c r="R91" s="61"/>
      <c r="S91" s="61"/>
      <c r="T91" s="61"/>
      <c r="U91" s="61"/>
      <c r="V91" s="6"/>
      <c r="W91" s="7"/>
      <c r="X91" s="5"/>
      <c r="Y91" s="5"/>
      <c r="Z91" s="5"/>
      <c r="AA91" s="5"/>
      <c r="AB91" s="69"/>
      <c r="AC91" s="61"/>
      <c r="AD91" s="5"/>
      <c r="AE91" s="5"/>
      <c r="AF91" s="61"/>
      <c r="AG91" s="61"/>
      <c r="AH91" s="71"/>
      <c r="AI91" s="61"/>
      <c r="AJ91" s="61"/>
      <c r="AK91" s="61"/>
      <c r="AL91" s="61"/>
      <c r="AM91" s="61"/>
      <c r="AN91" s="61"/>
      <c r="AO91" s="61"/>
      <c r="AP91" s="61"/>
      <c r="AQ91" s="61"/>
      <c r="AR91" s="61"/>
      <c r="AS91" s="61"/>
      <c r="AT91" s="61"/>
      <c r="AU91" s="5"/>
      <c r="AV91" s="71"/>
      <c r="AW91" s="5"/>
      <c r="AX91" s="5"/>
      <c r="AY91" s="5"/>
      <c r="AZ91" s="69"/>
      <c r="BA91" s="69"/>
      <c r="BB91" s="69"/>
      <c r="BC91" s="5"/>
      <c r="BD91" s="61"/>
      <c r="BE91" s="61"/>
      <c r="BF91" s="67"/>
      <c r="BG91" s="67"/>
      <c r="BH91" s="67"/>
      <c r="BI91" s="67"/>
      <c r="BJ91" s="67"/>
      <c r="BK91" s="67"/>
      <c r="BL91" s="5"/>
      <c r="BM91" s="5"/>
      <c r="BN91" s="5"/>
      <c r="BO91" s="5"/>
      <c r="BP91" s="5"/>
      <c r="BQ91" s="5"/>
      <c r="BR91" s="5"/>
      <c r="BS91" s="5"/>
      <c r="BT91" s="61"/>
      <c r="BU91" s="61"/>
      <c r="BV91" s="61"/>
      <c r="BW91" s="61"/>
      <c r="BX91" s="61"/>
      <c r="BY91" s="61"/>
      <c r="BZ91" s="61"/>
      <c r="CA91" s="61"/>
      <c r="CB91" s="61"/>
      <c r="CC91" s="61"/>
      <c r="CD91" s="61"/>
      <c r="CE91" s="5"/>
      <c r="CF91" s="61"/>
      <c r="CG91" s="61"/>
      <c r="CH91" s="61"/>
      <c r="CI91" s="61"/>
      <c r="CJ91" s="61"/>
      <c r="CK91" s="61"/>
      <c r="CL91" s="61"/>
      <c r="CM91" s="69"/>
      <c r="CN91" s="5"/>
      <c r="CO91" s="61"/>
      <c r="CP91" s="61"/>
      <c r="CQ91" s="73"/>
      <c r="CR91" s="73"/>
      <c r="CS91" s="73"/>
      <c r="CT91" s="5"/>
      <c r="CU91" s="73"/>
      <c r="CV91" s="5"/>
      <c r="CW91" s="5"/>
      <c r="CX91" s="5"/>
      <c r="CY91" s="5"/>
      <c r="CZ91" s="5"/>
      <c r="DA91" s="5"/>
      <c r="DB91" s="5"/>
      <c r="DC91" s="61"/>
      <c r="DD91" s="61"/>
      <c r="DE91" s="61"/>
      <c r="DF91" s="61"/>
      <c r="DG91" s="61"/>
      <c r="DH91" s="61"/>
      <c r="DI91" s="61"/>
      <c r="DJ91" s="61"/>
      <c r="DK91" s="61"/>
      <c r="DL91" s="61"/>
      <c r="DM91" s="61"/>
      <c r="DN91" s="61"/>
      <c r="DO91" s="61"/>
      <c r="DP91" s="61"/>
      <c r="DQ91" s="61"/>
      <c r="DR91" s="61"/>
      <c r="DS91" s="61"/>
      <c r="DT91" s="61"/>
      <c r="DU91" s="61"/>
      <c r="DV91" s="61"/>
      <c r="DW91" s="61"/>
      <c r="DX91" s="61"/>
      <c r="DY91" s="61"/>
      <c r="DZ91" s="61"/>
      <c r="EA91" s="61"/>
      <c r="EB91" s="61"/>
      <c r="EC91" s="61"/>
      <c r="ED91" s="74"/>
      <c r="EE91" s="6"/>
      <c r="EF91" s="5"/>
      <c r="EG91" s="5"/>
      <c r="EH91" s="5"/>
      <c r="EI91" s="61"/>
      <c r="EJ91" s="61"/>
      <c r="EK91" s="61"/>
      <c r="EL91" s="61"/>
      <c r="EM91" s="61"/>
      <c r="EN91" s="61"/>
      <c r="EO91" s="61"/>
      <c r="EP91" s="6"/>
      <c r="EQ91" s="9"/>
      <c r="ER91" s="9"/>
      <c r="ES91" s="61"/>
      <c r="ET91" s="61"/>
      <c r="EU91" s="61"/>
      <c r="EV91" s="61"/>
      <c r="EW91" s="61"/>
      <c r="EX91" s="61"/>
      <c r="EY91" s="61"/>
      <c r="EZ91" s="61"/>
      <c r="FA91" s="61"/>
      <c r="FB91" s="61"/>
      <c r="FC91" s="61"/>
      <c r="FD91" s="61"/>
      <c r="FE91" s="61"/>
      <c r="FF91" s="61"/>
      <c r="FG91" s="61"/>
      <c r="FH91" s="61"/>
      <c r="FI91" s="61"/>
      <c r="FJ91" s="61"/>
      <c r="FK91" s="61"/>
      <c r="FL91" s="5"/>
      <c r="FM91" s="61"/>
      <c r="FN91" s="61"/>
      <c r="FO91" s="61"/>
      <c r="FP91" s="61"/>
      <c r="FQ91" s="61"/>
      <c r="FR91" s="61"/>
      <c r="FS91" s="61"/>
      <c r="FT91" s="61"/>
      <c r="FU91" s="61"/>
      <c r="FV91" s="61"/>
      <c r="FW91" s="61"/>
      <c r="FX91" s="61"/>
      <c r="FY91" s="61"/>
      <c r="FZ91" s="61"/>
      <c r="GA91" s="61"/>
      <c r="GB91" s="61"/>
      <c r="GC91" s="61"/>
      <c r="GD91" s="61"/>
      <c r="GE91" s="61"/>
      <c r="GF91" s="61"/>
      <c r="GG91" s="61"/>
      <c r="GH91" s="61"/>
      <c r="GI91" s="61"/>
      <c r="GJ91" s="61"/>
    </row>
    <row r="92" customFormat="1" ht="16.8" spans="1:192">
      <c r="A92" s="5"/>
      <c r="B92" s="61"/>
      <c r="C92" s="5"/>
      <c r="D92" s="61"/>
      <c r="E92" s="61"/>
      <c r="F92" s="62"/>
      <c r="G92" s="5"/>
      <c r="H92" s="5"/>
      <c r="I92" s="5"/>
      <c r="J92" s="5"/>
      <c r="K92" s="61"/>
      <c r="L92" s="67"/>
      <c r="M92" s="61"/>
      <c r="N92" s="61"/>
      <c r="O92" s="61"/>
      <c r="P92" s="61"/>
      <c r="Q92" s="61"/>
      <c r="R92" s="61"/>
      <c r="S92" s="61"/>
      <c r="T92" s="61"/>
      <c r="U92" s="61"/>
      <c r="V92" s="6"/>
      <c r="W92" s="7"/>
      <c r="X92" s="5"/>
      <c r="Y92" s="5"/>
      <c r="Z92" s="5"/>
      <c r="AA92" s="5"/>
      <c r="AB92" s="69"/>
      <c r="AC92" s="61"/>
      <c r="AD92" s="5"/>
      <c r="AE92" s="5"/>
      <c r="AF92" s="61"/>
      <c r="AG92" s="61"/>
      <c r="AH92" s="71"/>
      <c r="AI92" s="61"/>
      <c r="AJ92" s="61"/>
      <c r="AK92" s="61"/>
      <c r="AL92" s="61"/>
      <c r="AM92" s="61"/>
      <c r="AN92" s="61"/>
      <c r="AO92" s="61"/>
      <c r="AP92" s="61"/>
      <c r="AQ92" s="61"/>
      <c r="AR92" s="61"/>
      <c r="AS92" s="61"/>
      <c r="AT92" s="61"/>
      <c r="AU92" s="5"/>
      <c r="AV92" s="71"/>
      <c r="AW92" s="5"/>
      <c r="AX92" s="5"/>
      <c r="AY92" s="5"/>
      <c r="AZ92" s="69"/>
      <c r="BA92" s="69"/>
      <c r="BB92" s="69"/>
      <c r="BC92" s="5"/>
      <c r="BD92" s="61"/>
      <c r="BE92" s="61"/>
      <c r="BF92" s="67"/>
      <c r="BG92" s="67"/>
      <c r="BH92" s="67"/>
      <c r="BI92" s="67"/>
      <c r="BJ92" s="67"/>
      <c r="BK92" s="67"/>
      <c r="BL92" s="5"/>
      <c r="BM92" s="5"/>
      <c r="BN92" s="5"/>
      <c r="BO92" s="5"/>
      <c r="BP92" s="5"/>
      <c r="BQ92" s="5"/>
      <c r="BR92" s="5"/>
      <c r="BS92" s="5"/>
      <c r="BT92" s="61"/>
      <c r="BU92" s="61"/>
      <c r="BV92" s="61"/>
      <c r="BW92" s="61"/>
      <c r="BX92" s="61"/>
      <c r="BY92" s="61"/>
      <c r="BZ92" s="61"/>
      <c r="CA92" s="61"/>
      <c r="CB92" s="61"/>
      <c r="CC92" s="61"/>
      <c r="CD92" s="61"/>
      <c r="CE92" s="5"/>
      <c r="CF92" s="61"/>
      <c r="CG92" s="61"/>
      <c r="CH92" s="61"/>
      <c r="CI92" s="61"/>
      <c r="CJ92" s="61"/>
      <c r="CK92" s="61"/>
      <c r="CL92" s="61"/>
      <c r="CM92" s="69"/>
      <c r="CN92" s="5"/>
      <c r="CO92" s="61"/>
      <c r="CP92" s="61"/>
      <c r="CQ92" s="73"/>
      <c r="CR92" s="73"/>
      <c r="CS92" s="73"/>
      <c r="CT92" s="5"/>
      <c r="CU92" s="73"/>
      <c r="CV92" s="5"/>
      <c r="CW92" s="5"/>
      <c r="CX92" s="5"/>
      <c r="CY92" s="5"/>
      <c r="CZ92" s="5"/>
      <c r="DA92" s="5"/>
      <c r="DB92" s="5"/>
      <c r="DC92" s="61"/>
      <c r="DD92" s="61"/>
      <c r="DE92" s="61"/>
      <c r="DF92" s="61"/>
      <c r="DG92" s="61"/>
      <c r="DH92" s="61"/>
      <c r="DI92" s="61"/>
      <c r="DJ92" s="61"/>
      <c r="DK92" s="61"/>
      <c r="DL92" s="61"/>
      <c r="DM92" s="61"/>
      <c r="DN92" s="61"/>
      <c r="DO92" s="61"/>
      <c r="DP92" s="61"/>
      <c r="DQ92" s="61"/>
      <c r="DR92" s="61"/>
      <c r="DS92" s="61"/>
      <c r="DT92" s="61"/>
      <c r="DU92" s="61"/>
      <c r="DV92" s="61"/>
      <c r="DW92" s="61"/>
      <c r="DX92" s="61"/>
      <c r="DY92" s="61"/>
      <c r="DZ92" s="61"/>
      <c r="EA92" s="61"/>
      <c r="EB92" s="61"/>
      <c r="EC92" s="61"/>
      <c r="ED92" s="74"/>
      <c r="EE92" s="6"/>
      <c r="EF92" s="5"/>
      <c r="EG92" s="5"/>
      <c r="EH92" s="5"/>
      <c r="EI92" s="61"/>
      <c r="EJ92" s="61"/>
      <c r="EK92" s="61"/>
      <c r="EL92" s="61"/>
      <c r="EM92" s="61"/>
      <c r="EN92" s="61"/>
      <c r="EO92" s="61"/>
      <c r="EP92" s="6"/>
      <c r="EQ92" s="9"/>
      <c r="ER92" s="9"/>
      <c r="ES92" s="61"/>
      <c r="ET92" s="61"/>
      <c r="EU92" s="61"/>
      <c r="EV92" s="61"/>
      <c r="EW92" s="61"/>
      <c r="EX92" s="61"/>
      <c r="EY92" s="61"/>
      <c r="EZ92" s="61"/>
      <c r="FA92" s="61"/>
      <c r="FB92" s="61"/>
      <c r="FC92" s="61"/>
      <c r="FD92" s="61"/>
      <c r="FE92" s="61"/>
      <c r="FF92" s="61"/>
      <c r="FG92" s="61"/>
      <c r="FH92" s="61"/>
      <c r="FI92" s="61"/>
      <c r="FJ92" s="61"/>
      <c r="FK92" s="61"/>
      <c r="FL92" s="5"/>
      <c r="FM92" s="61"/>
      <c r="FN92" s="61"/>
      <c r="FO92" s="61"/>
      <c r="FP92" s="61"/>
      <c r="FQ92" s="61"/>
      <c r="FR92" s="61"/>
      <c r="FS92" s="61"/>
      <c r="FT92" s="61"/>
      <c r="FU92" s="61"/>
      <c r="FV92" s="61"/>
      <c r="FW92" s="61"/>
      <c r="FX92" s="61"/>
      <c r="FY92" s="61"/>
      <c r="FZ92" s="61"/>
      <c r="GA92" s="61"/>
      <c r="GB92" s="61"/>
      <c r="GC92" s="61"/>
      <c r="GD92" s="61"/>
      <c r="GE92" s="61"/>
      <c r="GF92" s="61"/>
      <c r="GG92" s="61"/>
      <c r="GH92" s="61"/>
      <c r="GI92" s="61"/>
      <c r="GJ92" s="61"/>
    </row>
    <row r="93" customFormat="1" ht="16.8" spans="1:192">
      <c r="A93" s="5"/>
      <c r="B93" s="61"/>
      <c r="C93" s="5"/>
      <c r="D93" s="61"/>
      <c r="E93" s="61"/>
      <c r="F93" s="62"/>
      <c r="G93" s="5"/>
      <c r="H93" s="5"/>
      <c r="I93" s="5"/>
      <c r="J93" s="5"/>
      <c r="K93" s="61"/>
      <c r="L93" s="67"/>
      <c r="M93" s="61"/>
      <c r="N93" s="61"/>
      <c r="O93" s="61"/>
      <c r="P93" s="61"/>
      <c r="Q93" s="61"/>
      <c r="R93" s="61"/>
      <c r="S93" s="61"/>
      <c r="T93" s="61"/>
      <c r="U93" s="61"/>
      <c r="V93" s="6"/>
      <c r="W93" s="7"/>
      <c r="X93" s="5"/>
      <c r="Y93" s="5"/>
      <c r="Z93" s="5"/>
      <c r="AA93" s="5"/>
      <c r="AB93" s="69"/>
      <c r="AC93" s="61"/>
      <c r="AD93" s="5"/>
      <c r="AE93" s="5"/>
      <c r="AF93" s="61"/>
      <c r="AG93" s="61"/>
      <c r="AH93" s="71"/>
      <c r="AI93" s="61"/>
      <c r="AJ93" s="61"/>
      <c r="AK93" s="61"/>
      <c r="AL93" s="61"/>
      <c r="AM93" s="61"/>
      <c r="AN93" s="61"/>
      <c r="AO93" s="61"/>
      <c r="AP93" s="61"/>
      <c r="AQ93" s="61"/>
      <c r="AR93" s="61"/>
      <c r="AS93" s="61"/>
      <c r="AT93" s="61"/>
      <c r="AU93" s="5"/>
      <c r="AV93" s="71"/>
      <c r="AW93" s="5"/>
      <c r="AX93" s="5"/>
      <c r="AY93" s="5"/>
      <c r="AZ93" s="69"/>
      <c r="BA93" s="69"/>
      <c r="BB93" s="69"/>
      <c r="BC93" s="5"/>
      <c r="BD93" s="61"/>
      <c r="BE93" s="61"/>
      <c r="BF93" s="67"/>
      <c r="BG93" s="67"/>
      <c r="BH93" s="67"/>
      <c r="BI93" s="67"/>
      <c r="BJ93" s="67"/>
      <c r="BK93" s="67"/>
      <c r="BL93" s="5"/>
      <c r="BM93" s="5"/>
      <c r="BN93" s="5"/>
      <c r="BO93" s="5"/>
      <c r="BP93" s="5"/>
      <c r="BQ93" s="5"/>
      <c r="BR93" s="5"/>
      <c r="BS93" s="5"/>
      <c r="BT93" s="61"/>
      <c r="BU93" s="61"/>
      <c r="BV93" s="61"/>
      <c r="BW93" s="61"/>
      <c r="BX93" s="61"/>
      <c r="BY93" s="61"/>
      <c r="BZ93" s="61"/>
      <c r="CA93" s="61"/>
      <c r="CB93" s="61"/>
      <c r="CC93" s="61"/>
      <c r="CD93" s="61"/>
      <c r="CE93" s="5"/>
      <c r="CF93" s="61"/>
      <c r="CG93" s="61"/>
      <c r="CH93" s="61"/>
      <c r="CI93" s="61"/>
      <c r="CJ93" s="61"/>
      <c r="CK93" s="61"/>
      <c r="CL93" s="61"/>
      <c r="CM93" s="69"/>
      <c r="CN93" s="5"/>
      <c r="CO93" s="61"/>
      <c r="CP93" s="61"/>
      <c r="CQ93" s="73"/>
      <c r="CR93" s="73"/>
      <c r="CS93" s="73"/>
      <c r="CT93" s="5"/>
      <c r="CU93" s="73"/>
      <c r="CV93" s="5"/>
      <c r="CW93" s="5"/>
      <c r="CX93" s="5"/>
      <c r="CY93" s="5"/>
      <c r="CZ93" s="5"/>
      <c r="DA93" s="5"/>
      <c r="DB93" s="5"/>
      <c r="DC93" s="61"/>
      <c r="DD93" s="61"/>
      <c r="DE93" s="61"/>
      <c r="DF93" s="61"/>
      <c r="DG93" s="61"/>
      <c r="DH93" s="61"/>
      <c r="DI93" s="61"/>
      <c r="DJ93" s="61"/>
      <c r="DK93" s="61"/>
      <c r="DL93" s="61"/>
      <c r="DM93" s="61"/>
      <c r="DN93" s="61"/>
      <c r="DO93" s="61"/>
      <c r="DP93" s="61"/>
      <c r="DQ93" s="61"/>
      <c r="DR93" s="61"/>
      <c r="DS93" s="61"/>
      <c r="DT93" s="61"/>
      <c r="DU93" s="61"/>
      <c r="DV93" s="61"/>
      <c r="DW93" s="61"/>
      <c r="DX93" s="61"/>
      <c r="DY93" s="61"/>
      <c r="DZ93" s="61"/>
      <c r="EA93" s="61"/>
      <c r="EB93" s="61"/>
      <c r="EC93" s="61"/>
      <c r="ED93" s="74"/>
      <c r="EE93" s="6"/>
      <c r="EF93" s="5"/>
      <c r="EG93" s="5"/>
      <c r="EH93" s="5"/>
      <c r="EI93" s="61"/>
      <c r="EJ93" s="61"/>
      <c r="EK93" s="61"/>
      <c r="EL93" s="61"/>
      <c r="EM93" s="61"/>
      <c r="EN93" s="61"/>
      <c r="EO93" s="61"/>
      <c r="EP93" s="6"/>
      <c r="EQ93" s="9"/>
      <c r="ER93" s="9"/>
      <c r="ES93" s="61"/>
      <c r="ET93" s="61"/>
      <c r="EU93" s="61"/>
      <c r="EV93" s="61"/>
      <c r="EW93" s="61"/>
      <c r="EX93" s="61"/>
      <c r="EY93" s="61"/>
      <c r="EZ93" s="61"/>
      <c r="FA93" s="61"/>
      <c r="FB93" s="61"/>
      <c r="FC93" s="61"/>
      <c r="FD93" s="61"/>
      <c r="FE93" s="61"/>
      <c r="FF93" s="61"/>
      <c r="FG93" s="61"/>
      <c r="FH93" s="61"/>
      <c r="FI93" s="61"/>
      <c r="FJ93" s="61"/>
      <c r="FK93" s="61"/>
      <c r="FL93" s="5"/>
      <c r="FM93" s="61"/>
      <c r="FN93" s="61"/>
      <c r="FO93" s="61"/>
      <c r="FP93" s="61"/>
      <c r="FQ93" s="61"/>
      <c r="FR93" s="61"/>
      <c r="FS93" s="61"/>
      <c r="FT93" s="61"/>
      <c r="FU93" s="61"/>
      <c r="FV93" s="61"/>
      <c r="FW93" s="61"/>
      <c r="FX93" s="61"/>
      <c r="FY93" s="61"/>
      <c r="FZ93" s="61"/>
      <c r="GA93" s="61"/>
      <c r="GB93" s="61"/>
      <c r="GC93" s="61"/>
      <c r="GD93" s="61"/>
      <c r="GE93" s="61"/>
      <c r="GF93" s="61"/>
      <c r="GG93" s="61"/>
      <c r="GH93" s="61"/>
      <c r="GI93" s="61"/>
      <c r="GJ93" s="61"/>
    </row>
    <row r="94" customFormat="1" ht="16.8" spans="1:192">
      <c r="A94" s="5"/>
      <c r="B94" s="61"/>
      <c r="C94" s="5"/>
      <c r="D94" s="61"/>
      <c r="E94" s="61"/>
      <c r="F94" s="62"/>
      <c r="G94" s="5"/>
      <c r="H94" s="5"/>
      <c r="I94" s="5"/>
      <c r="J94" s="5"/>
      <c r="K94" s="61"/>
      <c r="L94" s="67"/>
      <c r="M94" s="61"/>
      <c r="N94" s="61"/>
      <c r="O94" s="61"/>
      <c r="P94" s="61"/>
      <c r="Q94" s="61"/>
      <c r="R94" s="61"/>
      <c r="S94" s="61"/>
      <c r="T94" s="61"/>
      <c r="U94" s="61"/>
      <c r="V94" s="6"/>
      <c r="W94" s="7"/>
      <c r="X94" s="5"/>
      <c r="Y94" s="5"/>
      <c r="Z94" s="5"/>
      <c r="AA94" s="5"/>
      <c r="AB94" s="69"/>
      <c r="AC94" s="61"/>
      <c r="AD94" s="5"/>
      <c r="AE94" s="5"/>
      <c r="AF94" s="61"/>
      <c r="AG94" s="61"/>
      <c r="AH94" s="71"/>
      <c r="AI94" s="61"/>
      <c r="AJ94" s="61"/>
      <c r="AK94" s="61"/>
      <c r="AL94" s="61"/>
      <c r="AM94" s="61"/>
      <c r="AN94" s="61"/>
      <c r="AO94" s="61"/>
      <c r="AP94" s="61"/>
      <c r="AQ94" s="61"/>
      <c r="AR94" s="61"/>
      <c r="AS94" s="61"/>
      <c r="AT94" s="61"/>
      <c r="AU94" s="5"/>
      <c r="AV94" s="71"/>
      <c r="AW94" s="5"/>
      <c r="AX94" s="5"/>
      <c r="AY94" s="5"/>
      <c r="AZ94" s="69"/>
      <c r="BA94" s="69"/>
      <c r="BB94" s="69"/>
      <c r="BC94" s="5"/>
      <c r="BD94" s="61"/>
      <c r="BE94" s="61"/>
      <c r="BF94" s="67"/>
      <c r="BG94" s="67"/>
      <c r="BH94" s="67"/>
      <c r="BI94" s="67"/>
      <c r="BJ94" s="67"/>
      <c r="BK94" s="67"/>
      <c r="BL94" s="5"/>
      <c r="BM94" s="5"/>
      <c r="BN94" s="5"/>
      <c r="BO94" s="5"/>
      <c r="BP94" s="5"/>
      <c r="BQ94" s="5"/>
      <c r="BR94" s="5"/>
      <c r="BS94" s="5"/>
      <c r="BT94" s="61"/>
      <c r="BU94" s="61"/>
      <c r="BV94" s="61"/>
      <c r="BW94" s="61"/>
      <c r="BX94" s="61"/>
      <c r="BY94" s="61"/>
      <c r="BZ94" s="61"/>
      <c r="CA94" s="61"/>
      <c r="CB94" s="61"/>
      <c r="CC94" s="61"/>
      <c r="CD94" s="61"/>
      <c r="CE94" s="5"/>
      <c r="CF94" s="61"/>
      <c r="CG94" s="61"/>
      <c r="CH94" s="61"/>
      <c r="CI94" s="61"/>
      <c r="CJ94" s="61"/>
      <c r="CK94" s="61"/>
      <c r="CL94" s="61"/>
      <c r="CM94" s="69"/>
      <c r="CN94" s="5"/>
      <c r="CO94" s="61"/>
      <c r="CP94" s="61"/>
      <c r="CQ94" s="73"/>
      <c r="CR94" s="73"/>
      <c r="CS94" s="73"/>
      <c r="CT94" s="5"/>
      <c r="CU94" s="73"/>
      <c r="CV94" s="5"/>
      <c r="CW94" s="5"/>
      <c r="CX94" s="5"/>
      <c r="CY94" s="5"/>
      <c r="CZ94" s="5"/>
      <c r="DA94" s="5"/>
      <c r="DB94" s="5"/>
      <c r="DC94" s="61"/>
      <c r="DD94" s="61"/>
      <c r="DE94" s="61"/>
      <c r="DF94" s="61"/>
      <c r="DG94" s="61"/>
      <c r="DH94" s="61"/>
      <c r="DI94" s="61"/>
      <c r="DJ94" s="61"/>
      <c r="DK94" s="61"/>
      <c r="DL94" s="61"/>
      <c r="DM94" s="61"/>
      <c r="DN94" s="61"/>
      <c r="DO94" s="61"/>
      <c r="DP94" s="61"/>
      <c r="DQ94" s="61"/>
      <c r="DR94" s="61"/>
      <c r="DS94" s="61"/>
      <c r="DT94" s="61"/>
      <c r="DU94" s="61"/>
      <c r="DV94" s="61"/>
      <c r="DW94" s="61"/>
      <c r="DX94" s="61"/>
      <c r="DY94" s="61"/>
      <c r="DZ94" s="61"/>
      <c r="EA94" s="61"/>
      <c r="EB94" s="61"/>
      <c r="EC94" s="61"/>
      <c r="ED94" s="74"/>
      <c r="EE94" s="6"/>
      <c r="EF94" s="5"/>
      <c r="EG94" s="5"/>
      <c r="EH94" s="5"/>
      <c r="EI94" s="61"/>
      <c r="EJ94" s="61"/>
      <c r="EK94" s="61"/>
      <c r="EL94" s="61"/>
      <c r="EM94" s="61"/>
      <c r="EN94" s="61"/>
      <c r="EO94" s="61"/>
      <c r="EP94" s="6"/>
      <c r="EQ94" s="9"/>
      <c r="ER94" s="9"/>
      <c r="ES94" s="61"/>
      <c r="ET94" s="61"/>
      <c r="EU94" s="61"/>
      <c r="EV94" s="61"/>
      <c r="EW94" s="61"/>
      <c r="EX94" s="61"/>
      <c r="EY94" s="61"/>
      <c r="EZ94" s="61"/>
      <c r="FA94" s="61"/>
      <c r="FB94" s="61"/>
      <c r="FC94" s="61"/>
      <c r="FD94" s="61"/>
      <c r="FE94" s="61"/>
      <c r="FF94" s="61"/>
      <c r="FG94" s="61"/>
      <c r="FH94" s="61"/>
      <c r="FI94" s="61"/>
      <c r="FJ94" s="61"/>
      <c r="FK94" s="61"/>
      <c r="FL94" s="5"/>
      <c r="FM94" s="61"/>
      <c r="FN94" s="61"/>
      <c r="FO94" s="61"/>
      <c r="FP94" s="61"/>
      <c r="FQ94" s="61"/>
      <c r="FR94" s="61"/>
      <c r="FS94" s="61"/>
      <c r="FT94" s="61"/>
      <c r="FU94" s="61"/>
      <c r="FV94" s="61"/>
      <c r="FW94" s="61"/>
      <c r="FX94" s="61"/>
      <c r="FY94" s="61"/>
      <c r="FZ94" s="61"/>
      <c r="GA94" s="61"/>
      <c r="GB94" s="61"/>
      <c r="GC94" s="61"/>
      <c r="GD94" s="61"/>
      <c r="GE94" s="61"/>
      <c r="GF94" s="61"/>
      <c r="GG94" s="61"/>
      <c r="GH94" s="61"/>
      <c r="GI94" s="61"/>
      <c r="GJ94" s="61"/>
    </row>
    <row r="95" customFormat="1" ht="16.8" spans="1:192">
      <c r="A95" s="5"/>
      <c r="B95" s="61"/>
      <c r="C95" s="5"/>
      <c r="D95" s="61"/>
      <c r="E95" s="61"/>
      <c r="F95" s="62"/>
      <c r="G95" s="5"/>
      <c r="H95" s="5"/>
      <c r="I95" s="5"/>
      <c r="J95" s="5"/>
      <c r="K95" s="61"/>
      <c r="L95" s="67"/>
      <c r="M95" s="61"/>
      <c r="N95" s="61"/>
      <c r="O95" s="61"/>
      <c r="P95" s="61"/>
      <c r="Q95" s="61"/>
      <c r="R95" s="61"/>
      <c r="S95" s="61"/>
      <c r="T95" s="61"/>
      <c r="U95" s="61"/>
      <c r="V95" s="6"/>
      <c r="W95" s="7"/>
      <c r="X95" s="5"/>
      <c r="Y95" s="5"/>
      <c r="Z95" s="5"/>
      <c r="AA95" s="5"/>
      <c r="AB95" s="69"/>
      <c r="AC95" s="61"/>
      <c r="AD95" s="5"/>
      <c r="AE95" s="5"/>
      <c r="AF95" s="61"/>
      <c r="AG95" s="61"/>
      <c r="AH95" s="71"/>
      <c r="AI95" s="61"/>
      <c r="AJ95" s="61"/>
      <c r="AK95" s="61"/>
      <c r="AL95" s="61"/>
      <c r="AM95" s="61"/>
      <c r="AN95" s="61"/>
      <c r="AO95" s="61"/>
      <c r="AP95" s="61"/>
      <c r="AQ95" s="61"/>
      <c r="AR95" s="61"/>
      <c r="AS95" s="61"/>
      <c r="AT95" s="61"/>
      <c r="AU95" s="5"/>
      <c r="AV95" s="71"/>
      <c r="AW95" s="5"/>
      <c r="AX95" s="5"/>
      <c r="AY95" s="5"/>
      <c r="AZ95" s="69"/>
      <c r="BA95" s="69"/>
      <c r="BB95" s="69"/>
      <c r="BC95" s="5"/>
      <c r="BD95" s="61"/>
      <c r="BE95" s="61"/>
      <c r="BF95" s="67"/>
      <c r="BG95" s="67"/>
      <c r="BH95" s="67"/>
      <c r="BI95" s="67"/>
      <c r="BJ95" s="67"/>
      <c r="BK95" s="67"/>
      <c r="BL95" s="5"/>
      <c r="BM95" s="5"/>
      <c r="BN95" s="5"/>
      <c r="BO95" s="5"/>
      <c r="BP95" s="5"/>
      <c r="BQ95" s="5"/>
      <c r="BR95" s="5"/>
      <c r="BS95" s="5"/>
      <c r="BT95" s="61"/>
      <c r="BU95" s="61"/>
      <c r="BV95" s="61"/>
      <c r="BW95" s="61"/>
      <c r="BX95" s="61"/>
      <c r="BY95" s="61"/>
      <c r="BZ95" s="61"/>
      <c r="CA95" s="61"/>
      <c r="CB95" s="61"/>
      <c r="CC95" s="61"/>
      <c r="CD95" s="61"/>
      <c r="CE95" s="5"/>
      <c r="CF95" s="61"/>
      <c r="CG95" s="61"/>
      <c r="CH95" s="61"/>
      <c r="CI95" s="61"/>
      <c r="CJ95" s="61"/>
      <c r="CK95" s="61"/>
      <c r="CL95" s="61"/>
      <c r="CM95" s="69"/>
      <c r="CN95" s="5"/>
      <c r="CO95" s="61"/>
      <c r="CP95" s="61"/>
      <c r="CQ95" s="73"/>
      <c r="CR95" s="73"/>
      <c r="CS95" s="73"/>
      <c r="CT95" s="5"/>
      <c r="CU95" s="73"/>
      <c r="CV95" s="5"/>
      <c r="CW95" s="5"/>
      <c r="CX95" s="5"/>
      <c r="CY95" s="5"/>
      <c r="CZ95" s="5"/>
      <c r="DA95" s="5"/>
      <c r="DB95" s="5"/>
      <c r="DC95" s="61"/>
      <c r="DD95" s="61"/>
      <c r="DE95" s="61"/>
      <c r="DF95" s="61"/>
      <c r="DG95" s="61"/>
      <c r="DH95" s="61"/>
      <c r="DI95" s="61"/>
      <c r="DJ95" s="61"/>
      <c r="DK95" s="61"/>
      <c r="DL95" s="61"/>
      <c r="DM95" s="61"/>
      <c r="DN95" s="61"/>
      <c r="DO95" s="61"/>
      <c r="DP95" s="61"/>
      <c r="DQ95" s="61"/>
      <c r="DR95" s="61"/>
      <c r="DS95" s="61"/>
      <c r="DT95" s="61"/>
      <c r="DU95" s="61"/>
      <c r="DV95" s="61"/>
      <c r="DW95" s="61"/>
      <c r="DX95" s="61"/>
      <c r="DY95" s="61"/>
      <c r="DZ95" s="61"/>
      <c r="EA95" s="61"/>
      <c r="EB95" s="61"/>
      <c r="EC95" s="61"/>
      <c r="ED95" s="74"/>
      <c r="EE95" s="6"/>
      <c r="EF95" s="5"/>
      <c r="EG95" s="5"/>
      <c r="EH95" s="5"/>
      <c r="EI95" s="61"/>
      <c r="EJ95" s="61"/>
      <c r="EK95" s="61"/>
      <c r="EL95" s="61"/>
      <c r="EM95" s="61"/>
      <c r="EN95" s="61"/>
      <c r="EO95" s="61"/>
      <c r="EP95" s="6"/>
      <c r="EQ95" s="9"/>
      <c r="ER95" s="9"/>
      <c r="ES95" s="61"/>
      <c r="ET95" s="61"/>
      <c r="EU95" s="61"/>
      <c r="EV95" s="61"/>
      <c r="EW95" s="61"/>
      <c r="EX95" s="61"/>
      <c r="EY95" s="61"/>
      <c r="EZ95" s="61"/>
      <c r="FA95" s="61"/>
      <c r="FB95" s="61"/>
      <c r="FC95" s="61"/>
      <c r="FD95" s="61"/>
      <c r="FE95" s="61"/>
      <c r="FF95" s="61"/>
      <c r="FG95" s="61"/>
      <c r="FH95" s="61"/>
      <c r="FI95" s="61"/>
      <c r="FJ95" s="61"/>
      <c r="FK95" s="61"/>
      <c r="FL95" s="5"/>
      <c r="FM95" s="61"/>
      <c r="FN95" s="61"/>
      <c r="FO95" s="61"/>
      <c r="FP95" s="61"/>
      <c r="FQ95" s="61"/>
      <c r="FR95" s="61"/>
      <c r="FS95" s="61"/>
      <c r="FT95" s="61"/>
      <c r="FU95" s="61"/>
      <c r="FV95" s="61"/>
      <c r="FW95" s="61"/>
      <c r="FX95" s="61"/>
      <c r="FY95" s="61"/>
      <c r="FZ95" s="61"/>
      <c r="GA95" s="61"/>
      <c r="GB95" s="61"/>
      <c r="GC95" s="61"/>
      <c r="GD95" s="61"/>
      <c r="GE95" s="61"/>
      <c r="GF95" s="61"/>
      <c r="GG95" s="61"/>
      <c r="GH95" s="61"/>
      <c r="GI95" s="61"/>
      <c r="GJ95" s="61"/>
    </row>
    <row r="96" customFormat="1" ht="16.8" spans="1:192">
      <c r="A96" s="61"/>
      <c r="B96" s="61"/>
      <c r="C96" s="61"/>
      <c r="D96" s="61"/>
      <c r="E96" s="61"/>
      <c r="F96" s="61"/>
      <c r="G96" s="61"/>
      <c r="H96" s="61"/>
      <c r="I96" s="61"/>
      <c r="J96" s="61"/>
      <c r="K96" s="61"/>
      <c r="L96" s="61"/>
      <c r="M96" s="61"/>
      <c r="N96" s="61"/>
      <c r="O96" s="61"/>
      <c r="P96" s="61"/>
      <c r="Q96" s="61"/>
      <c r="R96" s="61"/>
      <c r="S96" s="61"/>
      <c r="T96" s="61"/>
      <c r="U96" s="61"/>
      <c r="V96" s="61"/>
      <c r="W96" s="61"/>
      <c r="X96" s="61"/>
      <c r="Y96" s="61"/>
      <c r="Z96" s="61"/>
      <c r="AA96" s="61"/>
      <c r="AB96" s="61"/>
      <c r="AC96" s="61"/>
      <c r="AD96" s="61"/>
      <c r="AE96" s="61"/>
      <c r="AF96" s="61"/>
      <c r="AG96" s="61"/>
      <c r="AH96" s="61"/>
      <c r="AI96" s="61"/>
      <c r="AJ96" s="61"/>
      <c r="AK96" s="61"/>
      <c r="AL96" s="61"/>
      <c r="AM96" s="61"/>
      <c r="AN96" s="61"/>
      <c r="AO96" s="61"/>
      <c r="AP96" s="61"/>
      <c r="AQ96" s="61"/>
      <c r="AR96" s="61"/>
      <c r="AS96" s="61"/>
      <c r="AT96" s="61"/>
      <c r="AU96" s="61"/>
      <c r="AV96" s="61"/>
      <c r="AW96" s="61"/>
      <c r="AX96" s="61"/>
      <c r="AY96" s="61"/>
      <c r="AZ96" s="61"/>
      <c r="BA96" s="61"/>
      <c r="BB96" s="61"/>
      <c r="BC96" s="61"/>
      <c r="BD96" s="61"/>
      <c r="BE96" s="61"/>
      <c r="BF96" s="61"/>
      <c r="BG96" s="61"/>
      <c r="BH96" s="61"/>
      <c r="BI96" s="61"/>
      <c r="BJ96" s="61"/>
      <c r="BK96" s="61"/>
      <c r="BL96" s="61"/>
      <c r="BM96" s="61"/>
      <c r="BN96" s="61"/>
      <c r="BO96" s="61"/>
      <c r="BP96" s="61"/>
      <c r="BQ96" s="61"/>
      <c r="BR96" s="61"/>
      <c r="BS96" s="61"/>
      <c r="BT96" s="61"/>
      <c r="BU96" s="61"/>
      <c r="BV96" s="61"/>
      <c r="BW96" s="61"/>
      <c r="BX96" s="61"/>
      <c r="BY96" s="61"/>
      <c r="BZ96" s="61"/>
      <c r="CA96" s="61"/>
      <c r="CB96" s="61"/>
      <c r="CC96" s="61"/>
      <c r="CD96" s="61"/>
      <c r="CE96" s="61"/>
      <c r="CF96" s="61"/>
      <c r="CG96" s="61"/>
      <c r="CH96" s="61"/>
      <c r="CI96" s="61"/>
      <c r="CJ96" s="61"/>
      <c r="CK96" s="61"/>
      <c r="CL96" s="61"/>
      <c r="CM96" s="61"/>
      <c r="CN96" s="61"/>
      <c r="CO96" s="61"/>
      <c r="CP96" s="61"/>
      <c r="CQ96" s="61"/>
      <c r="CR96" s="61"/>
      <c r="CS96" s="61"/>
      <c r="CT96" s="61"/>
      <c r="CU96" s="61"/>
      <c r="CV96" s="61"/>
      <c r="CW96" s="61"/>
      <c r="CX96" s="61"/>
      <c r="CY96" s="61"/>
      <c r="CZ96" s="61"/>
      <c r="DA96" s="61"/>
      <c r="DB96" s="61"/>
      <c r="DC96" s="61"/>
      <c r="DD96" s="61"/>
      <c r="DE96" s="61"/>
      <c r="DF96" s="61"/>
      <c r="DG96" s="61"/>
      <c r="DH96" s="61"/>
      <c r="DI96" s="61"/>
      <c r="DJ96" s="61"/>
      <c r="DK96" s="61"/>
      <c r="DL96" s="61"/>
      <c r="DM96" s="61"/>
      <c r="DN96" s="61"/>
      <c r="DO96" s="61"/>
      <c r="DP96" s="61"/>
      <c r="DQ96" s="61"/>
      <c r="DR96" s="61"/>
      <c r="DS96" s="61"/>
      <c r="DT96" s="61"/>
      <c r="DU96" s="61"/>
      <c r="DV96" s="61"/>
      <c r="DW96" s="61"/>
      <c r="DX96" s="61"/>
      <c r="DY96" s="61"/>
      <c r="DZ96" s="61"/>
      <c r="EA96" s="61"/>
      <c r="EB96" s="61"/>
      <c r="EC96" s="61"/>
      <c r="ED96" s="61"/>
      <c r="EE96" s="61"/>
      <c r="EF96" s="61"/>
      <c r="EG96" s="61"/>
      <c r="EH96" s="61"/>
      <c r="EI96" s="61"/>
      <c r="EJ96" s="61"/>
      <c r="EK96" s="61"/>
      <c r="EL96" s="61"/>
      <c r="EM96" s="61"/>
      <c r="EN96" s="61"/>
      <c r="EO96" s="61"/>
      <c r="EP96" s="61"/>
      <c r="EQ96" s="61"/>
      <c r="ER96" s="61"/>
      <c r="ES96" s="61"/>
      <c r="ET96" s="61"/>
      <c r="EU96" s="61"/>
      <c r="EV96" s="61"/>
      <c r="EW96" s="61"/>
      <c r="EX96" s="61"/>
      <c r="EY96" s="61"/>
      <c r="EZ96" s="61"/>
      <c r="FA96" s="61"/>
      <c r="FB96" s="61"/>
      <c r="FC96" s="61"/>
      <c r="FD96" s="61"/>
      <c r="FE96" s="61"/>
      <c r="FF96" s="61"/>
      <c r="FG96" s="61"/>
      <c r="FH96" s="61"/>
      <c r="FI96" s="61"/>
      <c r="FJ96" s="61"/>
      <c r="FK96" s="61"/>
      <c r="FL96" s="61"/>
      <c r="FM96" s="61"/>
      <c r="FN96" s="61"/>
      <c r="FO96" s="61"/>
      <c r="FP96" s="61"/>
      <c r="FQ96" s="61"/>
      <c r="FR96" s="61"/>
      <c r="FS96" s="61"/>
      <c r="FT96" s="61"/>
      <c r="FU96" s="61"/>
      <c r="FV96" s="61"/>
      <c r="FW96" s="61"/>
      <c r="FX96" s="61"/>
      <c r="FY96" s="61"/>
      <c r="FZ96" s="61"/>
      <c r="GA96" s="61"/>
      <c r="GB96" s="61"/>
      <c r="GC96" s="61"/>
      <c r="GD96" s="61"/>
      <c r="GE96" s="61"/>
      <c r="GF96" s="61"/>
      <c r="GG96" s="61"/>
      <c r="GH96" s="61"/>
      <c r="GI96" s="61"/>
      <c r="GJ96" s="61"/>
    </row>
    <row r="97" customFormat="1" ht="16.8" spans="1:192">
      <c r="A97" s="61"/>
      <c r="B97" s="61"/>
      <c r="C97" s="61"/>
      <c r="D97" s="61"/>
      <c r="E97" s="61"/>
      <c r="F97" s="61"/>
      <c r="G97" s="61"/>
      <c r="H97" s="61"/>
      <c r="I97" s="61"/>
      <c r="J97" s="61"/>
      <c r="K97" s="61"/>
      <c r="L97" s="61"/>
      <c r="M97" s="61"/>
      <c r="N97" s="61"/>
      <c r="O97" s="61"/>
      <c r="P97" s="61"/>
      <c r="Q97" s="61"/>
      <c r="R97" s="61"/>
      <c r="S97" s="61"/>
      <c r="T97" s="61"/>
      <c r="U97" s="61"/>
      <c r="V97" s="61"/>
      <c r="W97" s="61"/>
      <c r="X97" s="61"/>
      <c r="Y97" s="61"/>
      <c r="Z97" s="61"/>
      <c r="AA97" s="61"/>
      <c r="AB97" s="61"/>
      <c r="AC97" s="61"/>
      <c r="AD97" s="61"/>
      <c r="AE97" s="61"/>
      <c r="AF97" s="61"/>
      <c r="AG97" s="61"/>
      <c r="AH97" s="61"/>
      <c r="AI97" s="61"/>
      <c r="AJ97" s="61"/>
      <c r="AK97" s="61"/>
      <c r="AL97" s="61"/>
      <c r="AM97" s="61"/>
      <c r="AN97" s="61"/>
      <c r="AO97" s="61"/>
      <c r="AP97" s="61"/>
      <c r="AQ97" s="61"/>
      <c r="AR97" s="61"/>
      <c r="AS97" s="61"/>
      <c r="AT97" s="61"/>
      <c r="AU97" s="61"/>
      <c r="AV97" s="61"/>
      <c r="AW97" s="61"/>
      <c r="AX97" s="61"/>
      <c r="AY97" s="61"/>
      <c r="AZ97" s="61"/>
      <c r="BA97" s="61"/>
      <c r="BB97" s="61"/>
      <c r="BC97" s="61"/>
      <c r="BD97" s="61"/>
      <c r="BE97" s="61"/>
      <c r="BF97" s="61"/>
      <c r="BG97" s="61"/>
      <c r="BH97" s="61"/>
      <c r="BI97" s="61"/>
      <c r="BJ97" s="61"/>
      <c r="BK97" s="61"/>
      <c r="BL97" s="61"/>
      <c r="BM97" s="61"/>
      <c r="BN97" s="61"/>
      <c r="BO97" s="61"/>
      <c r="BP97" s="61"/>
      <c r="BQ97" s="61"/>
      <c r="BR97" s="61"/>
      <c r="BS97" s="61"/>
      <c r="BT97" s="61"/>
      <c r="BU97" s="61"/>
      <c r="BV97" s="61"/>
      <c r="BW97" s="61"/>
      <c r="BX97" s="61"/>
      <c r="BY97" s="61"/>
      <c r="BZ97" s="61"/>
      <c r="CA97" s="61"/>
      <c r="CB97" s="61"/>
      <c r="CC97" s="61"/>
      <c r="CD97" s="61"/>
      <c r="CE97" s="61"/>
      <c r="CF97" s="61"/>
      <c r="CG97" s="61"/>
      <c r="CH97" s="61"/>
      <c r="CI97" s="61"/>
      <c r="CJ97" s="61"/>
      <c r="CK97" s="61"/>
      <c r="CL97" s="61"/>
      <c r="CM97" s="61"/>
      <c r="CN97" s="61"/>
      <c r="CO97" s="61"/>
      <c r="CP97" s="61"/>
      <c r="CQ97" s="61"/>
      <c r="CR97" s="61"/>
      <c r="CS97" s="61"/>
      <c r="CT97" s="61"/>
      <c r="CU97" s="61"/>
      <c r="CV97" s="61"/>
      <c r="CW97" s="61"/>
      <c r="CX97" s="61"/>
      <c r="CY97" s="61"/>
      <c r="CZ97" s="61"/>
      <c r="DA97" s="61"/>
      <c r="DB97" s="61"/>
      <c r="DC97" s="61"/>
      <c r="DD97" s="61"/>
      <c r="DE97" s="61"/>
      <c r="DF97" s="61"/>
      <c r="DG97" s="61"/>
      <c r="DH97" s="61"/>
      <c r="DI97" s="61"/>
      <c r="DJ97" s="61"/>
      <c r="DK97" s="61"/>
      <c r="DL97" s="61"/>
      <c r="DM97" s="61"/>
      <c r="DN97" s="61"/>
      <c r="DO97" s="61"/>
      <c r="DP97" s="61"/>
      <c r="DQ97" s="61"/>
      <c r="DR97" s="61"/>
      <c r="DS97" s="61"/>
      <c r="DT97" s="61"/>
      <c r="DU97" s="61"/>
      <c r="DV97" s="61"/>
      <c r="DW97" s="61"/>
      <c r="DX97" s="61"/>
      <c r="DY97" s="61"/>
      <c r="DZ97" s="61"/>
      <c r="EA97" s="61"/>
      <c r="EB97" s="61"/>
      <c r="EC97" s="61"/>
      <c r="ED97" s="61"/>
      <c r="EE97" s="61"/>
      <c r="EF97" s="61"/>
      <c r="EG97" s="61"/>
      <c r="EH97" s="61"/>
      <c r="EI97" s="61"/>
      <c r="EJ97" s="61"/>
      <c r="EK97" s="61"/>
      <c r="EL97" s="61"/>
      <c r="EM97" s="61"/>
      <c r="EN97" s="61"/>
      <c r="EO97" s="61"/>
      <c r="EP97" s="61"/>
      <c r="EQ97" s="61"/>
      <c r="ER97" s="61"/>
      <c r="ES97" s="61"/>
      <c r="ET97" s="61"/>
      <c r="EU97" s="61"/>
      <c r="EV97" s="61"/>
      <c r="EW97" s="61"/>
      <c r="EX97" s="61"/>
      <c r="EY97" s="61"/>
      <c r="EZ97" s="61"/>
      <c r="FA97" s="61"/>
      <c r="FB97" s="61"/>
      <c r="FC97" s="61"/>
      <c r="FD97" s="61"/>
      <c r="FE97" s="61"/>
      <c r="FF97" s="61"/>
      <c r="FG97" s="61"/>
      <c r="FH97" s="61"/>
      <c r="FI97" s="61"/>
      <c r="FJ97" s="61"/>
      <c r="FK97" s="61"/>
      <c r="FL97" s="61"/>
      <c r="FM97" s="61"/>
      <c r="FN97" s="61"/>
      <c r="FO97" s="61"/>
      <c r="FP97" s="61"/>
      <c r="FQ97" s="61"/>
      <c r="FR97" s="61"/>
      <c r="FS97" s="61"/>
      <c r="FT97" s="61"/>
      <c r="FU97" s="61"/>
      <c r="FV97" s="61"/>
      <c r="FW97" s="61"/>
      <c r="FX97" s="61"/>
      <c r="FY97" s="61"/>
      <c r="FZ97" s="61"/>
      <c r="GA97" s="61"/>
      <c r="GB97" s="61"/>
      <c r="GC97" s="61"/>
      <c r="GD97" s="61"/>
      <c r="GE97" s="61"/>
      <c r="GF97" s="61"/>
      <c r="GG97" s="61"/>
      <c r="GH97" s="61"/>
      <c r="GI97" s="61"/>
      <c r="GJ97" s="61"/>
    </row>
    <row r="98" customFormat="1" ht="16.8" spans="1:192">
      <c r="A98" s="61"/>
      <c r="B98" s="61"/>
      <c r="C98" s="61"/>
      <c r="D98" s="61"/>
      <c r="E98" s="61"/>
      <c r="F98" s="61"/>
      <c r="G98" s="61"/>
      <c r="H98" s="61"/>
      <c r="I98" s="61"/>
      <c r="J98" s="61"/>
      <c r="K98" s="61"/>
      <c r="L98" s="61"/>
      <c r="M98" s="61"/>
      <c r="N98" s="61"/>
      <c r="O98" s="61"/>
      <c r="P98" s="61"/>
      <c r="Q98" s="61"/>
      <c r="R98" s="61"/>
      <c r="S98" s="61"/>
      <c r="T98" s="61"/>
      <c r="U98" s="61"/>
      <c r="V98" s="61"/>
      <c r="W98" s="61"/>
      <c r="X98" s="61"/>
      <c r="Y98" s="61"/>
      <c r="Z98" s="61"/>
      <c r="AA98" s="61"/>
      <c r="AB98" s="61"/>
      <c r="AC98" s="61"/>
      <c r="AD98" s="61"/>
      <c r="AE98" s="61"/>
      <c r="AF98" s="61"/>
      <c r="AG98" s="61"/>
      <c r="AH98" s="61"/>
      <c r="AI98" s="61"/>
      <c r="AJ98" s="61"/>
      <c r="AK98" s="61"/>
      <c r="AL98" s="61"/>
      <c r="AM98" s="61"/>
      <c r="AN98" s="61"/>
      <c r="AO98" s="61"/>
      <c r="AP98" s="61"/>
      <c r="AQ98" s="61"/>
      <c r="AR98" s="61"/>
      <c r="AS98" s="61"/>
      <c r="AT98" s="61"/>
      <c r="AU98" s="61"/>
      <c r="AV98" s="61"/>
      <c r="AW98" s="61"/>
      <c r="AX98" s="61"/>
      <c r="AY98" s="61"/>
      <c r="AZ98" s="61"/>
      <c r="BA98" s="61"/>
      <c r="BB98" s="61"/>
      <c r="BC98" s="61"/>
      <c r="BD98" s="61"/>
      <c r="BE98" s="61"/>
      <c r="BF98" s="61"/>
      <c r="BG98" s="61"/>
      <c r="BH98" s="61"/>
      <c r="BI98" s="61"/>
      <c r="BJ98" s="61"/>
      <c r="BK98" s="61"/>
      <c r="BL98" s="61"/>
      <c r="BM98" s="61"/>
      <c r="BN98" s="61"/>
      <c r="BO98" s="61"/>
      <c r="BP98" s="61"/>
      <c r="BQ98" s="61"/>
      <c r="BR98" s="61"/>
      <c r="BS98" s="61"/>
      <c r="BT98" s="61"/>
      <c r="BU98" s="61"/>
      <c r="BV98" s="61"/>
      <c r="BW98" s="61"/>
      <c r="BX98" s="61"/>
      <c r="BY98" s="61"/>
      <c r="BZ98" s="61"/>
      <c r="CA98" s="61"/>
      <c r="CB98" s="61"/>
      <c r="CC98" s="61"/>
      <c r="CD98" s="61"/>
      <c r="CE98" s="61"/>
      <c r="CF98" s="61"/>
      <c r="CG98" s="61"/>
      <c r="CH98" s="61"/>
      <c r="CI98" s="61"/>
      <c r="CJ98" s="61"/>
      <c r="CK98" s="61"/>
      <c r="CL98" s="61"/>
      <c r="CM98" s="61"/>
      <c r="CN98" s="61"/>
      <c r="CO98" s="61"/>
      <c r="CP98" s="61"/>
      <c r="CQ98" s="61"/>
      <c r="CR98" s="61"/>
      <c r="CS98" s="61"/>
      <c r="CT98" s="61"/>
      <c r="CU98" s="61"/>
      <c r="CV98" s="61"/>
      <c r="CW98" s="61"/>
      <c r="CX98" s="61"/>
      <c r="CY98" s="61"/>
      <c r="CZ98" s="61"/>
      <c r="DA98" s="61"/>
      <c r="DB98" s="61"/>
      <c r="DC98" s="61"/>
      <c r="DD98" s="61"/>
      <c r="DE98" s="61"/>
      <c r="DF98" s="61"/>
      <c r="DG98" s="61"/>
      <c r="DH98" s="61"/>
      <c r="DI98" s="61"/>
      <c r="DJ98" s="61"/>
      <c r="DK98" s="61"/>
      <c r="DL98" s="61"/>
      <c r="DM98" s="61"/>
      <c r="DN98" s="61"/>
      <c r="DO98" s="61"/>
      <c r="DP98" s="61"/>
      <c r="DQ98" s="61"/>
      <c r="DR98" s="61"/>
      <c r="DS98" s="61"/>
      <c r="DT98" s="61"/>
      <c r="DU98" s="61"/>
      <c r="DV98" s="61"/>
      <c r="DW98" s="61"/>
      <c r="DX98" s="61"/>
      <c r="DY98" s="61"/>
      <c r="DZ98" s="61"/>
      <c r="EA98" s="61"/>
      <c r="EB98" s="61"/>
      <c r="EC98" s="61"/>
      <c r="ED98" s="61"/>
      <c r="EE98" s="61"/>
      <c r="EF98" s="61"/>
      <c r="EG98" s="61"/>
      <c r="EH98" s="61"/>
      <c r="EI98" s="61"/>
      <c r="EJ98" s="61"/>
      <c r="EK98" s="61"/>
      <c r="EL98" s="61"/>
      <c r="EM98" s="61"/>
      <c r="EN98" s="61"/>
      <c r="EO98" s="61"/>
      <c r="EP98" s="61"/>
      <c r="EQ98" s="61"/>
      <c r="ER98" s="61"/>
      <c r="ES98" s="61"/>
      <c r="ET98" s="61"/>
      <c r="EU98" s="61"/>
      <c r="EV98" s="61"/>
      <c r="EW98" s="61"/>
      <c r="EX98" s="61"/>
      <c r="EY98" s="61"/>
      <c r="EZ98" s="61"/>
      <c r="FA98" s="61"/>
      <c r="FB98" s="61"/>
      <c r="FC98" s="61"/>
      <c r="FD98" s="61"/>
      <c r="FE98" s="61"/>
      <c r="FF98" s="61"/>
      <c r="FG98" s="61"/>
      <c r="FH98" s="61"/>
      <c r="FI98" s="61"/>
      <c r="FJ98" s="61"/>
      <c r="FK98" s="61"/>
      <c r="FL98" s="61"/>
      <c r="FM98" s="61"/>
      <c r="FN98" s="61"/>
      <c r="FO98" s="61"/>
      <c r="FP98" s="61"/>
      <c r="FQ98" s="61"/>
      <c r="FR98" s="61"/>
      <c r="FS98" s="61"/>
      <c r="FT98" s="61"/>
      <c r="FU98" s="61"/>
      <c r="FV98" s="61"/>
      <c r="FW98" s="61"/>
      <c r="FX98" s="61"/>
      <c r="FY98" s="61"/>
      <c r="FZ98" s="61"/>
      <c r="GA98" s="61"/>
      <c r="GB98" s="61"/>
      <c r="GC98" s="61"/>
      <c r="GD98" s="61"/>
      <c r="GE98" s="61"/>
      <c r="GF98" s="61"/>
      <c r="GG98" s="61"/>
      <c r="GH98" s="61"/>
      <c r="GI98" s="61"/>
      <c r="GJ98" s="61"/>
    </row>
    <row r="99" customFormat="1" ht="16.8" spans="1:192">
      <c r="A99" s="61"/>
      <c r="B99" s="61"/>
      <c r="C99" s="61"/>
      <c r="D99" s="61"/>
      <c r="E99" s="61"/>
      <c r="F99" s="61"/>
      <c r="G99" s="61"/>
      <c r="H99" s="61"/>
      <c r="I99" s="61"/>
      <c r="J99" s="61"/>
      <c r="K99" s="61"/>
      <c r="L99" s="61"/>
      <c r="M99" s="61"/>
      <c r="N99" s="61"/>
      <c r="O99" s="61"/>
      <c r="P99" s="61"/>
      <c r="Q99" s="61"/>
      <c r="R99" s="61"/>
      <c r="S99" s="61"/>
      <c r="T99" s="61"/>
      <c r="U99" s="61"/>
      <c r="V99" s="61"/>
      <c r="W99" s="61"/>
      <c r="X99" s="61"/>
      <c r="Y99" s="61"/>
      <c r="Z99" s="61"/>
      <c r="AA99" s="61"/>
      <c r="AB99" s="61"/>
      <c r="AC99" s="61"/>
      <c r="AD99" s="61"/>
      <c r="AE99" s="61"/>
      <c r="AF99" s="61"/>
      <c r="AG99" s="61"/>
      <c r="AH99" s="61"/>
      <c r="AI99" s="61"/>
      <c r="AJ99" s="61"/>
      <c r="AK99" s="61"/>
      <c r="AL99" s="61"/>
      <c r="AM99" s="61"/>
      <c r="AN99" s="61"/>
      <c r="AO99" s="61"/>
      <c r="AP99" s="61"/>
      <c r="AQ99" s="61"/>
      <c r="AR99" s="61"/>
      <c r="AS99" s="61"/>
      <c r="AT99" s="61"/>
      <c r="AU99" s="61"/>
      <c r="AV99" s="61"/>
      <c r="AW99" s="61"/>
      <c r="AX99" s="61"/>
      <c r="AY99" s="61"/>
      <c r="AZ99" s="61"/>
      <c r="BA99" s="61"/>
      <c r="BB99" s="61"/>
      <c r="BC99" s="61"/>
      <c r="BD99" s="61"/>
      <c r="BE99" s="61"/>
      <c r="BF99" s="61"/>
      <c r="BG99" s="61"/>
      <c r="BH99" s="61"/>
      <c r="BI99" s="61"/>
      <c r="BJ99" s="61"/>
      <c r="BK99" s="61"/>
      <c r="BL99" s="61"/>
      <c r="BM99" s="61"/>
      <c r="BN99" s="61"/>
      <c r="BO99" s="61"/>
      <c r="BP99" s="61"/>
      <c r="BQ99" s="61"/>
      <c r="BR99" s="61"/>
      <c r="BS99" s="61"/>
      <c r="BT99" s="61"/>
      <c r="BU99" s="61"/>
      <c r="BV99" s="61"/>
      <c r="BW99" s="61"/>
      <c r="BX99" s="61"/>
      <c r="BY99" s="61"/>
      <c r="BZ99" s="61"/>
      <c r="CA99" s="61"/>
      <c r="CB99" s="61"/>
      <c r="CC99" s="61"/>
      <c r="CD99" s="61"/>
      <c r="CE99" s="61"/>
      <c r="CF99" s="61"/>
      <c r="CG99" s="61"/>
      <c r="CH99" s="61"/>
      <c r="CI99" s="61"/>
      <c r="CJ99" s="61"/>
      <c r="CK99" s="61"/>
      <c r="CL99" s="61"/>
      <c r="CM99" s="61"/>
      <c r="CN99" s="61"/>
      <c r="CO99" s="61"/>
      <c r="CP99" s="61"/>
      <c r="CQ99" s="61"/>
      <c r="CR99" s="61"/>
      <c r="CS99" s="61"/>
      <c r="CT99" s="61"/>
      <c r="CU99" s="61"/>
      <c r="CV99" s="61"/>
      <c r="CW99" s="61"/>
      <c r="CX99" s="61"/>
      <c r="CY99" s="61"/>
      <c r="CZ99" s="61"/>
      <c r="DA99" s="61"/>
      <c r="DB99" s="61"/>
      <c r="DC99" s="61"/>
      <c r="DD99" s="61"/>
      <c r="DE99" s="61"/>
      <c r="DF99" s="61"/>
      <c r="DG99" s="61"/>
      <c r="DH99" s="61"/>
      <c r="DI99" s="61"/>
      <c r="DJ99" s="61"/>
      <c r="DK99" s="61"/>
      <c r="DL99" s="61"/>
      <c r="DM99" s="61"/>
      <c r="DN99" s="61"/>
      <c r="DO99" s="61"/>
      <c r="DP99" s="61"/>
      <c r="DQ99" s="61"/>
      <c r="DR99" s="61"/>
      <c r="DS99" s="61"/>
      <c r="DT99" s="61"/>
      <c r="DU99" s="61"/>
      <c r="DV99" s="61"/>
      <c r="DW99" s="61"/>
      <c r="DX99" s="61"/>
      <c r="DY99" s="61"/>
      <c r="DZ99" s="61"/>
      <c r="EA99" s="61"/>
      <c r="EB99" s="61"/>
      <c r="EC99" s="61"/>
      <c r="ED99" s="61"/>
      <c r="EE99" s="61"/>
      <c r="EF99" s="61"/>
      <c r="EG99" s="61"/>
      <c r="EH99" s="61"/>
      <c r="EI99" s="61"/>
      <c r="EJ99" s="61"/>
      <c r="EK99" s="61"/>
      <c r="EL99" s="61"/>
      <c r="EM99" s="61"/>
      <c r="EN99" s="61"/>
      <c r="EO99" s="61"/>
      <c r="EP99" s="61"/>
      <c r="EQ99" s="61"/>
      <c r="ER99" s="61"/>
      <c r="ES99" s="61"/>
      <c r="ET99" s="61"/>
      <c r="EU99" s="61"/>
      <c r="EV99" s="61"/>
      <c r="EW99" s="61"/>
      <c r="EX99" s="61"/>
      <c r="EY99" s="61"/>
      <c r="EZ99" s="61"/>
      <c r="FA99" s="61"/>
      <c r="FB99" s="61"/>
      <c r="FC99" s="61"/>
      <c r="FD99" s="61"/>
      <c r="FE99" s="61"/>
      <c r="FF99" s="61"/>
      <c r="FG99" s="61"/>
      <c r="FH99" s="61"/>
      <c r="FI99" s="61"/>
      <c r="FJ99" s="61"/>
      <c r="FK99" s="61"/>
      <c r="FL99" s="61"/>
      <c r="FM99" s="61"/>
      <c r="FN99" s="61"/>
      <c r="FO99" s="61"/>
      <c r="FP99" s="61"/>
      <c r="FQ99" s="61"/>
      <c r="FR99" s="61"/>
      <c r="FS99" s="61"/>
      <c r="FT99" s="61"/>
      <c r="FU99" s="61"/>
      <c r="FV99" s="61"/>
      <c r="FW99" s="61"/>
      <c r="FX99" s="61"/>
      <c r="FY99" s="61"/>
      <c r="FZ99" s="61"/>
      <c r="GA99" s="61"/>
      <c r="GB99" s="61"/>
      <c r="GC99" s="61"/>
      <c r="GD99" s="61"/>
      <c r="GE99" s="61"/>
      <c r="GF99" s="61"/>
      <c r="GG99" s="61"/>
      <c r="GH99" s="61"/>
      <c r="GI99" s="61"/>
      <c r="GJ99" s="61"/>
    </row>
    <row r="100" customFormat="1" ht="16.8" spans="1:192">
      <c r="A100" s="61"/>
      <c r="B100" s="61"/>
      <c r="C100" s="61"/>
      <c r="D100" s="61"/>
      <c r="E100" s="61"/>
      <c r="F100" s="61"/>
      <c r="G100" s="61"/>
      <c r="H100" s="61"/>
      <c r="I100" s="61"/>
      <c r="J100" s="61"/>
      <c r="K100" s="61"/>
      <c r="L100" s="61"/>
      <c r="M100" s="61"/>
      <c r="N100" s="61"/>
      <c r="O100" s="61"/>
      <c r="P100" s="61"/>
      <c r="Q100" s="61"/>
      <c r="R100" s="61"/>
      <c r="S100" s="61"/>
      <c r="T100" s="61"/>
      <c r="U100" s="61"/>
      <c r="V100" s="61"/>
      <c r="W100" s="61"/>
      <c r="X100" s="61"/>
      <c r="Y100" s="61"/>
      <c r="Z100" s="61"/>
      <c r="AA100" s="61"/>
      <c r="AB100" s="61"/>
      <c r="AC100" s="61"/>
      <c r="AD100" s="61"/>
      <c r="AE100" s="61"/>
      <c r="AF100" s="61"/>
      <c r="AG100" s="61"/>
      <c r="AH100" s="61"/>
      <c r="AI100" s="61"/>
      <c r="AJ100" s="61"/>
      <c r="AK100" s="61"/>
      <c r="AL100" s="61"/>
      <c r="AM100" s="61"/>
      <c r="AN100" s="61"/>
      <c r="AO100" s="61"/>
      <c r="AP100" s="61"/>
      <c r="AQ100" s="61"/>
      <c r="AR100" s="61"/>
      <c r="AS100" s="61"/>
      <c r="AT100" s="61"/>
      <c r="AU100" s="61"/>
      <c r="AV100" s="61"/>
      <c r="AW100" s="61"/>
      <c r="AX100" s="61"/>
      <c r="AY100" s="61"/>
      <c r="AZ100" s="61"/>
      <c r="BA100" s="61"/>
      <c r="BB100" s="61"/>
      <c r="BC100" s="61"/>
      <c r="BD100" s="61"/>
      <c r="BE100" s="61"/>
      <c r="BF100" s="61"/>
      <c r="BG100" s="61"/>
      <c r="BH100" s="61"/>
      <c r="BI100" s="61"/>
      <c r="BJ100" s="61"/>
      <c r="BK100" s="61"/>
      <c r="BL100" s="61"/>
      <c r="BM100" s="61"/>
      <c r="BN100" s="61"/>
      <c r="BO100" s="61"/>
      <c r="BP100" s="61"/>
      <c r="BQ100" s="61"/>
      <c r="BR100" s="61"/>
      <c r="BS100" s="61"/>
      <c r="BT100" s="61"/>
      <c r="BU100" s="61"/>
      <c r="BV100" s="61"/>
      <c r="BW100" s="61"/>
      <c r="BX100" s="61"/>
      <c r="BY100" s="61"/>
      <c r="BZ100" s="61"/>
      <c r="CA100" s="61"/>
      <c r="CB100" s="61"/>
      <c r="CC100" s="61"/>
      <c r="CD100" s="61"/>
      <c r="CE100" s="61"/>
      <c r="CF100" s="61"/>
      <c r="CG100" s="61"/>
      <c r="CH100" s="61"/>
      <c r="CI100" s="61"/>
      <c r="CJ100" s="61"/>
      <c r="CK100" s="61"/>
      <c r="CL100" s="61"/>
      <c r="CM100" s="61"/>
      <c r="CN100" s="61"/>
      <c r="CO100" s="61"/>
      <c r="CP100" s="61"/>
      <c r="CQ100" s="61"/>
      <c r="CR100" s="61"/>
      <c r="CS100" s="61"/>
      <c r="CT100" s="61"/>
      <c r="CU100" s="61"/>
      <c r="CV100" s="61"/>
      <c r="CW100" s="61"/>
      <c r="CX100" s="61"/>
      <c r="CY100" s="61"/>
      <c r="CZ100" s="61"/>
      <c r="DA100" s="61"/>
      <c r="DB100" s="61"/>
      <c r="DC100" s="61"/>
      <c r="DD100" s="61"/>
      <c r="DE100" s="61"/>
      <c r="DF100" s="61"/>
      <c r="DG100" s="61"/>
      <c r="DH100" s="61"/>
      <c r="DI100" s="61"/>
      <c r="DJ100" s="61"/>
      <c r="DK100" s="61"/>
      <c r="DL100" s="61"/>
      <c r="DM100" s="61"/>
      <c r="DN100" s="61"/>
      <c r="DO100" s="61"/>
      <c r="DP100" s="61"/>
      <c r="DQ100" s="61"/>
      <c r="DR100" s="61"/>
      <c r="DS100" s="61"/>
      <c r="DT100" s="61"/>
      <c r="DU100" s="61"/>
      <c r="DV100" s="61"/>
      <c r="DW100" s="61"/>
      <c r="DX100" s="61"/>
      <c r="DY100" s="61"/>
      <c r="DZ100" s="61"/>
      <c r="EA100" s="61"/>
      <c r="EB100" s="61"/>
      <c r="EC100" s="61"/>
      <c r="ED100" s="61"/>
      <c r="EE100" s="61"/>
      <c r="EF100" s="61"/>
      <c r="EG100" s="61"/>
      <c r="EH100" s="61"/>
      <c r="EI100" s="61"/>
      <c r="EJ100" s="61"/>
      <c r="EK100" s="61"/>
      <c r="EL100" s="61"/>
      <c r="EM100" s="61"/>
      <c r="EN100" s="61"/>
      <c r="EO100" s="61"/>
      <c r="EP100" s="61"/>
      <c r="EQ100" s="61"/>
      <c r="ER100" s="61"/>
      <c r="ES100" s="61"/>
      <c r="ET100" s="61"/>
      <c r="EU100" s="61"/>
      <c r="EV100" s="61"/>
      <c r="EW100" s="61"/>
      <c r="EX100" s="61"/>
      <c r="EY100" s="61"/>
      <c r="EZ100" s="61"/>
      <c r="FA100" s="61"/>
      <c r="FB100" s="61"/>
      <c r="FC100" s="61"/>
      <c r="FD100" s="61"/>
      <c r="FE100" s="61"/>
      <c r="FF100" s="61"/>
      <c r="FG100" s="61"/>
      <c r="FH100" s="61"/>
      <c r="FI100" s="61"/>
      <c r="FJ100" s="61"/>
      <c r="FK100" s="61"/>
      <c r="FL100" s="61"/>
      <c r="FM100" s="61"/>
      <c r="FN100" s="61"/>
      <c r="FO100" s="61"/>
      <c r="FP100" s="61"/>
      <c r="FQ100" s="61"/>
      <c r="FR100" s="61"/>
      <c r="FS100" s="61"/>
      <c r="FT100" s="61"/>
      <c r="FU100" s="61"/>
      <c r="FV100" s="61"/>
      <c r="FW100" s="61"/>
      <c r="FX100" s="61"/>
      <c r="FY100" s="61"/>
      <c r="FZ100" s="61"/>
      <c r="GA100" s="61"/>
      <c r="GB100" s="61"/>
      <c r="GC100" s="61"/>
      <c r="GD100" s="61"/>
      <c r="GE100" s="61"/>
      <c r="GF100" s="61"/>
      <c r="GG100" s="61"/>
      <c r="GH100" s="61"/>
      <c r="GI100" s="61"/>
      <c r="GJ100" s="61"/>
    </row>
    <row r="101" customFormat="1" ht="16.8" spans="1:192">
      <c r="A101" s="61"/>
      <c r="B101" s="61"/>
      <c r="C101" s="61"/>
      <c r="D101" s="61"/>
      <c r="E101" s="61"/>
      <c r="F101" s="61"/>
      <c r="G101" s="61"/>
      <c r="H101" s="61"/>
      <c r="I101" s="61"/>
      <c r="J101" s="61"/>
      <c r="K101" s="61"/>
      <c r="L101" s="61"/>
      <c r="M101" s="61"/>
      <c r="N101" s="61"/>
      <c r="O101" s="61"/>
      <c r="P101" s="61"/>
      <c r="Q101" s="61"/>
      <c r="R101" s="61"/>
      <c r="S101" s="61"/>
      <c r="T101" s="61"/>
      <c r="U101" s="61"/>
      <c r="V101" s="61"/>
      <c r="W101" s="61"/>
      <c r="X101" s="61"/>
      <c r="Y101" s="61"/>
      <c r="Z101" s="61"/>
      <c r="AA101" s="61"/>
      <c r="AB101" s="61"/>
      <c r="AC101" s="61"/>
      <c r="AD101" s="61"/>
      <c r="AE101" s="61"/>
      <c r="AF101" s="61"/>
      <c r="AG101" s="61"/>
      <c r="AH101" s="61"/>
      <c r="AI101" s="61"/>
      <c r="AJ101" s="61"/>
      <c r="AK101" s="61"/>
      <c r="AL101" s="61"/>
      <c r="AM101" s="61"/>
      <c r="AN101" s="61"/>
      <c r="AO101" s="61"/>
      <c r="AP101" s="61"/>
      <c r="AQ101" s="61"/>
      <c r="AR101" s="61"/>
      <c r="AS101" s="61"/>
      <c r="AT101" s="61"/>
      <c r="AU101" s="61"/>
      <c r="AV101" s="61"/>
      <c r="AW101" s="61"/>
      <c r="AX101" s="61"/>
      <c r="AY101" s="61"/>
      <c r="AZ101" s="61"/>
      <c r="BA101" s="61"/>
      <c r="BB101" s="61"/>
      <c r="BC101" s="61"/>
      <c r="BD101" s="61"/>
      <c r="BE101" s="61"/>
      <c r="BF101" s="61"/>
      <c r="BG101" s="61"/>
      <c r="BH101" s="61"/>
      <c r="BI101" s="61"/>
      <c r="BJ101" s="61"/>
      <c r="BK101" s="61"/>
      <c r="BL101" s="61"/>
      <c r="BM101" s="61"/>
      <c r="BN101" s="61"/>
      <c r="BO101" s="61"/>
      <c r="BP101" s="61"/>
      <c r="BQ101" s="61"/>
      <c r="BR101" s="61"/>
      <c r="BS101" s="61"/>
      <c r="BT101" s="61"/>
      <c r="BU101" s="61"/>
      <c r="BV101" s="61"/>
      <c r="BW101" s="61"/>
      <c r="BX101" s="61"/>
      <c r="BY101" s="61"/>
      <c r="BZ101" s="61"/>
      <c r="CA101" s="61"/>
      <c r="CB101" s="61"/>
      <c r="CC101" s="61"/>
      <c r="CD101" s="61"/>
      <c r="CE101" s="61"/>
      <c r="CF101" s="61"/>
      <c r="CG101" s="61"/>
      <c r="CH101" s="61"/>
      <c r="CI101" s="61"/>
      <c r="CJ101" s="61"/>
      <c r="CK101" s="61"/>
      <c r="CL101" s="61"/>
      <c r="CM101" s="61"/>
      <c r="CN101" s="61"/>
      <c r="CO101" s="61"/>
      <c r="CP101" s="61"/>
      <c r="CQ101" s="61"/>
      <c r="CR101" s="61"/>
      <c r="CS101" s="61"/>
      <c r="CT101" s="61"/>
      <c r="CU101" s="61"/>
      <c r="CV101" s="61"/>
      <c r="CW101" s="61"/>
      <c r="CX101" s="61"/>
      <c r="CY101" s="61"/>
      <c r="CZ101" s="61"/>
      <c r="DA101" s="61"/>
      <c r="DB101" s="61"/>
      <c r="DC101" s="61"/>
      <c r="DD101" s="61"/>
      <c r="DE101" s="61"/>
      <c r="DF101" s="61"/>
      <c r="DG101" s="61"/>
      <c r="DH101" s="61"/>
      <c r="DI101" s="61"/>
      <c r="DJ101" s="61"/>
      <c r="DK101" s="61"/>
      <c r="DL101" s="61"/>
      <c r="DM101" s="61"/>
      <c r="DN101" s="61"/>
      <c r="DO101" s="61"/>
      <c r="DP101" s="61"/>
      <c r="DQ101" s="61"/>
      <c r="DR101" s="61"/>
      <c r="DS101" s="61"/>
      <c r="DT101" s="61"/>
      <c r="DU101" s="61"/>
      <c r="DV101" s="61"/>
      <c r="DW101" s="61"/>
      <c r="DX101" s="61"/>
      <c r="DY101" s="61"/>
      <c r="DZ101" s="61"/>
      <c r="EA101" s="61"/>
      <c r="EB101" s="61"/>
      <c r="EC101" s="61"/>
      <c r="ED101" s="61"/>
      <c r="EE101" s="61"/>
      <c r="EF101" s="61"/>
      <c r="EG101" s="61"/>
      <c r="EH101" s="61"/>
      <c r="EI101" s="61"/>
      <c r="EJ101" s="61"/>
      <c r="EK101" s="61"/>
      <c r="EL101" s="61"/>
      <c r="EM101" s="61"/>
      <c r="EN101" s="61"/>
      <c r="EO101" s="61"/>
      <c r="EP101" s="61"/>
      <c r="EQ101" s="61"/>
      <c r="ER101" s="61"/>
      <c r="ES101" s="61"/>
      <c r="ET101" s="61"/>
      <c r="EU101" s="61"/>
      <c r="EV101" s="61"/>
      <c r="EW101" s="61"/>
      <c r="EX101" s="61"/>
      <c r="EY101" s="61"/>
      <c r="EZ101" s="61"/>
      <c r="FA101" s="61"/>
      <c r="FB101" s="61"/>
      <c r="FC101" s="61"/>
      <c r="FD101" s="61"/>
      <c r="FE101" s="61"/>
      <c r="FF101" s="61"/>
      <c r="FG101" s="61"/>
      <c r="FH101" s="61"/>
      <c r="FI101" s="61"/>
      <c r="FJ101" s="61"/>
      <c r="FK101" s="61"/>
      <c r="FL101" s="61"/>
      <c r="FM101" s="61"/>
      <c r="FN101" s="61"/>
      <c r="FO101" s="61"/>
      <c r="FP101" s="61"/>
      <c r="FQ101" s="61"/>
      <c r="FR101" s="61"/>
      <c r="FS101" s="61"/>
      <c r="FT101" s="61"/>
      <c r="FU101" s="61"/>
      <c r="FV101" s="61"/>
      <c r="FW101" s="61"/>
      <c r="FX101" s="61"/>
      <c r="FY101" s="61"/>
      <c r="FZ101" s="61"/>
      <c r="GA101" s="61"/>
      <c r="GB101" s="61"/>
      <c r="GC101" s="61"/>
      <c r="GD101" s="61"/>
      <c r="GE101" s="61"/>
      <c r="GF101" s="61"/>
      <c r="GG101" s="61"/>
      <c r="GH101" s="61"/>
      <c r="GI101" s="61"/>
      <c r="GJ101" s="61"/>
    </row>
    <row r="102" customFormat="1" ht="16.8" spans="1:192">
      <c r="A102" s="61"/>
      <c r="B102" s="61"/>
      <c r="C102" s="61"/>
      <c r="D102" s="61"/>
      <c r="E102" s="61"/>
      <c r="F102" s="61"/>
      <c r="G102" s="61"/>
      <c r="H102" s="61"/>
      <c r="I102" s="61"/>
      <c r="J102" s="61"/>
      <c r="K102" s="61"/>
      <c r="L102" s="61"/>
      <c r="M102" s="61"/>
      <c r="N102" s="61"/>
      <c r="O102" s="61"/>
      <c r="P102" s="61"/>
      <c r="Q102" s="61"/>
      <c r="R102" s="61"/>
      <c r="S102" s="61"/>
      <c r="T102" s="61"/>
      <c r="U102" s="61"/>
      <c r="V102" s="61"/>
      <c r="W102" s="61"/>
      <c r="X102" s="61"/>
      <c r="Y102" s="61"/>
      <c r="Z102" s="61"/>
      <c r="AA102" s="61"/>
      <c r="AB102" s="61"/>
      <c r="AC102" s="61"/>
      <c r="AD102" s="61"/>
      <c r="AE102" s="61"/>
      <c r="AF102" s="61"/>
      <c r="AG102" s="61"/>
      <c r="AH102" s="61"/>
      <c r="AI102" s="61"/>
      <c r="AJ102" s="61"/>
      <c r="AK102" s="61"/>
      <c r="AL102" s="61"/>
      <c r="AM102" s="61"/>
      <c r="AN102" s="61"/>
      <c r="AO102" s="61"/>
      <c r="AP102" s="61"/>
      <c r="AQ102" s="61"/>
      <c r="AR102" s="61"/>
      <c r="AS102" s="61"/>
      <c r="AT102" s="61"/>
      <c r="AU102" s="61"/>
      <c r="AV102" s="61"/>
      <c r="AW102" s="61"/>
      <c r="AX102" s="61"/>
      <c r="AY102" s="61"/>
      <c r="AZ102" s="61"/>
      <c r="BA102" s="61"/>
      <c r="BB102" s="61"/>
      <c r="BC102" s="61"/>
      <c r="BD102" s="61"/>
      <c r="BE102" s="61"/>
      <c r="BF102" s="61"/>
      <c r="BG102" s="61"/>
      <c r="BH102" s="61"/>
      <c r="BI102" s="61"/>
      <c r="BJ102" s="61"/>
      <c r="BK102" s="61"/>
      <c r="BL102" s="61"/>
      <c r="BM102" s="61"/>
      <c r="BN102" s="61"/>
      <c r="BO102" s="61"/>
      <c r="BP102" s="61"/>
      <c r="BQ102" s="61"/>
      <c r="BR102" s="61"/>
      <c r="BS102" s="61"/>
      <c r="BT102" s="61"/>
      <c r="BU102" s="61"/>
      <c r="BV102" s="61"/>
      <c r="BW102" s="61"/>
      <c r="BX102" s="61"/>
      <c r="BY102" s="61"/>
      <c r="BZ102" s="61"/>
      <c r="CA102" s="61"/>
      <c r="CB102" s="61"/>
      <c r="CC102" s="61"/>
      <c r="CD102" s="61"/>
      <c r="CE102" s="61"/>
      <c r="CF102" s="61"/>
      <c r="CG102" s="61"/>
      <c r="CH102" s="61"/>
      <c r="CI102" s="61"/>
      <c r="CJ102" s="61"/>
      <c r="CK102" s="61"/>
      <c r="CL102" s="61"/>
      <c r="CM102" s="61"/>
      <c r="CN102" s="61"/>
      <c r="CO102" s="61"/>
      <c r="CP102" s="61"/>
      <c r="CQ102" s="61"/>
      <c r="CR102" s="61"/>
      <c r="CS102" s="61"/>
      <c r="CT102" s="61"/>
      <c r="CU102" s="61"/>
      <c r="CV102" s="61"/>
      <c r="CW102" s="61"/>
      <c r="CX102" s="61"/>
      <c r="CY102" s="61"/>
      <c r="CZ102" s="61"/>
      <c r="DA102" s="61"/>
      <c r="DB102" s="61"/>
      <c r="DC102" s="61"/>
      <c r="DD102" s="61"/>
      <c r="DE102" s="61"/>
      <c r="DF102" s="61"/>
      <c r="DG102" s="61"/>
      <c r="DH102" s="61"/>
      <c r="DI102" s="61"/>
      <c r="DJ102" s="61"/>
      <c r="DK102" s="61"/>
      <c r="DL102" s="61"/>
      <c r="DM102" s="61"/>
      <c r="DN102" s="61"/>
      <c r="DO102" s="61"/>
      <c r="DP102" s="61"/>
      <c r="DQ102" s="61"/>
      <c r="DR102" s="61"/>
      <c r="DS102" s="61"/>
      <c r="DT102" s="61"/>
      <c r="DU102" s="61"/>
      <c r="DV102" s="61"/>
      <c r="DW102" s="61"/>
      <c r="DX102" s="61"/>
      <c r="DY102" s="61"/>
      <c r="DZ102" s="61"/>
      <c r="EA102" s="61"/>
      <c r="EB102" s="61"/>
      <c r="EC102" s="61"/>
      <c r="ED102" s="61"/>
      <c r="EE102" s="61"/>
      <c r="EF102" s="61"/>
      <c r="EG102" s="61"/>
      <c r="EH102" s="61"/>
      <c r="EI102" s="61"/>
      <c r="EJ102" s="61"/>
      <c r="EK102" s="61"/>
      <c r="EL102" s="61"/>
      <c r="EM102" s="61"/>
      <c r="EN102" s="61"/>
      <c r="EO102" s="61"/>
      <c r="EP102" s="61"/>
      <c r="EQ102" s="61"/>
      <c r="ER102" s="61"/>
      <c r="ES102" s="61"/>
      <c r="ET102" s="61"/>
      <c r="EU102" s="61"/>
      <c r="EV102" s="61"/>
      <c r="EW102" s="61"/>
      <c r="EX102" s="61"/>
      <c r="EY102" s="61"/>
      <c r="EZ102" s="61"/>
      <c r="FA102" s="61"/>
      <c r="FB102" s="61"/>
      <c r="FC102" s="61"/>
      <c r="FD102" s="61"/>
      <c r="FE102" s="61"/>
      <c r="FF102" s="61"/>
      <c r="FG102" s="61"/>
      <c r="FH102" s="61"/>
      <c r="FI102" s="61"/>
      <c r="FJ102" s="61"/>
      <c r="FK102" s="61"/>
      <c r="FL102" s="61"/>
      <c r="FM102" s="61"/>
      <c r="FN102" s="61"/>
      <c r="FO102" s="61"/>
      <c r="FP102" s="61"/>
      <c r="FQ102" s="61"/>
      <c r="FR102" s="61"/>
      <c r="FS102" s="61"/>
      <c r="FT102" s="61"/>
      <c r="FU102" s="61"/>
      <c r="FV102" s="61"/>
      <c r="FW102" s="61"/>
      <c r="FX102" s="61"/>
      <c r="FY102" s="61"/>
      <c r="FZ102" s="61"/>
      <c r="GA102" s="61"/>
      <c r="GB102" s="61"/>
      <c r="GC102" s="61"/>
      <c r="GD102" s="61"/>
      <c r="GE102" s="61"/>
      <c r="GF102" s="61"/>
      <c r="GG102" s="61"/>
      <c r="GH102" s="61"/>
      <c r="GI102" s="61"/>
      <c r="GJ102" s="61"/>
    </row>
    <row r="103" customFormat="1" ht="16.8" spans="1:192">
      <c r="A103" s="61"/>
      <c r="B103" s="61"/>
      <c r="C103" s="61"/>
      <c r="D103" s="61"/>
      <c r="E103" s="61"/>
      <c r="F103" s="61"/>
      <c r="G103" s="61"/>
      <c r="H103" s="61"/>
      <c r="I103" s="61"/>
      <c r="J103" s="61"/>
      <c r="K103" s="61"/>
      <c r="L103" s="61"/>
      <c r="M103" s="61"/>
      <c r="N103" s="61"/>
      <c r="O103" s="61"/>
      <c r="P103" s="61"/>
      <c r="Q103" s="61"/>
      <c r="R103" s="61"/>
      <c r="S103" s="61"/>
      <c r="T103" s="61"/>
      <c r="U103" s="61"/>
      <c r="V103" s="61"/>
      <c r="W103" s="61"/>
      <c r="X103" s="61"/>
      <c r="Y103" s="61"/>
      <c r="Z103" s="61"/>
      <c r="AA103" s="61"/>
      <c r="AB103" s="61"/>
      <c r="AC103" s="61"/>
      <c r="AD103" s="61"/>
      <c r="AE103" s="61"/>
      <c r="AF103" s="61"/>
      <c r="AG103" s="61"/>
      <c r="AH103" s="61"/>
      <c r="AI103" s="61"/>
      <c r="AJ103" s="61"/>
      <c r="AK103" s="61"/>
      <c r="AL103" s="61"/>
      <c r="AM103" s="61"/>
      <c r="AN103" s="61"/>
      <c r="AO103" s="61"/>
      <c r="AP103" s="61"/>
      <c r="AQ103" s="61"/>
      <c r="AR103" s="61"/>
      <c r="AS103" s="61"/>
      <c r="AT103" s="61"/>
      <c r="AU103" s="61"/>
      <c r="AV103" s="61"/>
      <c r="AW103" s="61"/>
      <c r="AX103" s="61"/>
      <c r="AY103" s="61"/>
      <c r="AZ103" s="61"/>
      <c r="BA103" s="61"/>
      <c r="BB103" s="61"/>
      <c r="BC103" s="61"/>
      <c r="BD103" s="61"/>
      <c r="BE103" s="61"/>
      <c r="BF103" s="61"/>
      <c r="BG103" s="61"/>
      <c r="BH103" s="61"/>
      <c r="BI103" s="61"/>
      <c r="BJ103" s="61"/>
      <c r="BK103" s="61"/>
      <c r="BL103" s="61"/>
      <c r="BM103" s="61"/>
      <c r="BN103" s="61"/>
      <c r="BO103" s="61"/>
      <c r="BP103" s="61"/>
      <c r="BQ103" s="61"/>
      <c r="BR103" s="61"/>
      <c r="BS103" s="61"/>
      <c r="BT103" s="61"/>
      <c r="BU103" s="61"/>
      <c r="BV103" s="61"/>
      <c r="BW103" s="61"/>
      <c r="BX103" s="61"/>
      <c r="BY103" s="61"/>
      <c r="BZ103" s="61"/>
      <c r="CA103" s="61"/>
      <c r="CB103" s="61"/>
      <c r="CC103" s="61"/>
      <c r="CD103" s="61"/>
      <c r="CE103" s="61"/>
      <c r="CF103" s="61"/>
      <c r="CG103" s="61"/>
      <c r="CH103" s="61"/>
      <c r="CI103" s="61"/>
      <c r="CJ103" s="61"/>
      <c r="CK103" s="61"/>
      <c r="CL103" s="61"/>
      <c r="CM103" s="61"/>
      <c r="CN103" s="61"/>
      <c r="CO103" s="61"/>
      <c r="CP103" s="61"/>
      <c r="CQ103" s="61"/>
      <c r="CR103" s="61"/>
      <c r="CS103" s="61"/>
      <c r="CT103" s="61"/>
      <c r="CU103" s="61"/>
      <c r="CV103" s="61"/>
      <c r="CW103" s="61"/>
      <c r="CX103" s="61"/>
      <c r="CY103" s="61"/>
      <c r="CZ103" s="61"/>
      <c r="DA103" s="61"/>
      <c r="DB103" s="61"/>
      <c r="DC103" s="61"/>
      <c r="DD103" s="61"/>
      <c r="DE103" s="61"/>
      <c r="DF103" s="61"/>
      <c r="DG103" s="61"/>
      <c r="DH103" s="61"/>
      <c r="DI103" s="61"/>
      <c r="DJ103" s="61"/>
      <c r="DK103" s="61"/>
      <c r="DL103" s="61"/>
      <c r="DM103" s="61"/>
      <c r="DN103" s="61"/>
      <c r="DO103" s="61"/>
      <c r="DP103" s="61"/>
      <c r="DQ103" s="61"/>
      <c r="DR103" s="61"/>
      <c r="DS103" s="61"/>
      <c r="DT103" s="61"/>
      <c r="DU103" s="61"/>
      <c r="DV103" s="61"/>
      <c r="DW103" s="61"/>
      <c r="DX103" s="61"/>
      <c r="DY103" s="61"/>
      <c r="DZ103" s="61"/>
      <c r="EA103" s="61"/>
      <c r="EB103" s="61"/>
      <c r="EC103" s="61"/>
      <c r="ED103" s="61"/>
      <c r="EE103" s="61"/>
      <c r="EF103" s="61"/>
      <c r="EG103" s="61"/>
      <c r="EH103" s="61"/>
      <c r="EI103" s="61"/>
      <c r="EJ103" s="61"/>
      <c r="EK103" s="61"/>
      <c r="EL103" s="61"/>
      <c r="EM103" s="61"/>
      <c r="EN103" s="61"/>
      <c r="EO103" s="61"/>
      <c r="EP103" s="61"/>
      <c r="EQ103" s="61"/>
      <c r="ER103" s="61"/>
      <c r="ES103" s="61"/>
      <c r="ET103" s="61"/>
      <c r="EU103" s="61"/>
      <c r="EV103" s="61"/>
      <c r="EW103" s="61"/>
      <c r="EX103" s="61"/>
      <c r="EY103" s="61"/>
      <c r="EZ103" s="61"/>
      <c r="FA103" s="61"/>
      <c r="FB103" s="61"/>
      <c r="FC103" s="61"/>
      <c r="FD103" s="61"/>
      <c r="FE103" s="61"/>
      <c r="FF103" s="61"/>
      <c r="FG103" s="61"/>
      <c r="FH103" s="61"/>
      <c r="FI103" s="61"/>
      <c r="FJ103" s="61"/>
      <c r="FK103" s="61"/>
      <c r="FL103" s="61"/>
      <c r="FM103" s="61"/>
      <c r="FN103" s="61"/>
      <c r="FO103" s="61"/>
      <c r="FP103" s="61"/>
      <c r="FQ103" s="61"/>
      <c r="FR103" s="61"/>
      <c r="FS103" s="61"/>
      <c r="FT103" s="61"/>
      <c r="FU103" s="61"/>
      <c r="FV103" s="61"/>
      <c r="FW103" s="61"/>
      <c r="FX103" s="61"/>
      <c r="FY103" s="61"/>
      <c r="FZ103" s="61"/>
      <c r="GA103" s="61"/>
      <c r="GB103" s="61"/>
      <c r="GC103" s="61"/>
      <c r="GD103" s="61"/>
      <c r="GE103" s="61"/>
      <c r="GF103" s="61"/>
      <c r="GG103" s="61"/>
      <c r="GH103" s="61"/>
      <c r="GI103" s="61"/>
      <c r="GJ103" s="61"/>
    </row>
    <row r="104" customFormat="1" ht="16.8" spans="1:192">
      <c r="A104" s="61"/>
      <c r="B104" s="61"/>
      <c r="C104" s="61"/>
      <c r="D104" s="61"/>
      <c r="E104" s="61"/>
      <c r="F104" s="61"/>
      <c r="G104" s="61"/>
      <c r="H104" s="61"/>
      <c r="I104" s="61"/>
      <c r="J104" s="61"/>
      <c r="K104" s="61"/>
      <c r="L104" s="61"/>
      <c r="M104" s="61"/>
      <c r="N104" s="61"/>
      <c r="O104" s="61"/>
      <c r="P104" s="61"/>
      <c r="Q104" s="61"/>
      <c r="R104" s="61"/>
      <c r="S104" s="61"/>
      <c r="T104" s="61"/>
      <c r="U104" s="61"/>
      <c r="V104" s="61"/>
      <c r="W104" s="61"/>
      <c r="X104" s="61"/>
      <c r="Y104" s="61"/>
      <c r="Z104" s="61"/>
      <c r="AA104" s="61"/>
      <c r="AB104" s="61"/>
      <c r="AC104" s="61"/>
      <c r="AD104" s="61"/>
      <c r="AE104" s="61"/>
      <c r="AF104" s="61"/>
      <c r="AG104" s="61"/>
      <c r="AH104" s="61"/>
      <c r="AI104" s="61"/>
      <c r="AJ104" s="61"/>
      <c r="AK104" s="61"/>
      <c r="AL104" s="61"/>
      <c r="AM104" s="61"/>
      <c r="AN104" s="61"/>
      <c r="AO104" s="61"/>
      <c r="AP104" s="61"/>
      <c r="AQ104" s="61"/>
      <c r="AR104" s="61"/>
      <c r="AS104" s="61"/>
      <c r="AT104" s="61"/>
      <c r="AU104" s="61"/>
      <c r="AV104" s="61"/>
      <c r="AW104" s="61"/>
      <c r="AX104" s="61"/>
      <c r="AY104" s="61"/>
      <c r="AZ104" s="61"/>
      <c r="BA104" s="61"/>
      <c r="BB104" s="61"/>
      <c r="BC104" s="61"/>
      <c r="BD104" s="61"/>
      <c r="BE104" s="61"/>
      <c r="BF104" s="61"/>
      <c r="BG104" s="61"/>
      <c r="BH104" s="61"/>
      <c r="BI104" s="61"/>
      <c r="BJ104" s="61"/>
      <c r="BK104" s="61"/>
      <c r="BL104" s="61"/>
      <c r="BM104" s="61"/>
      <c r="BN104" s="61"/>
      <c r="BO104" s="61"/>
      <c r="BP104" s="61"/>
      <c r="BQ104" s="61"/>
      <c r="BR104" s="61"/>
      <c r="BS104" s="61"/>
      <c r="BT104" s="61"/>
      <c r="BU104" s="61"/>
      <c r="BV104" s="61"/>
      <c r="BW104" s="61"/>
      <c r="BX104" s="61"/>
      <c r="BY104" s="61"/>
      <c r="BZ104" s="61"/>
      <c r="CA104" s="61"/>
      <c r="CB104" s="61"/>
      <c r="CC104" s="61"/>
      <c r="CD104" s="61"/>
      <c r="CE104" s="61"/>
      <c r="CF104" s="61"/>
      <c r="CG104" s="61"/>
      <c r="CH104" s="61"/>
      <c r="CI104" s="61"/>
      <c r="CJ104" s="61"/>
      <c r="CK104" s="61"/>
      <c r="CL104" s="61"/>
      <c r="CM104" s="61"/>
      <c r="CN104" s="61"/>
      <c r="CO104" s="61"/>
      <c r="CP104" s="61"/>
      <c r="CQ104" s="61"/>
      <c r="CR104" s="61"/>
      <c r="CS104" s="61"/>
      <c r="CT104" s="61"/>
      <c r="CU104" s="61"/>
      <c r="CV104" s="61"/>
      <c r="CW104" s="61"/>
      <c r="CX104" s="61"/>
      <c r="CY104" s="61"/>
      <c r="CZ104" s="61"/>
      <c r="DA104" s="61"/>
      <c r="DB104" s="61"/>
      <c r="DC104" s="61"/>
      <c r="DD104" s="61"/>
      <c r="DE104" s="61"/>
      <c r="DF104" s="61"/>
      <c r="DG104" s="61"/>
      <c r="DH104" s="61"/>
      <c r="DI104" s="61"/>
      <c r="DJ104" s="61"/>
      <c r="DK104" s="61"/>
      <c r="DL104" s="61"/>
      <c r="DM104" s="61"/>
      <c r="DN104" s="61"/>
      <c r="DO104" s="61"/>
      <c r="DP104" s="61"/>
      <c r="DQ104" s="61"/>
      <c r="DR104" s="61"/>
      <c r="DS104" s="61"/>
      <c r="DT104" s="61"/>
      <c r="DU104" s="61"/>
      <c r="DV104" s="61"/>
      <c r="DW104" s="61"/>
      <c r="DX104" s="61"/>
      <c r="DY104" s="61"/>
      <c r="DZ104" s="61"/>
      <c r="EA104" s="61"/>
      <c r="EB104" s="61"/>
      <c r="EC104" s="61"/>
      <c r="ED104" s="61"/>
      <c r="EE104" s="61"/>
      <c r="EF104" s="61"/>
      <c r="EG104" s="61"/>
      <c r="EH104" s="61"/>
      <c r="EI104" s="61"/>
      <c r="EJ104" s="61"/>
      <c r="EK104" s="61"/>
      <c r="EL104" s="61"/>
      <c r="EM104" s="61"/>
      <c r="EN104" s="61"/>
      <c r="EO104" s="61"/>
      <c r="EP104" s="61"/>
      <c r="EQ104" s="61"/>
      <c r="ER104" s="61"/>
      <c r="ES104" s="61"/>
      <c r="ET104" s="61"/>
      <c r="EU104" s="61"/>
      <c r="EV104" s="61"/>
      <c r="EW104" s="61"/>
      <c r="EX104" s="61"/>
      <c r="EY104" s="61"/>
      <c r="EZ104" s="61"/>
      <c r="FA104" s="61"/>
      <c r="FB104" s="61"/>
      <c r="FC104" s="61"/>
      <c r="FD104" s="61"/>
      <c r="FE104" s="61"/>
      <c r="FF104" s="61"/>
      <c r="FG104" s="61"/>
      <c r="FH104" s="61"/>
      <c r="FI104" s="61"/>
      <c r="FJ104" s="61"/>
      <c r="FK104" s="61"/>
      <c r="FL104" s="61"/>
      <c r="FM104" s="61"/>
      <c r="FN104" s="61"/>
      <c r="FO104" s="61"/>
      <c r="FP104" s="61"/>
      <c r="FQ104" s="61"/>
      <c r="FR104" s="61"/>
      <c r="FS104" s="61"/>
      <c r="FT104" s="61"/>
      <c r="FU104" s="61"/>
      <c r="FV104" s="61"/>
      <c r="FW104" s="61"/>
      <c r="FX104" s="61"/>
      <c r="FY104" s="61"/>
      <c r="FZ104" s="61"/>
      <c r="GA104" s="61"/>
      <c r="GB104" s="61"/>
      <c r="GC104" s="61"/>
      <c r="GD104" s="61"/>
      <c r="GE104" s="61"/>
      <c r="GF104" s="61"/>
      <c r="GG104" s="61"/>
      <c r="GH104" s="61"/>
      <c r="GI104" s="61"/>
      <c r="GJ104" s="61"/>
    </row>
    <row r="105" customFormat="1" ht="16.8" spans="1:192">
      <c r="A105" s="61"/>
      <c r="B105" s="61"/>
      <c r="C105" s="61"/>
      <c r="D105" s="61"/>
      <c r="E105" s="61"/>
      <c r="F105" s="61"/>
      <c r="G105" s="61"/>
      <c r="H105" s="61"/>
      <c r="I105" s="61"/>
      <c r="J105" s="61"/>
      <c r="K105" s="61"/>
      <c r="L105" s="61"/>
      <c r="M105" s="61"/>
      <c r="N105" s="61"/>
      <c r="O105" s="61"/>
      <c r="P105" s="61"/>
      <c r="Q105" s="61"/>
      <c r="R105" s="61"/>
      <c r="S105" s="61"/>
      <c r="T105" s="61"/>
      <c r="U105" s="61"/>
      <c r="V105" s="61"/>
      <c r="W105" s="61"/>
      <c r="X105" s="61"/>
      <c r="Y105" s="61"/>
      <c r="Z105" s="61"/>
      <c r="AA105" s="61"/>
      <c r="AB105" s="61"/>
      <c r="AC105" s="61"/>
      <c r="AD105" s="61"/>
      <c r="AE105" s="61"/>
      <c r="AF105" s="61"/>
      <c r="AG105" s="61"/>
      <c r="AH105" s="61"/>
      <c r="AI105" s="61"/>
      <c r="AJ105" s="61"/>
      <c r="AK105" s="61"/>
      <c r="AL105" s="61"/>
      <c r="AM105" s="61"/>
      <c r="AN105" s="61"/>
      <c r="AO105" s="61"/>
      <c r="AP105" s="61"/>
      <c r="AQ105" s="61"/>
      <c r="AR105" s="61"/>
      <c r="AS105" s="61"/>
      <c r="AT105" s="61"/>
      <c r="AU105" s="61"/>
      <c r="AV105" s="61"/>
      <c r="AW105" s="61"/>
      <c r="AX105" s="61"/>
      <c r="AY105" s="61"/>
      <c r="AZ105" s="61"/>
      <c r="BA105" s="61"/>
      <c r="BB105" s="61"/>
      <c r="BC105" s="61"/>
      <c r="BD105" s="61"/>
      <c r="BE105" s="61"/>
      <c r="BF105" s="61"/>
      <c r="BG105" s="61"/>
      <c r="BH105" s="61"/>
      <c r="BI105" s="61"/>
      <c r="BJ105" s="61"/>
      <c r="BK105" s="61"/>
      <c r="BL105" s="61"/>
      <c r="BM105" s="61"/>
      <c r="BN105" s="61"/>
      <c r="BO105" s="61"/>
      <c r="BP105" s="61"/>
      <c r="BQ105" s="61"/>
      <c r="BR105" s="61"/>
      <c r="BS105" s="61"/>
      <c r="BT105" s="61"/>
      <c r="BU105" s="61"/>
      <c r="BV105" s="61"/>
      <c r="BW105" s="61"/>
      <c r="BX105" s="61"/>
      <c r="BY105" s="61"/>
      <c r="BZ105" s="61"/>
      <c r="CA105" s="61"/>
      <c r="CB105" s="61"/>
      <c r="CC105" s="61"/>
      <c r="CD105" s="61"/>
      <c r="CE105" s="61"/>
      <c r="CF105" s="61"/>
      <c r="CG105" s="61"/>
      <c r="CH105" s="61"/>
      <c r="CI105" s="61"/>
      <c r="CJ105" s="61"/>
      <c r="CK105" s="61"/>
      <c r="CL105" s="61"/>
      <c r="CM105" s="61"/>
      <c r="CN105" s="61"/>
      <c r="CO105" s="61"/>
      <c r="CP105" s="61"/>
      <c r="CQ105" s="61"/>
      <c r="CR105" s="61"/>
      <c r="CS105" s="61"/>
      <c r="CT105" s="61"/>
      <c r="CU105" s="61"/>
      <c r="CV105" s="61"/>
      <c r="CW105" s="61"/>
      <c r="CX105" s="61"/>
      <c r="CY105" s="61"/>
      <c r="CZ105" s="61"/>
      <c r="DA105" s="61"/>
      <c r="DB105" s="61"/>
      <c r="DC105" s="61"/>
      <c r="DD105" s="61"/>
      <c r="DE105" s="61"/>
      <c r="DF105" s="61"/>
      <c r="DG105" s="61"/>
      <c r="DH105" s="61"/>
      <c r="DI105" s="61"/>
      <c r="DJ105" s="61"/>
      <c r="DK105" s="61"/>
      <c r="DL105" s="61"/>
      <c r="DM105" s="61"/>
      <c r="DN105" s="61"/>
      <c r="DO105" s="61"/>
      <c r="DP105" s="61"/>
      <c r="DQ105" s="61"/>
      <c r="DR105" s="61"/>
      <c r="DS105" s="61"/>
      <c r="DT105" s="61"/>
      <c r="DU105" s="61"/>
      <c r="DV105" s="61"/>
      <c r="DW105" s="61"/>
      <c r="DX105" s="61"/>
      <c r="DY105" s="61"/>
      <c r="DZ105" s="61"/>
      <c r="EA105" s="61"/>
      <c r="EB105" s="61"/>
      <c r="EC105" s="61"/>
      <c r="ED105" s="61"/>
      <c r="EE105" s="61"/>
      <c r="EF105" s="61"/>
      <c r="EG105" s="61"/>
      <c r="EH105" s="61"/>
      <c r="EI105" s="61"/>
      <c r="EJ105" s="61"/>
      <c r="EK105" s="61"/>
      <c r="EL105" s="61"/>
      <c r="EM105" s="61"/>
      <c r="EN105" s="61"/>
      <c r="EO105" s="61"/>
      <c r="EP105" s="61"/>
      <c r="EQ105" s="61"/>
      <c r="ER105" s="61"/>
      <c r="ES105" s="61"/>
      <c r="ET105" s="61"/>
      <c r="EU105" s="61"/>
      <c r="EV105" s="61"/>
      <c r="EW105" s="61"/>
      <c r="EX105" s="61"/>
      <c r="EY105" s="61"/>
      <c r="EZ105" s="61"/>
      <c r="FA105" s="61"/>
      <c r="FB105" s="61"/>
      <c r="FC105" s="61"/>
      <c r="FD105" s="61"/>
      <c r="FE105" s="61"/>
      <c r="FF105" s="61"/>
      <c r="FG105" s="61"/>
      <c r="FH105" s="61"/>
      <c r="FI105" s="61"/>
      <c r="FJ105" s="61"/>
      <c r="FK105" s="61"/>
      <c r="FL105" s="61"/>
      <c r="FM105" s="61"/>
      <c r="FN105" s="61"/>
      <c r="FO105" s="61"/>
      <c r="FP105" s="61"/>
      <c r="FQ105" s="61"/>
      <c r="FR105" s="61"/>
      <c r="FS105" s="61"/>
      <c r="FT105" s="61"/>
      <c r="FU105" s="61"/>
      <c r="FV105" s="61"/>
      <c r="FW105" s="61"/>
      <c r="FX105" s="61"/>
      <c r="FY105" s="61"/>
      <c r="FZ105" s="61"/>
      <c r="GA105" s="61"/>
      <c r="GB105" s="61"/>
      <c r="GC105" s="61"/>
      <c r="GD105" s="61"/>
      <c r="GE105" s="61"/>
      <c r="GF105" s="61"/>
      <c r="GG105" s="61"/>
      <c r="GH105" s="61"/>
      <c r="GI105" s="61"/>
      <c r="GJ105" s="61"/>
    </row>
    <row r="106" customFormat="1" ht="16.8" spans="1:192">
      <c r="A106" s="61"/>
      <c r="B106" s="61"/>
      <c r="C106" s="61"/>
      <c r="D106" s="61"/>
      <c r="E106" s="61"/>
      <c r="F106" s="61"/>
      <c r="G106" s="61"/>
      <c r="H106" s="61"/>
      <c r="I106" s="61"/>
      <c r="J106" s="61"/>
      <c r="K106" s="61"/>
      <c r="L106" s="61"/>
      <c r="M106" s="61"/>
      <c r="N106" s="61"/>
      <c r="O106" s="61"/>
      <c r="P106" s="61"/>
      <c r="Q106" s="61"/>
      <c r="R106" s="61"/>
      <c r="S106" s="61"/>
      <c r="T106" s="61"/>
      <c r="U106" s="61"/>
      <c r="V106" s="61"/>
      <c r="W106" s="61"/>
      <c r="X106" s="61"/>
      <c r="Y106" s="61"/>
      <c r="Z106" s="61"/>
      <c r="AA106" s="61"/>
      <c r="AB106" s="61"/>
      <c r="AC106" s="61"/>
      <c r="AD106" s="61"/>
      <c r="AE106" s="61"/>
      <c r="AF106" s="61"/>
      <c r="AG106" s="61"/>
      <c r="AH106" s="61"/>
      <c r="AI106" s="61"/>
      <c r="AJ106" s="61"/>
      <c r="AK106" s="61"/>
      <c r="AL106" s="61"/>
      <c r="AM106" s="61"/>
      <c r="AN106" s="61"/>
      <c r="AO106" s="61"/>
      <c r="AP106" s="61"/>
      <c r="AQ106" s="61"/>
      <c r="AR106" s="61"/>
      <c r="AS106" s="61"/>
      <c r="AT106" s="61"/>
      <c r="AU106" s="61"/>
      <c r="AV106" s="61"/>
      <c r="AW106" s="61"/>
      <c r="AX106" s="61"/>
      <c r="AY106" s="61"/>
      <c r="AZ106" s="61"/>
      <c r="BA106" s="61"/>
      <c r="BB106" s="61"/>
      <c r="BC106" s="61"/>
      <c r="BD106" s="61"/>
      <c r="BE106" s="61"/>
      <c r="BF106" s="61"/>
      <c r="BG106" s="61"/>
      <c r="BH106" s="61"/>
      <c r="BI106" s="61"/>
      <c r="BJ106" s="61"/>
      <c r="BK106" s="61"/>
      <c r="BL106" s="61"/>
      <c r="BM106" s="61"/>
      <c r="BN106" s="61"/>
      <c r="BO106" s="61"/>
      <c r="BP106" s="61"/>
      <c r="BQ106" s="61"/>
      <c r="BR106" s="61"/>
      <c r="BS106" s="61"/>
      <c r="BT106" s="61"/>
      <c r="BU106" s="61"/>
      <c r="BV106" s="61"/>
      <c r="BW106" s="61"/>
      <c r="BX106" s="61"/>
      <c r="BY106" s="61"/>
      <c r="BZ106" s="61"/>
      <c r="CA106" s="61"/>
      <c r="CB106" s="61"/>
      <c r="CC106" s="61"/>
      <c r="CD106" s="61"/>
      <c r="CE106" s="61"/>
      <c r="CF106" s="61"/>
      <c r="CG106" s="61"/>
      <c r="CH106" s="61"/>
      <c r="CI106" s="61"/>
      <c r="CJ106" s="61"/>
      <c r="CK106" s="61"/>
      <c r="CL106" s="61"/>
      <c r="CM106" s="61"/>
      <c r="CN106" s="61"/>
      <c r="CO106" s="61"/>
      <c r="CP106" s="61"/>
      <c r="CQ106" s="61"/>
      <c r="CR106" s="61"/>
      <c r="CS106" s="61"/>
      <c r="CT106" s="61"/>
      <c r="CU106" s="61"/>
      <c r="CV106" s="61"/>
      <c r="CW106" s="61"/>
      <c r="CX106" s="61"/>
      <c r="CY106" s="61"/>
      <c r="CZ106" s="61"/>
      <c r="DA106" s="61"/>
      <c r="DB106" s="61"/>
      <c r="DC106" s="61"/>
      <c r="DD106" s="61"/>
      <c r="DE106" s="61"/>
      <c r="DF106" s="61"/>
      <c r="DG106" s="61"/>
      <c r="DH106" s="61"/>
      <c r="DI106" s="61"/>
      <c r="DJ106" s="61"/>
      <c r="DK106" s="61"/>
      <c r="DL106" s="61"/>
      <c r="DM106" s="61"/>
      <c r="DN106" s="61"/>
      <c r="DO106" s="61"/>
      <c r="DP106" s="61"/>
      <c r="DQ106" s="61"/>
      <c r="DR106" s="61"/>
      <c r="DS106" s="61"/>
      <c r="DT106" s="61"/>
      <c r="DU106" s="61"/>
      <c r="DV106" s="61"/>
      <c r="DW106" s="61"/>
      <c r="DX106" s="61"/>
      <c r="DY106" s="61"/>
      <c r="DZ106" s="61"/>
      <c r="EA106" s="61"/>
      <c r="EB106" s="61"/>
      <c r="EC106" s="61"/>
      <c r="ED106" s="61"/>
      <c r="EE106" s="61"/>
      <c r="EF106" s="61"/>
      <c r="EG106" s="61"/>
      <c r="EH106" s="61"/>
      <c r="EI106" s="61"/>
      <c r="EJ106" s="61"/>
      <c r="EK106" s="61"/>
      <c r="EL106" s="61"/>
      <c r="EM106" s="61"/>
      <c r="EN106" s="61"/>
      <c r="EO106" s="61"/>
      <c r="EP106" s="61"/>
      <c r="EQ106" s="61"/>
      <c r="ER106" s="61"/>
      <c r="ES106" s="61"/>
      <c r="ET106" s="61"/>
      <c r="EU106" s="61"/>
      <c r="EV106" s="61"/>
      <c r="EW106" s="61"/>
      <c r="EX106" s="61"/>
      <c r="EY106" s="61"/>
      <c r="EZ106" s="61"/>
      <c r="FA106" s="61"/>
      <c r="FB106" s="61"/>
      <c r="FC106" s="61"/>
      <c r="FD106" s="61"/>
      <c r="FE106" s="61"/>
      <c r="FF106" s="61"/>
      <c r="FG106" s="61"/>
      <c r="FH106" s="61"/>
      <c r="FI106" s="61"/>
      <c r="FJ106" s="61"/>
      <c r="FK106" s="61"/>
      <c r="FL106" s="61"/>
      <c r="FM106" s="61"/>
      <c r="FN106" s="61"/>
      <c r="FO106" s="61"/>
      <c r="FP106" s="61"/>
      <c r="FQ106" s="61"/>
      <c r="FR106" s="61"/>
      <c r="FS106" s="61"/>
      <c r="FT106" s="61"/>
      <c r="FU106" s="61"/>
      <c r="FV106" s="61"/>
      <c r="FW106" s="61"/>
      <c r="FX106" s="61"/>
      <c r="FY106" s="61"/>
      <c r="FZ106" s="61"/>
      <c r="GA106" s="61"/>
      <c r="GB106" s="61"/>
      <c r="GC106" s="61"/>
      <c r="GD106" s="61"/>
      <c r="GE106" s="61"/>
      <c r="GF106" s="61"/>
      <c r="GG106" s="61"/>
      <c r="GH106" s="61"/>
      <c r="GI106" s="61"/>
      <c r="GJ106" s="61"/>
    </row>
    <row r="107" customFormat="1" ht="16.8" spans="1:192">
      <c r="A107" s="61"/>
      <c r="B107" s="61"/>
      <c r="C107" s="61"/>
      <c r="D107" s="61"/>
      <c r="E107" s="61"/>
      <c r="F107" s="61"/>
      <c r="G107" s="61"/>
      <c r="H107" s="61"/>
      <c r="I107" s="61"/>
      <c r="J107" s="61"/>
      <c r="K107" s="61"/>
      <c r="L107" s="61"/>
      <c r="M107" s="61"/>
      <c r="N107" s="61"/>
      <c r="O107" s="61"/>
      <c r="P107" s="61"/>
      <c r="Q107" s="61"/>
      <c r="R107" s="61"/>
      <c r="S107" s="61"/>
      <c r="T107" s="61"/>
      <c r="U107" s="61"/>
      <c r="V107" s="61"/>
      <c r="W107" s="61"/>
      <c r="X107" s="61"/>
      <c r="Y107" s="61"/>
      <c r="Z107" s="61"/>
      <c r="AA107" s="61"/>
      <c r="AB107" s="61"/>
      <c r="AC107" s="61"/>
      <c r="AD107" s="61"/>
      <c r="AE107" s="61"/>
      <c r="AF107" s="61"/>
      <c r="AG107" s="61"/>
      <c r="AH107" s="61"/>
      <c r="AI107" s="61"/>
      <c r="AJ107" s="61"/>
      <c r="AK107" s="61"/>
      <c r="AL107" s="61"/>
      <c r="AM107" s="61"/>
      <c r="AN107" s="61"/>
      <c r="AO107" s="61"/>
      <c r="AP107" s="61"/>
      <c r="AQ107" s="61"/>
      <c r="AR107" s="61"/>
      <c r="AS107" s="61"/>
      <c r="AT107" s="61"/>
      <c r="AU107" s="61"/>
      <c r="AV107" s="61"/>
      <c r="AW107" s="61"/>
      <c r="AX107" s="61"/>
      <c r="AY107" s="61"/>
      <c r="AZ107" s="61"/>
      <c r="BA107" s="61"/>
      <c r="BB107" s="61"/>
      <c r="BC107" s="61"/>
      <c r="BD107" s="61"/>
      <c r="BE107" s="61"/>
      <c r="BF107" s="61"/>
      <c r="BG107" s="61"/>
      <c r="BH107" s="61"/>
      <c r="BI107" s="61"/>
      <c r="BJ107" s="61"/>
      <c r="BK107" s="61"/>
      <c r="BL107" s="61"/>
      <c r="BM107" s="61"/>
      <c r="BN107" s="61"/>
      <c r="BO107" s="61"/>
      <c r="BP107" s="61"/>
      <c r="BQ107" s="61"/>
      <c r="BR107" s="61"/>
      <c r="BS107" s="61"/>
      <c r="BT107" s="61"/>
      <c r="BU107" s="61"/>
      <c r="BV107" s="61"/>
      <c r="BW107" s="61"/>
      <c r="BX107" s="61"/>
      <c r="BY107" s="61"/>
      <c r="BZ107" s="61"/>
      <c r="CA107" s="61"/>
      <c r="CB107" s="61"/>
      <c r="CC107" s="61"/>
      <c r="CD107" s="61"/>
      <c r="CE107" s="61"/>
      <c r="CF107" s="61"/>
      <c r="CG107" s="61"/>
      <c r="CH107" s="61"/>
      <c r="CI107" s="61"/>
      <c r="CJ107" s="61"/>
      <c r="CK107" s="61"/>
      <c r="CL107" s="61"/>
      <c r="CM107" s="61"/>
      <c r="CN107" s="61"/>
      <c r="CO107" s="61"/>
      <c r="CP107" s="61"/>
      <c r="CQ107" s="61"/>
      <c r="CR107" s="61"/>
      <c r="CS107" s="61"/>
      <c r="CT107" s="61"/>
      <c r="CU107" s="61"/>
      <c r="CV107" s="61"/>
      <c r="CW107" s="61"/>
      <c r="CX107" s="61"/>
      <c r="CY107" s="61"/>
      <c r="CZ107" s="61"/>
      <c r="DA107" s="61"/>
      <c r="DB107" s="61"/>
      <c r="DC107" s="61"/>
      <c r="DD107" s="61"/>
      <c r="DE107" s="61"/>
      <c r="DF107" s="61"/>
      <c r="DG107" s="61"/>
      <c r="DH107" s="61"/>
      <c r="DI107" s="61"/>
      <c r="DJ107" s="61"/>
      <c r="DK107" s="61"/>
      <c r="DL107" s="61"/>
      <c r="DM107" s="61"/>
      <c r="DN107" s="61"/>
      <c r="DO107" s="61"/>
      <c r="DP107" s="61"/>
      <c r="DQ107" s="61"/>
      <c r="DR107" s="61"/>
      <c r="DS107" s="61"/>
      <c r="DT107" s="61"/>
      <c r="DU107" s="61"/>
      <c r="DV107" s="61"/>
      <c r="DW107" s="61"/>
      <c r="DX107" s="61"/>
      <c r="DY107" s="61"/>
      <c r="DZ107" s="61"/>
      <c r="EA107" s="61"/>
      <c r="EB107" s="61"/>
      <c r="EC107" s="61"/>
      <c r="ED107" s="61"/>
      <c r="EE107" s="61"/>
      <c r="EF107" s="61"/>
      <c r="EG107" s="61"/>
      <c r="EH107" s="61"/>
      <c r="EI107" s="61"/>
      <c r="EJ107" s="61"/>
      <c r="EK107" s="61"/>
      <c r="EL107" s="61"/>
      <c r="EM107" s="61"/>
      <c r="EN107" s="61"/>
      <c r="EO107" s="61"/>
      <c r="EP107" s="61"/>
      <c r="EQ107" s="61"/>
      <c r="ER107" s="61"/>
      <c r="ES107" s="61"/>
      <c r="ET107" s="61"/>
      <c r="EU107" s="61"/>
      <c r="EV107" s="61"/>
      <c r="EW107" s="61"/>
      <c r="EX107" s="61"/>
      <c r="EY107" s="61"/>
      <c r="EZ107" s="61"/>
      <c r="FA107" s="61"/>
      <c r="FB107" s="61"/>
      <c r="FC107" s="61"/>
      <c r="FD107" s="61"/>
      <c r="FE107" s="61"/>
      <c r="FF107" s="61"/>
      <c r="FG107" s="61"/>
      <c r="FH107" s="61"/>
      <c r="FI107" s="61"/>
      <c r="FJ107" s="61"/>
      <c r="FK107" s="61"/>
      <c r="FL107" s="61"/>
      <c r="FM107" s="61"/>
      <c r="FN107" s="61"/>
      <c r="FO107" s="61"/>
      <c r="FP107" s="61"/>
      <c r="FQ107" s="61"/>
      <c r="FR107" s="61"/>
      <c r="FS107" s="61"/>
      <c r="FT107" s="61"/>
      <c r="FU107" s="61"/>
      <c r="FV107" s="61"/>
      <c r="FW107" s="61"/>
      <c r="FX107" s="61"/>
      <c r="FY107" s="61"/>
      <c r="FZ107" s="61"/>
      <c r="GA107" s="61"/>
      <c r="GB107" s="61"/>
      <c r="GC107" s="61"/>
      <c r="GD107" s="61"/>
      <c r="GE107" s="61"/>
      <c r="GF107" s="61"/>
      <c r="GG107" s="61"/>
      <c r="GH107" s="61"/>
      <c r="GI107" s="61"/>
      <c r="GJ107" s="61"/>
    </row>
    <row r="108" customFormat="1" ht="16.8" spans="1:192">
      <c r="A108" s="61"/>
      <c r="B108" s="61"/>
      <c r="C108" s="61"/>
      <c r="D108" s="61"/>
      <c r="E108" s="61"/>
      <c r="F108" s="61"/>
      <c r="G108" s="61"/>
      <c r="H108" s="61"/>
      <c r="I108" s="61"/>
      <c r="J108" s="61"/>
      <c r="K108" s="61"/>
      <c r="L108" s="61"/>
      <c r="M108" s="61"/>
      <c r="N108" s="61"/>
      <c r="O108" s="61"/>
      <c r="P108" s="61"/>
      <c r="Q108" s="61"/>
      <c r="R108" s="61"/>
      <c r="S108" s="61"/>
      <c r="T108" s="61"/>
      <c r="U108" s="61"/>
      <c r="V108" s="61"/>
      <c r="W108" s="61"/>
      <c r="X108" s="61"/>
      <c r="Y108" s="61"/>
      <c r="Z108" s="61"/>
      <c r="AA108" s="61"/>
      <c r="AB108" s="61"/>
      <c r="AC108" s="61"/>
      <c r="AD108" s="61"/>
      <c r="AE108" s="61"/>
      <c r="AF108" s="61"/>
      <c r="AG108" s="61"/>
      <c r="AH108" s="61"/>
      <c r="AI108" s="61"/>
      <c r="AJ108" s="61"/>
      <c r="AK108" s="61"/>
      <c r="AL108" s="61"/>
      <c r="AM108" s="61"/>
      <c r="AN108" s="61"/>
      <c r="AO108" s="61"/>
      <c r="AP108" s="61"/>
      <c r="AQ108" s="61"/>
      <c r="AR108" s="61"/>
      <c r="AS108" s="61"/>
      <c r="AT108" s="61"/>
      <c r="AU108" s="61"/>
      <c r="AV108" s="61"/>
      <c r="AW108" s="61"/>
      <c r="AX108" s="61"/>
      <c r="AY108" s="61"/>
      <c r="AZ108" s="61"/>
      <c r="BA108" s="61"/>
      <c r="BB108" s="61"/>
      <c r="BC108" s="61"/>
      <c r="BD108" s="61"/>
      <c r="BE108" s="61"/>
      <c r="BF108" s="61"/>
      <c r="BG108" s="61"/>
      <c r="BH108" s="61"/>
      <c r="BI108" s="61"/>
      <c r="BJ108" s="61"/>
      <c r="BK108" s="61"/>
      <c r="BL108" s="61"/>
      <c r="BM108" s="61"/>
      <c r="BN108" s="61"/>
      <c r="BO108" s="61"/>
      <c r="BP108" s="61"/>
      <c r="BQ108" s="61"/>
      <c r="BR108" s="61"/>
      <c r="BS108" s="61"/>
      <c r="BT108" s="61"/>
      <c r="BU108" s="61"/>
      <c r="BV108" s="61"/>
      <c r="BW108" s="61"/>
      <c r="BX108" s="61"/>
      <c r="BY108" s="61"/>
      <c r="BZ108" s="61"/>
      <c r="CA108" s="61"/>
      <c r="CB108" s="61"/>
      <c r="CC108" s="61"/>
      <c r="CD108" s="61"/>
      <c r="CE108" s="61"/>
      <c r="CF108" s="61"/>
      <c r="CG108" s="61"/>
      <c r="CH108" s="61"/>
      <c r="CI108" s="61"/>
      <c r="CJ108" s="61"/>
      <c r="CK108" s="61"/>
      <c r="CL108" s="61"/>
      <c r="CM108" s="61"/>
      <c r="CN108" s="61"/>
      <c r="CO108" s="61"/>
      <c r="CP108" s="61"/>
      <c r="CQ108" s="61"/>
      <c r="CR108" s="61"/>
      <c r="CS108" s="61"/>
      <c r="CT108" s="61"/>
      <c r="CU108" s="61"/>
      <c r="CV108" s="61"/>
      <c r="CW108" s="61"/>
      <c r="CX108" s="61"/>
      <c r="CY108" s="61"/>
      <c r="CZ108" s="61"/>
      <c r="DA108" s="61"/>
      <c r="DB108" s="61"/>
      <c r="DC108" s="61"/>
      <c r="DD108" s="61"/>
      <c r="DE108" s="61"/>
      <c r="DF108" s="61"/>
      <c r="DG108" s="61"/>
      <c r="DH108" s="61"/>
      <c r="DI108" s="61"/>
      <c r="DJ108" s="61"/>
      <c r="DK108" s="61"/>
      <c r="DL108" s="61"/>
      <c r="DM108" s="61"/>
      <c r="DN108" s="61"/>
      <c r="DO108" s="61"/>
      <c r="DP108" s="61"/>
      <c r="DQ108" s="61"/>
      <c r="DR108" s="61"/>
      <c r="DS108" s="61"/>
      <c r="DT108" s="61"/>
      <c r="DU108" s="61"/>
      <c r="DV108" s="61"/>
      <c r="DW108" s="61"/>
      <c r="DX108" s="61"/>
      <c r="DY108" s="61"/>
      <c r="DZ108" s="61"/>
      <c r="EA108" s="61"/>
      <c r="EB108" s="61"/>
      <c r="EC108" s="61"/>
      <c r="ED108" s="61"/>
      <c r="EE108" s="61"/>
      <c r="EF108" s="61"/>
      <c r="EG108" s="61"/>
      <c r="EH108" s="61"/>
      <c r="EI108" s="61"/>
      <c r="EJ108" s="61"/>
      <c r="EK108" s="61"/>
      <c r="EL108" s="61"/>
      <c r="EM108" s="61"/>
      <c r="EN108" s="61"/>
      <c r="EO108" s="61"/>
      <c r="EP108" s="61"/>
      <c r="EQ108" s="61"/>
      <c r="ER108" s="61"/>
      <c r="ES108" s="61"/>
      <c r="ET108" s="61"/>
      <c r="EU108" s="61"/>
      <c r="EV108" s="61"/>
      <c r="EW108" s="61"/>
      <c r="EX108" s="61"/>
      <c r="EY108" s="61"/>
      <c r="EZ108" s="61"/>
      <c r="FA108" s="61"/>
      <c r="FB108" s="61"/>
      <c r="FC108" s="61"/>
      <c r="FD108" s="61"/>
      <c r="FE108" s="61"/>
      <c r="FF108" s="61"/>
      <c r="FG108" s="61"/>
      <c r="FH108" s="61"/>
      <c r="FI108" s="61"/>
      <c r="FJ108" s="61"/>
      <c r="FK108" s="61"/>
      <c r="FL108" s="61"/>
      <c r="FM108" s="61"/>
      <c r="FN108" s="61"/>
      <c r="FO108" s="61"/>
      <c r="FP108" s="61"/>
      <c r="FQ108" s="61"/>
      <c r="FR108" s="61"/>
      <c r="FS108" s="61"/>
      <c r="FT108" s="61"/>
      <c r="FU108" s="61"/>
      <c r="FV108" s="61"/>
      <c r="FW108" s="61"/>
      <c r="FX108" s="61"/>
      <c r="FY108" s="61"/>
      <c r="FZ108" s="61"/>
      <c r="GA108" s="61"/>
      <c r="GB108" s="61"/>
      <c r="GC108" s="61"/>
      <c r="GD108" s="61"/>
      <c r="GE108" s="61"/>
      <c r="GF108" s="61"/>
      <c r="GG108" s="61"/>
      <c r="GH108" s="61"/>
      <c r="GI108" s="61"/>
      <c r="GJ108" s="61"/>
    </row>
    <row r="109" customFormat="1" ht="16.8" spans="1:192">
      <c r="A109" s="61"/>
      <c r="B109" s="61"/>
      <c r="C109" s="61"/>
      <c r="D109" s="61"/>
      <c r="E109" s="61"/>
      <c r="F109" s="61"/>
      <c r="G109" s="61"/>
      <c r="H109" s="61"/>
      <c r="I109" s="61"/>
      <c r="J109" s="61"/>
      <c r="K109" s="61"/>
      <c r="L109" s="61"/>
      <c r="M109" s="61"/>
      <c r="N109" s="61"/>
      <c r="O109" s="61"/>
      <c r="P109" s="61"/>
      <c r="Q109" s="61"/>
      <c r="R109" s="61"/>
      <c r="S109" s="61"/>
      <c r="T109" s="61"/>
      <c r="U109" s="61"/>
      <c r="V109" s="61"/>
      <c r="W109" s="61"/>
      <c r="X109" s="61"/>
      <c r="Y109" s="61"/>
      <c r="Z109" s="61"/>
      <c r="AA109" s="61"/>
      <c r="AB109" s="61"/>
      <c r="AC109" s="61"/>
      <c r="AD109" s="61"/>
      <c r="AE109" s="61"/>
      <c r="AF109" s="61"/>
      <c r="AG109" s="61"/>
      <c r="AH109" s="61"/>
      <c r="AI109" s="61"/>
      <c r="AJ109" s="61"/>
      <c r="AK109" s="61"/>
      <c r="AL109" s="61"/>
      <c r="AM109" s="61"/>
      <c r="AN109" s="61"/>
      <c r="AO109" s="61"/>
      <c r="AP109" s="61"/>
      <c r="AQ109" s="61"/>
      <c r="AR109" s="61"/>
      <c r="AS109" s="61"/>
      <c r="AT109" s="61"/>
      <c r="AU109" s="61"/>
      <c r="AV109" s="61"/>
      <c r="AW109" s="61"/>
      <c r="AX109" s="61"/>
      <c r="AY109" s="61"/>
      <c r="AZ109" s="61"/>
      <c r="BA109" s="61"/>
      <c r="BB109" s="61"/>
      <c r="BC109" s="61"/>
      <c r="BD109" s="61"/>
      <c r="BE109" s="61"/>
      <c r="BF109" s="61"/>
      <c r="BG109" s="61"/>
      <c r="BH109" s="61"/>
      <c r="BI109" s="61"/>
      <c r="BJ109" s="61"/>
      <c r="BK109" s="61"/>
      <c r="BL109" s="61"/>
      <c r="BM109" s="61"/>
      <c r="BN109" s="61"/>
      <c r="BO109" s="61"/>
      <c r="BP109" s="61"/>
      <c r="BQ109" s="61"/>
      <c r="BR109" s="61"/>
      <c r="BS109" s="61"/>
      <c r="BT109" s="61"/>
      <c r="BU109" s="61"/>
      <c r="BV109" s="61"/>
      <c r="BW109" s="61"/>
      <c r="BX109" s="61"/>
      <c r="BY109" s="61"/>
      <c r="BZ109" s="61"/>
      <c r="CA109" s="61"/>
      <c r="CB109" s="61"/>
      <c r="CC109" s="61"/>
      <c r="CD109" s="61"/>
      <c r="CE109" s="61"/>
      <c r="CF109" s="61"/>
      <c r="CG109" s="61"/>
      <c r="CH109" s="61"/>
      <c r="CI109" s="61"/>
      <c r="CJ109" s="61"/>
      <c r="CK109" s="61"/>
      <c r="CL109" s="61"/>
      <c r="CM109" s="61"/>
      <c r="CN109" s="61"/>
      <c r="CO109" s="61"/>
      <c r="CP109" s="61"/>
      <c r="CQ109" s="61"/>
      <c r="CR109" s="61"/>
      <c r="CS109" s="61"/>
      <c r="CT109" s="61"/>
      <c r="CU109" s="61"/>
      <c r="CV109" s="61"/>
      <c r="CW109" s="61"/>
      <c r="CX109" s="61"/>
      <c r="CY109" s="61"/>
      <c r="CZ109" s="61"/>
      <c r="DA109" s="61"/>
      <c r="DB109" s="61"/>
      <c r="DC109" s="61"/>
      <c r="DD109" s="61"/>
      <c r="DE109" s="61"/>
      <c r="DF109" s="61"/>
      <c r="DG109" s="61"/>
      <c r="DH109" s="61"/>
      <c r="DI109" s="61"/>
      <c r="DJ109" s="61"/>
      <c r="DK109" s="61"/>
      <c r="DL109" s="61"/>
      <c r="DM109" s="61"/>
      <c r="DN109" s="61"/>
      <c r="DO109" s="61"/>
      <c r="DP109" s="61"/>
      <c r="DQ109" s="61"/>
      <c r="DR109" s="61"/>
      <c r="DS109" s="61"/>
      <c r="DT109" s="61"/>
      <c r="DU109" s="61"/>
      <c r="DV109" s="61"/>
      <c r="DW109" s="61"/>
      <c r="DX109" s="61"/>
      <c r="DY109" s="61"/>
      <c r="DZ109" s="61"/>
      <c r="EA109" s="61"/>
      <c r="EB109" s="61"/>
      <c r="EC109" s="61"/>
      <c r="ED109" s="61"/>
      <c r="EE109" s="61"/>
      <c r="EF109" s="61"/>
      <c r="EG109" s="61"/>
      <c r="EH109" s="61"/>
      <c r="EI109" s="61"/>
      <c r="EJ109" s="61"/>
      <c r="EK109" s="61"/>
      <c r="EL109" s="61"/>
      <c r="EM109" s="61"/>
      <c r="EN109" s="61"/>
      <c r="EO109" s="61"/>
      <c r="EP109" s="61"/>
      <c r="EQ109" s="61"/>
      <c r="ER109" s="61"/>
      <c r="ES109" s="61"/>
      <c r="ET109" s="61"/>
      <c r="EU109" s="61"/>
      <c r="EV109" s="61"/>
      <c r="EW109" s="61"/>
      <c r="EX109" s="61"/>
      <c r="EY109" s="61"/>
      <c r="EZ109" s="61"/>
      <c r="FA109" s="61"/>
      <c r="FB109" s="61"/>
      <c r="FC109" s="61"/>
      <c r="FD109" s="61"/>
      <c r="FE109" s="61"/>
      <c r="FF109" s="61"/>
      <c r="FG109" s="61"/>
      <c r="FH109" s="61"/>
      <c r="FI109" s="61"/>
      <c r="FJ109" s="61"/>
      <c r="FK109" s="61"/>
      <c r="FL109" s="61"/>
      <c r="FM109" s="61"/>
      <c r="FN109" s="61"/>
      <c r="FO109" s="61"/>
      <c r="FP109" s="61"/>
      <c r="FQ109" s="61"/>
      <c r="FR109" s="61"/>
      <c r="FS109" s="61"/>
      <c r="FT109" s="61"/>
      <c r="FU109" s="61"/>
      <c r="FV109" s="61"/>
      <c r="FW109" s="61"/>
      <c r="FX109" s="61"/>
      <c r="FY109" s="61"/>
      <c r="FZ109" s="61"/>
      <c r="GA109" s="61"/>
      <c r="GB109" s="61"/>
      <c r="GC109" s="61"/>
      <c r="GD109" s="61"/>
      <c r="GE109" s="61"/>
      <c r="GF109" s="61"/>
      <c r="GG109" s="61"/>
      <c r="GH109" s="61"/>
      <c r="GI109" s="61"/>
      <c r="GJ109" s="61"/>
    </row>
    <row r="110" customFormat="1" ht="16.8" spans="1:192">
      <c r="A110" s="61"/>
      <c r="B110" s="61"/>
      <c r="C110" s="61"/>
      <c r="D110" s="61"/>
      <c r="E110" s="61"/>
      <c r="F110" s="61"/>
      <c r="G110" s="61"/>
      <c r="H110" s="61"/>
      <c r="I110" s="61"/>
      <c r="J110" s="61"/>
      <c r="K110" s="61"/>
      <c r="L110" s="61"/>
      <c r="M110" s="61"/>
      <c r="N110" s="61"/>
      <c r="O110" s="61"/>
      <c r="P110" s="61"/>
      <c r="Q110" s="61"/>
      <c r="R110" s="61"/>
      <c r="S110" s="61"/>
      <c r="T110" s="61"/>
      <c r="U110" s="61"/>
      <c r="V110" s="61"/>
      <c r="W110" s="61"/>
      <c r="X110" s="61"/>
      <c r="Y110" s="61"/>
      <c r="Z110" s="61"/>
      <c r="AA110" s="61"/>
      <c r="AB110" s="61"/>
      <c r="AC110" s="61"/>
      <c r="AD110" s="61"/>
      <c r="AE110" s="61"/>
      <c r="AF110" s="61"/>
      <c r="AG110" s="61"/>
      <c r="AH110" s="61"/>
      <c r="AI110" s="61"/>
      <c r="AJ110" s="61"/>
      <c r="AK110" s="61"/>
      <c r="AL110" s="61"/>
      <c r="AM110" s="61"/>
      <c r="AN110" s="61"/>
      <c r="AO110" s="61"/>
      <c r="AP110" s="61"/>
      <c r="AQ110" s="61"/>
      <c r="AR110" s="61"/>
      <c r="AS110" s="61"/>
      <c r="AT110" s="61"/>
      <c r="AU110" s="61"/>
      <c r="AV110" s="61"/>
      <c r="AW110" s="61"/>
      <c r="AX110" s="61"/>
      <c r="AY110" s="61"/>
      <c r="AZ110" s="61"/>
      <c r="BA110" s="61"/>
      <c r="BB110" s="61"/>
      <c r="BC110" s="61"/>
      <c r="BD110" s="61"/>
      <c r="BE110" s="61"/>
      <c r="BF110" s="61"/>
      <c r="BG110" s="61"/>
      <c r="BH110" s="61"/>
      <c r="BI110" s="61"/>
      <c r="BJ110" s="61"/>
      <c r="BK110" s="61"/>
      <c r="BL110" s="61"/>
      <c r="BM110" s="61"/>
      <c r="BN110" s="61"/>
      <c r="BO110" s="61"/>
      <c r="BP110" s="61"/>
      <c r="BQ110" s="61"/>
      <c r="BR110" s="61"/>
      <c r="BS110" s="61"/>
      <c r="BT110" s="61"/>
      <c r="BU110" s="61"/>
      <c r="BV110" s="61"/>
      <c r="BW110" s="61"/>
      <c r="BX110" s="61"/>
      <c r="BY110" s="61"/>
      <c r="BZ110" s="61"/>
      <c r="CA110" s="61"/>
      <c r="CB110" s="61"/>
      <c r="CC110" s="61"/>
      <c r="CD110" s="61"/>
      <c r="CE110" s="61"/>
      <c r="CF110" s="61"/>
      <c r="CG110" s="61"/>
      <c r="CH110" s="61"/>
      <c r="CI110" s="61"/>
      <c r="CJ110" s="61"/>
      <c r="CK110" s="61"/>
      <c r="CL110" s="61"/>
      <c r="CM110" s="61"/>
      <c r="CN110" s="61"/>
      <c r="CO110" s="61"/>
      <c r="CP110" s="61"/>
      <c r="CQ110" s="61"/>
      <c r="CR110" s="61"/>
      <c r="CS110" s="61"/>
      <c r="CT110" s="61"/>
      <c r="CU110" s="61"/>
      <c r="CV110" s="61"/>
      <c r="CW110" s="61"/>
      <c r="CX110" s="61"/>
      <c r="CY110" s="61"/>
      <c r="CZ110" s="61"/>
      <c r="DA110" s="61"/>
      <c r="DB110" s="61"/>
      <c r="DC110" s="61"/>
      <c r="DD110" s="61"/>
      <c r="DE110" s="61"/>
      <c r="DF110" s="61"/>
      <c r="DG110" s="61"/>
      <c r="DH110" s="61"/>
      <c r="DI110" s="61"/>
      <c r="DJ110" s="61"/>
      <c r="DK110" s="61"/>
      <c r="DL110" s="61"/>
      <c r="DM110" s="61"/>
      <c r="DN110" s="61"/>
      <c r="DO110" s="61"/>
      <c r="DP110" s="61"/>
      <c r="DQ110" s="61"/>
      <c r="DR110" s="61"/>
      <c r="DS110" s="61"/>
      <c r="DT110" s="61"/>
      <c r="DU110" s="61"/>
      <c r="DV110" s="61"/>
      <c r="DW110" s="61"/>
      <c r="DX110" s="61"/>
      <c r="DY110" s="61"/>
      <c r="DZ110" s="61"/>
      <c r="EA110" s="61"/>
      <c r="EB110" s="61"/>
      <c r="EC110" s="61"/>
      <c r="ED110" s="61"/>
      <c r="EE110" s="61"/>
      <c r="EF110" s="61"/>
      <c r="EG110" s="61"/>
      <c r="EH110" s="61"/>
      <c r="EI110" s="61"/>
      <c r="EJ110" s="61"/>
      <c r="EK110" s="61"/>
      <c r="EL110" s="61"/>
      <c r="EM110" s="61"/>
      <c r="EN110" s="61"/>
      <c r="EO110" s="61"/>
      <c r="EP110" s="61"/>
      <c r="EQ110" s="61"/>
      <c r="ER110" s="61"/>
      <c r="ES110" s="61"/>
      <c r="ET110" s="61"/>
      <c r="EU110" s="61"/>
      <c r="EV110" s="61"/>
      <c r="EW110" s="61"/>
      <c r="EX110" s="61"/>
      <c r="EY110" s="61"/>
      <c r="EZ110" s="61"/>
      <c r="FA110" s="61"/>
      <c r="FB110" s="61"/>
      <c r="FC110" s="61"/>
      <c r="FD110" s="61"/>
      <c r="FE110" s="61"/>
      <c r="FF110" s="61"/>
      <c r="FG110" s="61"/>
      <c r="FH110" s="61"/>
      <c r="FI110" s="61"/>
      <c r="FJ110" s="61"/>
      <c r="FK110" s="61"/>
      <c r="FL110" s="61"/>
      <c r="FM110" s="61"/>
      <c r="FN110" s="61"/>
      <c r="FO110" s="61"/>
      <c r="FP110" s="61"/>
      <c r="FQ110" s="61"/>
      <c r="FR110" s="61"/>
      <c r="FS110" s="61"/>
      <c r="FT110" s="61"/>
      <c r="FU110" s="61"/>
      <c r="FV110" s="61"/>
      <c r="FW110" s="61"/>
      <c r="FX110" s="61"/>
      <c r="FY110" s="61"/>
      <c r="FZ110" s="61"/>
      <c r="GA110" s="61"/>
      <c r="GB110" s="61"/>
      <c r="GC110" s="61"/>
      <c r="GD110" s="61"/>
      <c r="GE110" s="61"/>
      <c r="GF110" s="61"/>
      <c r="GG110" s="61"/>
      <c r="GH110" s="61"/>
      <c r="GI110" s="61"/>
      <c r="GJ110" s="61"/>
    </row>
    <row r="111" customFormat="1" ht="16.8" spans="1:192">
      <c r="A111" s="61"/>
      <c r="B111" s="61"/>
      <c r="C111" s="61"/>
      <c r="D111" s="61"/>
      <c r="E111" s="61"/>
      <c r="F111" s="61"/>
      <c r="G111" s="61"/>
      <c r="H111" s="61"/>
      <c r="I111" s="61"/>
      <c r="J111" s="61"/>
      <c r="K111" s="61"/>
      <c r="L111" s="61"/>
      <c r="M111" s="61"/>
      <c r="N111" s="61"/>
      <c r="O111" s="61"/>
      <c r="P111" s="61"/>
      <c r="Q111" s="61"/>
      <c r="R111" s="61"/>
      <c r="S111" s="61"/>
      <c r="T111" s="61"/>
      <c r="U111" s="61"/>
      <c r="V111" s="61"/>
      <c r="W111" s="61"/>
      <c r="X111" s="61"/>
      <c r="Y111" s="61"/>
      <c r="Z111" s="61"/>
      <c r="AA111" s="61"/>
      <c r="AB111" s="61"/>
      <c r="AC111" s="61"/>
      <c r="AD111" s="61"/>
      <c r="AE111" s="61"/>
      <c r="AF111" s="61"/>
      <c r="AG111" s="61"/>
      <c r="AH111" s="61"/>
      <c r="AI111" s="61"/>
      <c r="AJ111" s="61"/>
      <c r="AK111" s="61"/>
      <c r="AL111" s="61"/>
      <c r="AM111" s="61"/>
      <c r="AN111" s="61"/>
      <c r="AO111" s="61"/>
      <c r="AP111" s="61"/>
      <c r="AQ111" s="61"/>
      <c r="AR111" s="61"/>
      <c r="AS111" s="61"/>
      <c r="AT111" s="61"/>
      <c r="AU111" s="61"/>
      <c r="AV111" s="61"/>
      <c r="AW111" s="61"/>
      <c r="AX111" s="61"/>
      <c r="AY111" s="61"/>
      <c r="AZ111" s="61"/>
      <c r="BA111" s="61"/>
      <c r="BB111" s="61"/>
      <c r="BC111" s="61"/>
      <c r="BD111" s="61"/>
      <c r="BE111" s="61"/>
      <c r="BF111" s="61"/>
      <c r="BG111" s="61"/>
      <c r="BH111" s="61"/>
      <c r="BI111" s="61"/>
      <c r="BJ111" s="61"/>
      <c r="BK111" s="61"/>
      <c r="BL111" s="61"/>
      <c r="BM111" s="61"/>
      <c r="BN111" s="61"/>
      <c r="BO111" s="61"/>
      <c r="BP111" s="61"/>
      <c r="BQ111" s="61"/>
      <c r="BR111" s="61"/>
      <c r="BS111" s="61"/>
      <c r="BT111" s="61"/>
      <c r="BU111" s="61"/>
      <c r="BV111" s="61"/>
      <c r="BW111" s="61"/>
      <c r="BX111" s="61"/>
      <c r="BY111" s="61"/>
      <c r="BZ111" s="61"/>
      <c r="CA111" s="61"/>
      <c r="CB111" s="61"/>
      <c r="CC111" s="61"/>
      <c r="CD111" s="61"/>
      <c r="CE111" s="61"/>
      <c r="CF111" s="61"/>
      <c r="CG111" s="61"/>
      <c r="CH111" s="61"/>
      <c r="CI111" s="61"/>
      <c r="CJ111" s="61"/>
      <c r="CK111" s="61"/>
      <c r="CL111" s="61"/>
      <c r="CM111" s="61"/>
      <c r="CN111" s="61"/>
      <c r="CO111" s="61"/>
      <c r="CP111" s="61"/>
      <c r="CQ111" s="61"/>
      <c r="CR111" s="61"/>
      <c r="CS111" s="61"/>
      <c r="CT111" s="61"/>
      <c r="CU111" s="61"/>
      <c r="CV111" s="61"/>
      <c r="CW111" s="61"/>
      <c r="CX111" s="61"/>
      <c r="CY111" s="61"/>
      <c r="CZ111" s="61"/>
      <c r="DA111" s="61"/>
      <c r="DB111" s="61"/>
      <c r="DC111" s="61"/>
      <c r="DD111" s="61"/>
      <c r="DE111" s="61"/>
      <c r="DF111" s="61"/>
      <c r="DG111" s="61"/>
      <c r="DH111" s="61"/>
      <c r="DI111" s="61"/>
      <c r="DJ111" s="61"/>
      <c r="DK111" s="61"/>
      <c r="DL111" s="61"/>
      <c r="DM111" s="61"/>
      <c r="DN111" s="61"/>
      <c r="DO111" s="61"/>
      <c r="DP111" s="61"/>
      <c r="DQ111" s="61"/>
      <c r="DR111" s="61"/>
      <c r="DS111" s="61"/>
      <c r="DT111" s="61"/>
      <c r="DU111" s="61"/>
      <c r="DV111" s="61"/>
      <c r="DW111" s="61"/>
      <c r="DX111" s="61"/>
      <c r="DY111" s="61"/>
      <c r="DZ111" s="61"/>
      <c r="EA111" s="61"/>
      <c r="EB111" s="61"/>
      <c r="EC111" s="61"/>
      <c r="ED111" s="61"/>
      <c r="EE111" s="61"/>
      <c r="EF111" s="61"/>
      <c r="EG111" s="61"/>
      <c r="EH111" s="61"/>
      <c r="EI111" s="61"/>
      <c r="EJ111" s="61"/>
      <c r="EK111" s="61"/>
      <c r="EL111" s="61"/>
      <c r="EM111" s="61"/>
      <c r="EN111" s="61"/>
      <c r="EO111" s="61"/>
      <c r="EP111" s="61"/>
      <c r="EQ111" s="61"/>
      <c r="ER111" s="61"/>
      <c r="ES111" s="61"/>
      <c r="ET111" s="61"/>
      <c r="EU111" s="61"/>
      <c r="EV111" s="61"/>
      <c r="EW111" s="61"/>
      <c r="EX111" s="61"/>
      <c r="EY111" s="61"/>
      <c r="EZ111" s="61"/>
      <c r="FA111" s="61"/>
      <c r="FB111" s="61"/>
      <c r="FC111" s="61"/>
      <c r="FD111" s="61"/>
      <c r="FE111" s="61"/>
      <c r="FF111" s="61"/>
      <c r="FG111" s="61"/>
      <c r="FH111" s="61"/>
      <c r="FI111" s="61"/>
      <c r="FJ111" s="61"/>
      <c r="FK111" s="61"/>
      <c r="FL111" s="61"/>
      <c r="FM111" s="61"/>
      <c r="FN111" s="61"/>
      <c r="FO111" s="61"/>
      <c r="FP111" s="61"/>
      <c r="FQ111" s="61"/>
      <c r="FR111" s="61"/>
      <c r="FS111" s="61"/>
      <c r="FT111" s="61"/>
      <c r="FU111" s="61"/>
      <c r="FV111" s="61"/>
      <c r="FW111" s="61"/>
      <c r="FX111" s="61"/>
      <c r="FY111" s="61"/>
      <c r="FZ111" s="61"/>
      <c r="GA111" s="61"/>
      <c r="GB111" s="61"/>
      <c r="GC111" s="61"/>
      <c r="GD111" s="61"/>
      <c r="GE111" s="61"/>
      <c r="GF111" s="61"/>
      <c r="GG111" s="61"/>
      <c r="GH111" s="61"/>
      <c r="GI111" s="61"/>
      <c r="GJ111" s="61"/>
    </row>
    <row r="112" customFormat="1" ht="16.8" spans="1:192">
      <c r="A112" s="61"/>
      <c r="B112" s="61"/>
      <c r="C112" s="61"/>
      <c r="D112" s="61"/>
      <c r="E112" s="61"/>
      <c r="F112" s="61"/>
      <c r="G112" s="61"/>
      <c r="H112" s="61"/>
      <c r="I112" s="61"/>
      <c r="J112" s="61"/>
      <c r="K112" s="61"/>
      <c r="L112" s="61"/>
      <c r="M112" s="61"/>
      <c r="N112" s="61"/>
      <c r="O112" s="61"/>
      <c r="P112" s="61"/>
      <c r="Q112" s="61"/>
      <c r="R112" s="61"/>
      <c r="S112" s="61"/>
      <c r="T112" s="61"/>
      <c r="U112" s="61"/>
      <c r="V112" s="61"/>
      <c r="W112" s="61"/>
      <c r="X112" s="61"/>
      <c r="Y112" s="61"/>
      <c r="Z112" s="61"/>
      <c r="AA112" s="61"/>
      <c r="AB112" s="61"/>
      <c r="AC112" s="61"/>
      <c r="AD112" s="61"/>
      <c r="AE112" s="61"/>
      <c r="AF112" s="61"/>
      <c r="AG112" s="61"/>
      <c r="AH112" s="61"/>
      <c r="AI112" s="61"/>
      <c r="AJ112" s="61"/>
      <c r="AK112" s="61"/>
      <c r="AL112" s="61"/>
      <c r="AM112" s="61"/>
      <c r="AN112" s="61"/>
      <c r="AO112" s="61"/>
      <c r="AP112" s="61"/>
      <c r="AQ112" s="61"/>
      <c r="AR112" s="61"/>
      <c r="AS112" s="61"/>
      <c r="AT112" s="61"/>
      <c r="AU112" s="61"/>
      <c r="AV112" s="61"/>
      <c r="AW112" s="61"/>
      <c r="AX112" s="61"/>
      <c r="AY112" s="61"/>
      <c r="AZ112" s="61"/>
      <c r="BA112" s="61"/>
      <c r="BB112" s="61"/>
      <c r="BC112" s="61"/>
      <c r="BD112" s="61"/>
      <c r="BE112" s="61"/>
      <c r="BF112" s="61"/>
      <c r="BG112" s="61"/>
      <c r="BH112" s="61"/>
      <c r="BI112" s="61"/>
      <c r="BJ112" s="61"/>
      <c r="BK112" s="61"/>
      <c r="BL112" s="61"/>
      <c r="BM112" s="61"/>
      <c r="BN112" s="61"/>
      <c r="BO112" s="61"/>
      <c r="BP112" s="61"/>
      <c r="BQ112" s="61"/>
      <c r="BR112" s="61"/>
      <c r="BS112" s="61"/>
      <c r="BT112" s="61"/>
      <c r="BU112" s="61"/>
      <c r="BV112" s="61"/>
      <c r="BW112" s="61"/>
      <c r="BX112" s="61"/>
      <c r="BY112" s="61"/>
      <c r="BZ112" s="61"/>
      <c r="CA112" s="61"/>
      <c r="CB112" s="61"/>
      <c r="CC112" s="61"/>
      <c r="CD112" s="61"/>
      <c r="CE112" s="61"/>
      <c r="CF112" s="61"/>
      <c r="CG112" s="61"/>
      <c r="CH112" s="61"/>
      <c r="CI112" s="61"/>
      <c r="CJ112" s="61"/>
      <c r="CK112" s="61"/>
      <c r="CL112" s="61"/>
      <c r="CM112" s="61"/>
      <c r="CN112" s="61"/>
      <c r="CO112" s="61"/>
      <c r="CP112" s="61"/>
      <c r="CQ112" s="61"/>
      <c r="CR112" s="61"/>
      <c r="CS112" s="61"/>
      <c r="CT112" s="61"/>
      <c r="CU112" s="61"/>
      <c r="CV112" s="61"/>
      <c r="CW112" s="61"/>
      <c r="CX112" s="61"/>
      <c r="CY112" s="61"/>
      <c r="CZ112" s="61"/>
      <c r="DA112" s="61"/>
      <c r="DB112" s="61"/>
      <c r="DC112" s="61"/>
      <c r="DD112" s="61"/>
      <c r="DE112" s="61"/>
      <c r="DF112" s="61"/>
      <c r="DG112" s="61"/>
      <c r="DH112" s="61"/>
      <c r="DI112" s="61"/>
      <c r="DJ112" s="61"/>
      <c r="DK112" s="61"/>
      <c r="DL112" s="61"/>
      <c r="DM112" s="61"/>
      <c r="DN112" s="61"/>
      <c r="DO112" s="61"/>
      <c r="DP112" s="61"/>
      <c r="DQ112" s="61"/>
      <c r="DR112" s="61"/>
      <c r="DS112" s="61"/>
      <c r="DT112" s="61"/>
      <c r="DU112" s="61"/>
      <c r="DV112" s="61"/>
      <c r="DW112" s="61"/>
      <c r="DX112" s="61"/>
      <c r="DY112" s="61"/>
      <c r="DZ112" s="61"/>
      <c r="EA112" s="61"/>
      <c r="EB112" s="61"/>
      <c r="EC112" s="61"/>
      <c r="ED112" s="61"/>
      <c r="EE112" s="61"/>
      <c r="EF112" s="61"/>
      <c r="EG112" s="61"/>
      <c r="EH112" s="61"/>
      <c r="EI112" s="61"/>
      <c r="EJ112" s="61"/>
      <c r="EK112" s="61"/>
      <c r="EL112" s="61"/>
      <c r="EM112" s="61"/>
      <c r="EN112" s="61"/>
      <c r="EO112" s="61"/>
      <c r="EP112" s="61"/>
      <c r="EQ112" s="61"/>
      <c r="ER112" s="61"/>
      <c r="ES112" s="61"/>
      <c r="ET112" s="61"/>
      <c r="EU112" s="61"/>
      <c r="EV112" s="61"/>
      <c r="EW112" s="61"/>
      <c r="EX112" s="61"/>
      <c r="EY112" s="61"/>
      <c r="EZ112" s="61"/>
      <c r="FA112" s="61"/>
      <c r="FB112" s="61"/>
      <c r="FC112" s="61"/>
      <c r="FD112" s="61"/>
      <c r="FE112" s="61"/>
      <c r="FF112" s="61"/>
      <c r="FG112" s="61"/>
      <c r="FH112" s="61"/>
      <c r="FI112" s="61"/>
      <c r="FJ112" s="61"/>
      <c r="FK112" s="61"/>
      <c r="FL112" s="61"/>
      <c r="FM112" s="61"/>
      <c r="FN112" s="61"/>
      <c r="FO112" s="61"/>
      <c r="FP112" s="61"/>
      <c r="FQ112" s="61"/>
      <c r="FR112" s="61"/>
      <c r="FS112" s="61"/>
      <c r="FT112" s="61"/>
      <c r="FU112" s="61"/>
      <c r="FV112" s="61"/>
      <c r="FW112" s="61"/>
      <c r="FX112" s="61"/>
      <c r="FY112" s="61"/>
      <c r="FZ112" s="61"/>
      <c r="GA112" s="61"/>
      <c r="GB112" s="61"/>
      <c r="GC112" s="61"/>
      <c r="GD112" s="61"/>
      <c r="GE112" s="61"/>
      <c r="GF112" s="61"/>
      <c r="GG112" s="61"/>
      <c r="GH112" s="61"/>
      <c r="GI112" s="61"/>
      <c r="GJ112" s="61"/>
    </row>
    <row r="113" customFormat="1" ht="16.8" spans="1:192">
      <c r="A113" s="61"/>
      <c r="B113" s="61"/>
      <c r="C113" s="61"/>
      <c r="D113" s="61"/>
      <c r="E113" s="61"/>
      <c r="F113" s="61"/>
      <c r="G113" s="61"/>
      <c r="H113" s="61"/>
      <c r="I113" s="61"/>
      <c r="J113" s="61"/>
      <c r="K113" s="61"/>
      <c r="L113" s="61"/>
      <c r="M113" s="61"/>
      <c r="N113" s="61"/>
      <c r="O113" s="61"/>
      <c r="P113" s="61"/>
      <c r="Q113" s="61"/>
      <c r="R113" s="61"/>
      <c r="S113" s="61"/>
      <c r="T113" s="61"/>
      <c r="U113" s="61"/>
      <c r="V113" s="61"/>
      <c r="W113" s="61"/>
      <c r="X113" s="61"/>
      <c r="Y113" s="61"/>
      <c r="Z113" s="61"/>
      <c r="AA113" s="61"/>
      <c r="AB113" s="61"/>
      <c r="AC113" s="61"/>
      <c r="AD113" s="61"/>
      <c r="AE113" s="61"/>
      <c r="AF113" s="61"/>
      <c r="AG113" s="61"/>
      <c r="AH113" s="61"/>
      <c r="AI113" s="61"/>
      <c r="AJ113" s="61"/>
      <c r="AK113" s="61"/>
      <c r="AL113" s="61"/>
      <c r="AM113" s="61"/>
      <c r="AN113" s="61"/>
      <c r="AO113" s="61"/>
      <c r="AP113" s="61"/>
      <c r="AQ113" s="61"/>
      <c r="AR113" s="61"/>
      <c r="AS113" s="61"/>
      <c r="AT113" s="61"/>
      <c r="AU113" s="61"/>
      <c r="AV113" s="61"/>
      <c r="AW113" s="61"/>
      <c r="AX113" s="61"/>
      <c r="AY113" s="61"/>
      <c r="AZ113" s="61"/>
      <c r="BA113" s="61"/>
      <c r="BB113" s="61"/>
      <c r="BC113" s="61"/>
      <c r="BD113" s="61"/>
      <c r="BE113" s="61"/>
      <c r="BF113" s="61"/>
      <c r="BG113" s="61"/>
      <c r="BH113" s="61"/>
      <c r="BI113" s="61"/>
      <c r="BJ113" s="61"/>
      <c r="BK113" s="61"/>
      <c r="BL113" s="61"/>
      <c r="BM113" s="61"/>
      <c r="BN113" s="61"/>
      <c r="BO113" s="61"/>
      <c r="BP113" s="61"/>
      <c r="BQ113" s="61"/>
      <c r="BR113" s="61"/>
      <c r="BS113" s="61"/>
      <c r="BT113" s="61"/>
      <c r="BU113" s="61"/>
      <c r="BV113" s="61"/>
      <c r="BW113" s="61"/>
      <c r="BX113" s="61"/>
      <c r="BY113" s="61"/>
      <c r="BZ113" s="61"/>
      <c r="CA113" s="61"/>
      <c r="CB113" s="61"/>
      <c r="CC113" s="61"/>
      <c r="CD113" s="61"/>
      <c r="CE113" s="61"/>
      <c r="CF113" s="61"/>
      <c r="CG113" s="61"/>
      <c r="CH113" s="61"/>
      <c r="CI113" s="61"/>
      <c r="CJ113" s="61"/>
      <c r="CK113" s="61"/>
      <c r="CL113" s="61"/>
      <c r="CM113" s="61"/>
      <c r="CN113" s="61"/>
      <c r="CO113" s="61"/>
      <c r="CP113" s="61"/>
      <c r="CQ113" s="61"/>
      <c r="CR113" s="61"/>
      <c r="CS113" s="61"/>
      <c r="CT113" s="61"/>
      <c r="CU113" s="61"/>
      <c r="CV113" s="61"/>
      <c r="CW113" s="61"/>
      <c r="CX113" s="61"/>
      <c r="CY113" s="61"/>
      <c r="CZ113" s="61"/>
      <c r="DA113" s="61"/>
      <c r="DB113" s="61"/>
      <c r="DC113" s="61"/>
      <c r="DD113" s="61"/>
      <c r="DE113" s="61"/>
      <c r="DF113" s="61"/>
      <c r="DG113" s="61"/>
      <c r="DH113" s="61"/>
      <c r="DI113" s="61"/>
      <c r="DJ113" s="61"/>
      <c r="DK113" s="61"/>
      <c r="DL113" s="61"/>
      <c r="DM113" s="61"/>
      <c r="DN113" s="61"/>
      <c r="DO113" s="61"/>
      <c r="DP113" s="61"/>
      <c r="DQ113" s="61"/>
      <c r="DR113" s="61"/>
      <c r="DS113" s="61"/>
      <c r="DT113" s="61"/>
      <c r="DU113" s="61"/>
      <c r="DV113" s="61"/>
      <c r="DW113" s="61"/>
      <c r="DX113" s="61"/>
      <c r="DY113" s="61"/>
      <c r="DZ113" s="61"/>
      <c r="EA113" s="61"/>
      <c r="EB113" s="61"/>
      <c r="EC113" s="61"/>
      <c r="ED113" s="61"/>
      <c r="EE113" s="61"/>
      <c r="EF113" s="61"/>
      <c r="EG113" s="61"/>
      <c r="EH113" s="61"/>
      <c r="EI113" s="61"/>
      <c r="EJ113" s="61"/>
      <c r="EK113" s="61"/>
      <c r="EL113" s="61"/>
      <c r="EM113" s="61"/>
      <c r="EN113" s="61"/>
      <c r="EO113" s="61"/>
      <c r="EP113" s="61"/>
      <c r="EQ113" s="61"/>
      <c r="ER113" s="61"/>
      <c r="ES113" s="61"/>
      <c r="ET113" s="61"/>
      <c r="EU113" s="61"/>
      <c r="EV113" s="61"/>
      <c r="EW113" s="61"/>
      <c r="EX113" s="61"/>
      <c r="EY113" s="61"/>
      <c r="EZ113" s="61"/>
      <c r="FA113" s="61"/>
      <c r="FB113" s="61"/>
      <c r="FC113" s="61"/>
      <c r="FD113" s="61"/>
      <c r="FE113" s="61"/>
      <c r="FF113" s="61"/>
      <c r="FG113" s="61"/>
      <c r="FH113" s="61"/>
      <c r="FI113" s="61"/>
      <c r="FJ113" s="61"/>
      <c r="FK113" s="61"/>
      <c r="FL113" s="61"/>
      <c r="FM113" s="61"/>
      <c r="FN113" s="61"/>
      <c r="FO113" s="61"/>
      <c r="FP113" s="61"/>
      <c r="FQ113" s="61"/>
      <c r="FR113" s="61"/>
      <c r="FS113" s="61"/>
      <c r="FT113" s="61"/>
      <c r="FU113" s="61"/>
      <c r="FV113" s="61"/>
      <c r="FW113" s="61"/>
      <c r="FX113" s="61"/>
      <c r="FY113" s="61"/>
      <c r="FZ113" s="61"/>
      <c r="GA113" s="61"/>
      <c r="GB113" s="61"/>
      <c r="GC113" s="61"/>
      <c r="GD113" s="61"/>
      <c r="GE113" s="61"/>
      <c r="GF113" s="61"/>
      <c r="GG113" s="61"/>
      <c r="GH113" s="61"/>
      <c r="GI113" s="61"/>
      <c r="GJ113" s="61"/>
    </row>
    <row r="114" customFormat="1" ht="16.8" spans="1:192">
      <c r="A114" s="61"/>
      <c r="B114" s="61"/>
      <c r="C114" s="61"/>
      <c r="D114" s="61"/>
      <c r="E114" s="61"/>
      <c r="F114" s="61"/>
      <c r="G114" s="61"/>
      <c r="H114" s="61"/>
      <c r="I114" s="61"/>
      <c r="J114" s="61"/>
      <c r="K114" s="61"/>
      <c r="L114" s="61"/>
      <c r="M114" s="61"/>
      <c r="N114" s="61"/>
      <c r="O114" s="61"/>
      <c r="P114" s="61"/>
      <c r="Q114" s="61"/>
      <c r="R114" s="61"/>
      <c r="S114" s="61"/>
      <c r="T114" s="61"/>
      <c r="U114" s="61"/>
      <c r="V114" s="61"/>
      <c r="W114" s="61"/>
      <c r="X114" s="61"/>
      <c r="Y114" s="61"/>
      <c r="Z114" s="61"/>
      <c r="AA114" s="61"/>
      <c r="AB114" s="61"/>
      <c r="AC114" s="61"/>
      <c r="AD114" s="61"/>
      <c r="AE114" s="61"/>
      <c r="AF114" s="61"/>
      <c r="AG114" s="61"/>
      <c r="AH114" s="61"/>
      <c r="AI114" s="61"/>
      <c r="AJ114" s="61"/>
      <c r="AK114" s="61"/>
      <c r="AL114" s="61"/>
      <c r="AM114" s="61"/>
      <c r="AN114" s="61"/>
      <c r="AO114" s="61"/>
      <c r="AP114" s="61"/>
      <c r="AQ114" s="61"/>
      <c r="AR114" s="61"/>
      <c r="AS114" s="61"/>
      <c r="AT114" s="61"/>
      <c r="AU114" s="61"/>
      <c r="AV114" s="61"/>
      <c r="AW114" s="61"/>
      <c r="AX114" s="61"/>
      <c r="AY114" s="61"/>
      <c r="AZ114" s="61"/>
      <c r="BA114" s="61"/>
      <c r="BB114" s="61"/>
      <c r="BC114" s="61"/>
      <c r="BD114" s="61"/>
      <c r="BE114" s="61"/>
      <c r="BF114" s="61"/>
      <c r="BG114" s="61"/>
      <c r="BH114" s="61"/>
      <c r="BI114" s="61"/>
      <c r="BJ114" s="61"/>
      <c r="BK114" s="61"/>
      <c r="BL114" s="61"/>
      <c r="BM114" s="61"/>
      <c r="BN114" s="61"/>
      <c r="BO114" s="61"/>
      <c r="BP114" s="61"/>
      <c r="BQ114" s="61"/>
      <c r="BR114" s="61"/>
      <c r="BS114" s="61"/>
      <c r="BT114" s="61"/>
      <c r="BU114" s="61"/>
      <c r="BV114" s="61"/>
      <c r="BW114" s="61"/>
      <c r="BX114" s="61"/>
      <c r="BY114" s="61"/>
      <c r="BZ114" s="61"/>
      <c r="CA114" s="61"/>
      <c r="CB114" s="61"/>
      <c r="CC114" s="61"/>
      <c r="CD114" s="61"/>
      <c r="CE114" s="61"/>
      <c r="CF114" s="61"/>
      <c r="CG114" s="61"/>
      <c r="CH114" s="61"/>
      <c r="CI114" s="61"/>
      <c r="CJ114" s="61"/>
      <c r="CK114" s="61"/>
      <c r="CL114" s="61"/>
      <c r="CM114" s="61"/>
      <c r="CN114" s="61"/>
      <c r="CO114" s="61"/>
      <c r="CP114" s="61"/>
      <c r="CQ114" s="61"/>
      <c r="CR114" s="61"/>
      <c r="CS114" s="61"/>
      <c r="CT114" s="61"/>
      <c r="CU114" s="61"/>
      <c r="CV114" s="61"/>
      <c r="CW114" s="61"/>
      <c r="CX114" s="61"/>
      <c r="CY114" s="61"/>
      <c r="CZ114" s="61"/>
      <c r="DA114" s="61"/>
      <c r="DB114" s="61"/>
      <c r="DC114" s="61"/>
      <c r="DD114" s="61"/>
      <c r="DE114" s="61"/>
      <c r="DF114" s="61"/>
      <c r="DG114" s="61"/>
      <c r="DH114" s="61"/>
      <c r="DI114" s="61"/>
      <c r="DJ114" s="61"/>
      <c r="DK114" s="61"/>
      <c r="DL114" s="61"/>
      <c r="DM114" s="61"/>
      <c r="DN114" s="61"/>
      <c r="DO114" s="61"/>
      <c r="DP114" s="61"/>
      <c r="DQ114" s="61"/>
      <c r="DR114" s="61"/>
      <c r="DS114" s="61"/>
      <c r="DT114" s="61"/>
      <c r="DU114" s="61"/>
      <c r="DV114" s="61"/>
      <c r="DW114" s="61"/>
      <c r="DX114" s="61"/>
      <c r="DY114" s="61"/>
      <c r="DZ114" s="61"/>
      <c r="EA114" s="61"/>
      <c r="EB114" s="61"/>
      <c r="EC114" s="61"/>
      <c r="ED114" s="61"/>
      <c r="EE114" s="61"/>
      <c r="EF114" s="61"/>
      <c r="EG114" s="61"/>
      <c r="EH114" s="61"/>
      <c r="EI114" s="61"/>
      <c r="EJ114" s="61"/>
      <c r="EK114" s="61"/>
      <c r="EL114" s="61"/>
      <c r="EM114" s="61"/>
      <c r="EN114" s="61"/>
      <c r="EO114" s="61"/>
      <c r="EP114" s="61"/>
      <c r="EQ114" s="61"/>
      <c r="ER114" s="61"/>
      <c r="ES114" s="61"/>
      <c r="ET114" s="61"/>
      <c r="EU114" s="61"/>
      <c r="EV114" s="61"/>
      <c r="EW114" s="61"/>
      <c r="EX114" s="61"/>
      <c r="EY114" s="61"/>
      <c r="EZ114" s="61"/>
      <c r="FA114" s="61"/>
      <c r="FB114" s="61"/>
      <c r="FC114" s="61"/>
      <c r="FD114" s="61"/>
      <c r="FE114" s="61"/>
      <c r="FF114" s="61"/>
      <c r="FG114" s="61"/>
      <c r="FH114" s="61"/>
      <c r="FI114" s="61"/>
      <c r="FJ114" s="61"/>
      <c r="FK114" s="61"/>
      <c r="FL114" s="61"/>
      <c r="FM114" s="61"/>
      <c r="FN114" s="61"/>
      <c r="FO114" s="61"/>
      <c r="FP114" s="61"/>
      <c r="FQ114" s="61"/>
      <c r="FR114" s="61"/>
      <c r="FS114" s="61"/>
      <c r="FT114" s="61"/>
      <c r="FU114" s="61"/>
      <c r="FV114" s="61"/>
      <c r="FW114" s="61"/>
      <c r="FX114" s="61"/>
      <c r="FY114" s="61"/>
      <c r="FZ114" s="61"/>
      <c r="GA114" s="61"/>
      <c r="GB114" s="61"/>
      <c r="GC114" s="61"/>
      <c r="GD114" s="61"/>
      <c r="GE114" s="61"/>
      <c r="GF114" s="61"/>
      <c r="GG114" s="61"/>
      <c r="GH114" s="61"/>
      <c r="GI114" s="61"/>
      <c r="GJ114" s="61"/>
    </row>
    <row r="115" customFormat="1" ht="16.8" spans="1:192">
      <c r="A115" s="61"/>
      <c r="B115" s="61"/>
      <c r="C115" s="61"/>
      <c r="D115" s="61"/>
      <c r="E115" s="61"/>
      <c r="F115" s="61"/>
      <c r="G115" s="61"/>
      <c r="H115" s="61"/>
      <c r="I115" s="61"/>
      <c r="J115" s="61"/>
      <c r="K115" s="61"/>
      <c r="L115" s="61"/>
      <c r="M115" s="61"/>
      <c r="N115" s="61"/>
      <c r="O115" s="61"/>
      <c r="P115" s="61"/>
      <c r="Q115" s="61"/>
      <c r="R115" s="61"/>
      <c r="S115" s="61"/>
      <c r="T115" s="61"/>
      <c r="U115" s="61"/>
      <c r="V115" s="61"/>
      <c r="W115" s="61"/>
      <c r="X115" s="61"/>
      <c r="Y115" s="61"/>
      <c r="Z115" s="61"/>
      <c r="AA115" s="61"/>
      <c r="AB115" s="61"/>
      <c r="AC115" s="61"/>
      <c r="AD115" s="61"/>
      <c r="AE115" s="61"/>
      <c r="AF115" s="61"/>
      <c r="AG115" s="61"/>
      <c r="AH115" s="61"/>
      <c r="AI115" s="61"/>
      <c r="AJ115" s="61"/>
      <c r="AK115" s="61"/>
      <c r="AL115" s="61"/>
      <c r="AM115" s="61"/>
      <c r="AN115" s="61"/>
      <c r="AO115" s="61"/>
      <c r="AP115" s="61"/>
      <c r="AQ115" s="61"/>
      <c r="AR115" s="61"/>
      <c r="AS115" s="61"/>
      <c r="AT115" s="61"/>
      <c r="AU115" s="61"/>
      <c r="AV115" s="61"/>
      <c r="AW115" s="61"/>
      <c r="AX115" s="61"/>
      <c r="AY115" s="61"/>
      <c r="AZ115" s="61"/>
      <c r="BA115" s="61"/>
      <c r="BB115" s="61"/>
      <c r="BC115" s="61"/>
      <c r="BD115" s="61"/>
      <c r="BE115" s="61"/>
      <c r="BF115" s="61"/>
      <c r="BG115" s="61"/>
      <c r="BH115" s="61"/>
      <c r="BI115" s="61"/>
      <c r="BJ115" s="61"/>
      <c r="BK115" s="61"/>
      <c r="BL115" s="61"/>
      <c r="BM115" s="61"/>
      <c r="BN115" s="61"/>
      <c r="BO115" s="61"/>
      <c r="BP115" s="61"/>
      <c r="BQ115" s="61"/>
      <c r="BR115" s="61"/>
      <c r="BS115" s="61"/>
      <c r="BT115" s="61"/>
      <c r="BU115" s="61"/>
      <c r="BV115" s="61"/>
      <c r="BW115" s="61"/>
      <c r="BX115" s="61"/>
      <c r="BY115" s="61"/>
      <c r="BZ115" s="61"/>
      <c r="CA115" s="61"/>
      <c r="CB115" s="61"/>
      <c r="CC115" s="61"/>
      <c r="CD115" s="61"/>
      <c r="CE115" s="61"/>
      <c r="CF115" s="61"/>
      <c r="CG115" s="61"/>
      <c r="CH115" s="61"/>
      <c r="CI115" s="61"/>
      <c r="CJ115" s="61"/>
      <c r="CK115" s="61"/>
      <c r="CL115" s="61"/>
      <c r="CM115" s="61"/>
      <c r="CN115" s="61"/>
      <c r="CO115" s="61"/>
      <c r="CP115" s="61"/>
      <c r="CQ115" s="61"/>
      <c r="CR115" s="61"/>
      <c r="CS115" s="61"/>
      <c r="CT115" s="61"/>
      <c r="CU115" s="61"/>
      <c r="CV115" s="61"/>
      <c r="CW115" s="61"/>
      <c r="CX115" s="61"/>
      <c r="CY115" s="61"/>
      <c r="CZ115" s="61"/>
      <c r="DA115" s="61"/>
      <c r="DB115" s="61"/>
      <c r="DC115" s="61"/>
      <c r="DD115" s="61"/>
      <c r="DE115" s="61"/>
      <c r="DF115" s="61"/>
      <c r="DG115" s="61"/>
      <c r="DH115" s="61"/>
      <c r="DI115" s="61"/>
      <c r="DJ115" s="61"/>
      <c r="DK115" s="61"/>
      <c r="DL115" s="61"/>
      <c r="DM115" s="61"/>
      <c r="DN115" s="61"/>
      <c r="DO115" s="61"/>
      <c r="DP115" s="61"/>
      <c r="DQ115" s="61"/>
      <c r="DR115" s="61"/>
      <c r="DS115" s="61"/>
      <c r="DT115" s="61"/>
      <c r="DU115" s="61"/>
      <c r="DV115" s="61"/>
      <c r="DW115" s="61"/>
      <c r="DX115" s="61"/>
      <c r="DY115" s="61"/>
      <c r="DZ115" s="61"/>
      <c r="EA115" s="61"/>
      <c r="EB115" s="61"/>
      <c r="EC115" s="61"/>
      <c r="ED115" s="61"/>
      <c r="EE115" s="61"/>
      <c r="EF115" s="61"/>
      <c r="EG115" s="61"/>
      <c r="EH115" s="61"/>
      <c r="EI115" s="61"/>
      <c r="EJ115" s="61"/>
      <c r="EK115" s="61"/>
      <c r="EL115" s="61"/>
      <c r="EM115" s="61"/>
      <c r="EN115" s="61"/>
      <c r="EO115" s="61"/>
      <c r="EP115" s="61"/>
      <c r="EQ115" s="61"/>
      <c r="ER115" s="61"/>
      <c r="ES115" s="61"/>
      <c r="ET115" s="61"/>
      <c r="EU115" s="61"/>
      <c r="EV115" s="61"/>
      <c r="EW115" s="61"/>
      <c r="EX115" s="61"/>
      <c r="EY115" s="61"/>
      <c r="EZ115" s="61"/>
      <c r="FA115" s="61"/>
      <c r="FB115" s="61"/>
      <c r="FC115" s="61"/>
      <c r="FD115" s="61"/>
      <c r="FE115" s="61"/>
      <c r="FF115" s="61"/>
      <c r="FG115" s="61"/>
      <c r="FH115" s="61"/>
      <c r="FI115" s="61"/>
      <c r="FJ115" s="61"/>
      <c r="FK115" s="61"/>
      <c r="FL115" s="61"/>
      <c r="FM115" s="61"/>
      <c r="FN115" s="61"/>
      <c r="FO115" s="61"/>
      <c r="FP115" s="61"/>
      <c r="FQ115" s="61"/>
      <c r="FR115" s="61"/>
      <c r="FS115" s="61"/>
      <c r="FT115" s="61"/>
      <c r="FU115" s="61"/>
      <c r="FV115" s="61"/>
      <c r="FW115" s="61"/>
      <c r="FX115" s="61"/>
      <c r="FY115" s="61"/>
      <c r="FZ115" s="61"/>
      <c r="GA115" s="61"/>
      <c r="GB115" s="61"/>
      <c r="GC115" s="61"/>
      <c r="GD115" s="61"/>
      <c r="GE115" s="61"/>
      <c r="GF115" s="61"/>
      <c r="GG115" s="61"/>
      <c r="GH115" s="61"/>
      <c r="GI115" s="61"/>
      <c r="GJ115" s="61"/>
    </row>
    <row r="116" customFormat="1" ht="16.8" spans="1:192">
      <c r="A116" s="61"/>
      <c r="B116" s="61"/>
      <c r="C116" s="61"/>
      <c r="D116" s="61"/>
      <c r="E116" s="61"/>
      <c r="F116" s="61"/>
      <c r="G116" s="61"/>
      <c r="H116" s="61"/>
      <c r="I116" s="61"/>
      <c r="J116" s="61"/>
      <c r="K116" s="61"/>
      <c r="L116" s="61"/>
      <c r="M116" s="61"/>
      <c r="N116" s="61"/>
      <c r="O116" s="61"/>
      <c r="P116" s="61"/>
      <c r="Q116" s="61"/>
      <c r="R116" s="61"/>
      <c r="S116" s="61"/>
      <c r="T116" s="61"/>
      <c r="U116" s="61"/>
      <c r="V116" s="61"/>
      <c r="W116" s="61"/>
      <c r="X116" s="61"/>
      <c r="Y116" s="61"/>
      <c r="Z116" s="61"/>
      <c r="AA116" s="61"/>
      <c r="AB116" s="61"/>
      <c r="AC116" s="61"/>
      <c r="AD116" s="61"/>
      <c r="AE116" s="61"/>
      <c r="AF116" s="61"/>
      <c r="AG116" s="61"/>
      <c r="AH116" s="61"/>
      <c r="AI116" s="61"/>
      <c r="AJ116" s="61"/>
      <c r="AK116" s="61"/>
      <c r="AL116" s="61"/>
      <c r="AM116" s="61"/>
      <c r="AN116" s="61"/>
      <c r="AO116" s="61"/>
      <c r="AP116" s="61"/>
      <c r="AQ116" s="61"/>
      <c r="AR116" s="61"/>
      <c r="AS116" s="61"/>
      <c r="AT116" s="61"/>
      <c r="AU116" s="61"/>
      <c r="AV116" s="61"/>
      <c r="AW116" s="61"/>
      <c r="AX116" s="61"/>
      <c r="AY116" s="61"/>
      <c r="AZ116" s="61"/>
      <c r="BA116" s="61"/>
      <c r="BB116" s="61"/>
      <c r="BC116" s="61"/>
      <c r="BD116" s="61"/>
      <c r="BE116" s="61"/>
      <c r="BF116" s="61"/>
      <c r="BG116" s="61"/>
      <c r="BH116" s="61"/>
      <c r="BI116" s="61"/>
      <c r="BJ116" s="61"/>
      <c r="BK116" s="61"/>
      <c r="BL116" s="61"/>
      <c r="BM116" s="61"/>
      <c r="BN116" s="61"/>
      <c r="BO116" s="61"/>
      <c r="BP116" s="61"/>
      <c r="BQ116" s="61"/>
      <c r="BR116" s="61"/>
      <c r="BS116" s="61"/>
      <c r="BT116" s="61"/>
      <c r="BU116" s="61"/>
      <c r="BV116" s="61"/>
      <c r="BW116" s="61"/>
      <c r="BX116" s="61"/>
      <c r="BY116" s="61"/>
      <c r="BZ116" s="61"/>
      <c r="CA116" s="61"/>
      <c r="CB116" s="61"/>
      <c r="CC116" s="61"/>
      <c r="CD116" s="61"/>
      <c r="CE116" s="61"/>
      <c r="CF116" s="61"/>
      <c r="CG116" s="61"/>
      <c r="CH116" s="61"/>
      <c r="CI116" s="61"/>
      <c r="CJ116" s="61"/>
      <c r="CK116" s="61"/>
      <c r="CL116" s="61"/>
      <c r="CM116" s="61"/>
      <c r="CN116" s="61"/>
      <c r="CO116" s="61"/>
      <c r="CP116" s="61"/>
      <c r="CQ116" s="61"/>
      <c r="CR116" s="61"/>
      <c r="CS116" s="61"/>
      <c r="CT116" s="61"/>
      <c r="CU116" s="61"/>
      <c r="CV116" s="61"/>
      <c r="CW116" s="61"/>
      <c r="CX116" s="61"/>
      <c r="CY116" s="61"/>
      <c r="CZ116" s="61"/>
      <c r="DA116" s="61"/>
      <c r="DB116" s="61"/>
      <c r="DC116" s="61"/>
      <c r="DD116" s="61"/>
      <c r="DE116" s="61"/>
      <c r="DF116" s="61"/>
      <c r="DG116" s="61"/>
      <c r="DH116" s="61"/>
      <c r="DI116" s="61"/>
      <c r="DJ116" s="61"/>
      <c r="DK116" s="61"/>
      <c r="DL116" s="61"/>
      <c r="DM116" s="61"/>
      <c r="DN116" s="61"/>
      <c r="DO116" s="61"/>
      <c r="DP116" s="61"/>
      <c r="DQ116" s="61"/>
      <c r="DR116" s="61"/>
      <c r="DS116" s="61"/>
      <c r="DT116" s="61"/>
      <c r="DU116" s="61"/>
      <c r="DV116" s="61"/>
      <c r="DW116" s="61"/>
      <c r="DX116" s="61"/>
      <c r="DY116" s="61"/>
      <c r="DZ116" s="61"/>
      <c r="EA116" s="61"/>
      <c r="EB116" s="61"/>
      <c r="EC116" s="61"/>
      <c r="ED116" s="61"/>
      <c r="EE116" s="61"/>
      <c r="EF116" s="61"/>
      <c r="EG116" s="61"/>
      <c r="EH116" s="61"/>
      <c r="EI116" s="61"/>
      <c r="EJ116" s="61"/>
      <c r="EK116" s="61"/>
      <c r="EL116" s="61"/>
      <c r="EM116" s="61"/>
      <c r="EN116" s="61"/>
      <c r="EO116" s="61"/>
      <c r="EP116" s="61"/>
      <c r="EQ116" s="61"/>
      <c r="ER116" s="61"/>
      <c r="ES116" s="61"/>
      <c r="ET116" s="61"/>
      <c r="EU116" s="61"/>
      <c r="EV116" s="61"/>
      <c r="EW116" s="61"/>
      <c r="EX116" s="61"/>
      <c r="EY116" s="61"/>
      <c r="EZ116" s="61"/>
      <c r="FA116" s="61"/>
      <c r="FB116" s="61"/>
      <c r="FC116" s="61"/>
      <c r="FD116" s="61"/>
      <c r="FE116" s="61"/>
      <c r="FF116" s="61"/>
      <c r="FG116" s="61"/>
      <c r="FH116" s="61"/>
      <c r="FI116" s="61"/>
      <c r="FJ116" s="61"/>
      <c r="FK116" s="61"/>
      <c r="FL116" s="61"/>
      <c r="FM116" s="61"/>
      <c r="FN116" s="61"/>
      <c r="FO116" s="61"/>
      <c r="FP116" s="61"/>
      <c r="FQ116" s="61"/>
      <c r="FR116" s="61"/>
      <c r="FS116" s="61"/>
      <c r="FT116" s="61"/>
      <c r="FU116" s="61"/>
      <c r="FV116" s="61"/>
      <c r="FW116" s="61"/>
      <c r="FX116" s="61"/>
      <c r="FY116" s="61"/>
      <c r="FZ116" s="61"/>
      <c r="GA116" s="61"/>
      <c r="GB116" s="61"/>
      <c r="GC116" s="61"/>
      <c r="GD116" s="61"/>
      <c r="GE116" s="61"/>
      <c r="GF116" s="61"/>
      <c r="GG116" s="61"/>
      <c r="GH116" s="61"/>
      <c r="GI116" s="61"/>
      <c r="GJ116" s="61"/>
    </row>
    <row r="117" customFormat="1" ht="16.8" spans="1:192">
      <c r="A117" s="61"/>
      <c r="B117" s="61"/>
      <c r="C117" s="61"/>
      <c r="D117" s="61"/>
      <c r="E117" s="61"/>
      <c r="F117" s="61"/>
      <c r="G117" s="61"/>
      <c r="H117" s="61"/>
      <c r="I117" s="61"/>
      <c r="J117" s="61"/>
      <c r="K117" s="61"/>
      <c r="L117" s="61"/>
      <c r="M117" s="61"/>
      <c r="N117" s="61"/>
      <c r="O117" s="61"/>
      <c r="P117" s="61"/>
      <c r="Q117" s="61"/>
      <c r="R117" s="61"/>
      <c r="S117" s="61"/>
      <c r="T117" s="61"/>
      <c r="U117" s="61"/>
      <c r="V117" s="61"/>
      <c r="W117" s="61"/>
      <c r="X117" s="61"/>
      <c r="Y117" s="61"/>
      <c r="Z117" s="61"/>
      <c r="AA117" s="61"/>
      <c r="AB117" s="61"/>
      <c r="AC117" s="61"/>
      <c r="AD117" s="61"/>
      <c r="AE117" s="61"/>
      <c r="AF117" s="61"/>
      <c r="AG117" s="61"/>
      <c r="AH117" s="61"/>
      <c r="AI117" s="61"/>
      <c r="AJ117" s="61"/>
      <c r="AK117" s="61"/>
      <c r="AL117" s="61"/>
      <c r="AM117" s="61"/>
      <c r="AN117" s="61"/>
      <c r="AO117" s="61"/>
      <c r="AP117" s="61"/>
      <c r="AQ117" s="61"/>
      <c r="AR117" s="61"/>
      <c r="AS117" s="61"/>
      <c r="AT117" s="61"/>
      <c r="AU117" s="61"/>
      <c r="AV117" s="61"/>
      <c r="AW117" s="61"/>
      <c r="AX117" s="61"/>
      <c r="AY117" s="61"/>
      <c r="AZ117" s="61"/>
      <c r="BA117" s="61"/>
      <c r="BB117" s="61"/>
      <c r="BC117" s="61"/>
      <c r="BD117" s="61"/>
      <c r="BE117" s="61"/>
      <c r="BF117" s="61"/>
      <c r="BG117" s="61"/>
      <c r="BH117" s="61"/>
      <c r="BI117" s="61"/>
      <c r="BJ117" s="61"/>
      <c r="BK117" s="61"/>
      <c r="BL117" s="61"/>
      <c r="BM117" s="61"/>
      <c r="BN117" s="61"/>
      <c r="BO117" s="61"/>
      <c r="BP117" s="61"/>
      <c r="BQ117" s="61"/>
      <c r="BR117" s="61"/>
      <c r="BS117" s="61"/>
      <c r="BT117" s="61"/>
      <c r="BU117" s="61"/>
      <c r="BV117" s="61"/>
      <c r="BW117" s="61"/>
      <c r="BX117" s="61"/>
      <c r="BY117" s="61"/>
      <c r="BZ117" s="61"/>
      <c r="CA117" s="61"/>
      <c r="CB117" s="61"/>
      <c r="CC117" s="61"/>
      <c r="CD117" s="61"/>
      <c r="CE117" s="61"/>
      <c r="CF117" s="61"/>
      <c r="CG117" s="61"/>
      <c r="CH117" s="61"/>
      <c r="CI117" s="61"/>
      <c r="CJ117" s="61"/>
      <c r="CK117" s="61"/>
      <c r="CL117" s="61"/>
      <c r="CM117" s="61"/>
      <c r="CN117" s="61"/>
      <c r="CO117" s="61"/>
      <c r="CP117" s="61"/>
      <c r="CQ117" s="61"/>
      <c r="CR117" s="61"/>
      <c r="CS117" s="61"/>
      <c r="CT117" s="61"/>
      <c r="CU117" s="61"/>
      <c r="CV117" s="61"/>
      <c r="CW117" s="61"/>
      <c r="CX117" s="61"/>
      <c r="CY117" s="61"/>
      <c r="CZ117" s="61"/>
      <c r="DA117" s="61"/>
      <c r="DB117" s="61"/>
      <c r="DC117" s="61"/>
      <c r="DD117" s="61"/>
      <c r="DE117" s="61"/>
      <c r="DF117" s="61"/>
      <c r="DG117" s="61"/>
      <c r="DH117" s="61"/>
      <c r="DI117" s="61"/>
      <c r="DJ117" s="61"/>
      <c r="DK117" s="61"/>
      <c r="DL117" s="61"/>
      <c r="DM117" s="61"/>
      <c r="DN117" s="61"/>
      <c r="DO117" s="61"/>
      <c r="DP117" s="61"/>
      <c r="DQ117" s="61"/>
      <c r="DR117" s="61"/>
      <c r="DS117" s="61"/>
      <c r="DT117" s="61"/>
      <c r="DU117" s="61"/>
      <c r="DV117" s="61"/>
      <c r="DW117" s="61"/>
      <c r="DX117" s="61"/>
      <c r="DY117" s="61"/>
      <c r="DZ117" s="61"/>
      <c r="EA117" s="61"/>
      <c r="EB117" s="61"/>
      <c r="EC117" s="61"/>
      <c r="ED117" s="61"/>
      <c r="EE117" s="61"/>
      <c r="EF117" s="61"/>
      <c r="EG117" s="61"/>
      <c r="EH117" s="61"/>
      <c r="EI117" s="61"/>
      <c r="EJ117" s="61"/>
      <c r="EK117" s="61"/>
      <c r="EL117" s="61"/>
      <c r="EM117" s="61"/>
      <c r="EN117" s="61"/>
      <c r="EO117" s="61"/>
      <c r="EP117" s="61"/>
      <c r="EQ117" s="61"/>
      <c r="ER117" s="61"/>
      <c r="ES117" s="61"/>
      <c r="ET117" s="61"/>
      <c r="EU117" s="61"/>
      <c r="EV117" s="61"/>
      <c r="EW117" s="61"/>
      <c r="EX117" s="61"/>
      <c r="EY117" s="61"/>
      <c r="EZ117" s="61"/>
      <c r="FA117" s="61"/>
      <c r="FB117" s="61"/>
      <c r="FC117" s="61"/>
      <c r="FD117" s="61"/>
      <c r="FE117" s="61"/>
      <c r="FF117" s="61"/>
      <c r="FG117" s="61"/>
      <c r="FH117" s="61"/>
      <c r="FI117" s="61"/>
      <c r="FJ117" s="61"/>
      <c r="FK117" s="61"/>
      <c r="FL117" s="61"/>
      <c r="FM117" s="61"/>
      <c r="FN117" s="61"/>
      <c r="FO117" s="61"/>
      <c r="FP117" s="61"/>
      <c r="FQ117" s="61"/>
      <c r="FR117" s="61"/>
      <c r="FS117" s="61"/>
      <c r="FT117" s="61"/>
      <c r="FU117" s="61"/>
      <c r="FV117" s="61"/>
      <c r="FW117" s="61"/>
      <c r="FX117" s="61"/>
      <c r="FY117" s="61"/>
      <c r="FZ117" s="61"/>
      <c r="GA117" s="61"/>
      <c r="GB117" s="61"/>
      <c r="GC117" s="61"/>
      <c r="GD117" s="61"/>
      <c r="GE117" s="61"/>
      <c r="GF117" s="61"/>
      <c r="GG117" s="61"/>
      <c r="GH117" s="61"/>
      <c r="GI117" s="61"/>
      <c r="GJ117" s="61"/>
    </row>
    <row r="118" customFormat="1" ht="16.8" spans="1:192">
      <c r="A118" s="61"/>
      <c r="B118" s="61"/>
      <c r="C118" s="61"/>
      <c r="D118" s="61"/>
      <c r="E118" s="61"/>
      <c r="F118" s="61"/>
      <c r="G118" s="61"/>
      <c r="H118" s="61"/>
      <c r="I118" s="61"/>
      <c r="J118" s="61"/>
      <c r="K118" s="61"/>
      <c r="L118" s="61"/>
      <c r="M118" s="61"/>
      <c r="N118" s="61"/>
      <c r="O118" s="61"/>
      <c r="P118" s="61"/>
      <c r="Q118" s="61"/>
      <c r="R118" s="61"/>
      <c r="S118" s="61"/>
      <c r="T118" s="61"/>
      <c r="U118" s="61"/>
      <c r="V118" s="61"/>
      <c r="W118" s="61"/>
      <c r="X118" s="61"/>
      <c r="Y118" s="61"/>
      <c r="Z118" s="61"/>
      <c r="AA118" s="61"/>
      <c r="AB118" s="61"/>
      <c r="AC118" s="61"/>
      <c r="AD118" s="61"/>
      <c r="AE118" s="61"/>
      <c r="AF118" s="61"/>
      <c r="AG118" s="61"/>
      <c r="AH118" s="61"/>
      <c r="AI118" s="61"/>
      <c r="AJ118" s="61"/>
      <c r="AK118" s="61"/>
      <c r="AL118" s="61"/>
      <c r="AM118" s="61"/>
      <c r="AN118" s="61"/>
      <c r="AO118" s="61"/>
      <c r="AP118" s="61"/>
      <c r="AQ118" s="61"/>
      <c r="AR118" s="61"/>
      <c r="AS118" s="61"/>
      <c r="AT118" s="61"/>
      <c r="AU118" s="61"/>
      <c r="AV118" s="61"/>
      <c r="AW118" s="61"/>
      <c r="AX118" s="61"/>
      <c r="AY118" s="61"/>
      <c r="AZ118" s="61"/>
      <c r="BA118" s="61"/>
      <c r="BB118" s="61"/>
      <c r="BC118" s="61"/>
      <c r="BD118" s="61"/>
      <c r="BE118" s="61"/>
      <c r="BF118" s="61"/>
      <c r="BG118" s="61"/>
      <c r="BH118" s="61"/>
      <c r="BI118" s="61"/>
      <c r="BJ118" s="61"/>
      <c r="BK118" s="61"/>
      <c r="BL118" s="61"/>
      <c r="BM118" s="61"/>
      <c r="BN118" s="61"/>
      <c r="BO118" s="61"/>
      <c r="BP118" s="61"/>
      <c r="BQ118" s="61"/>
      <c r="BR118" s="61"/>
      <c r="BS118" s="61"/>
      <c r="BT118" s="61"/>
      <c r="BU118" s="61"/>
      <c r="BV118" s="61"/>
      <c r="BW118" s="61"/>
      <c r="BX118" s="61"/>
      <c r="BY118" s="61"/>
      <c r="BZ118" s="61"/>
      <c r="CA118" s="61"/>
      <c r="CB118" s="61"/>
      <c r="CC118" s="61"/>
      <c r="CD118" s="61"/>
      <c r="CE118" s="61"/>
      <c r="CF118" s="61"/>
      <c r="CG118" s="61"/>
      <c r="CH118" s="61"/>
      <c r="CI118" s="61"/>
      <c r="CJ118" s="61"/>
      <c r="CK118" s="61"/>
      <c r="CL118" s="61"/>
      <c r="CM118" s="61"/>
      <c r="CN118" s="61"/>
      <c r="CO118" s="61"/>
      <c r="CP118" s="61"/>
      <c r="CQ118" s="61"/>
      <c r="CR118" s="61"/>
      <c r="CS118" s="61"/>
      <c r="CT118" s="61"/>
      <c r="CU118" s="61"/>
      <c r="CV118" s="61"/>
      <c r="CW118" s="61"/>
      <c r="CX118" s="61"/>
      <c r="CY118" s="61"/>
      <c r="CZ118" s="61"/>
      <c r="DA118" s="61"/>
      <c r="DB118" s="61"/>
      <c r="DC118" s="61"/>
      <c r="DD118" s="61"/>
      <c r="DE118" s="61"/>
      <c r="DF118" s="61"/>
      <c r="DG118" s="61"/>
      <c r="DH118" s="61"/>
      <c r="DI118" s="61"/>
      <c r="DJ118" s="61"/>
      <c r="DK118" s="61"/>
      <c r="DL118" s="61"/>
      <c r="DM118" s="61"/>
      <c r="DN118" s="61"/>
      <c r="DO118" s="61"/>
      <c r="DP118" s="61"/>
      <c r="DQ118" s="61"/>
      <c r="DR118" s="61"/>
      <c r="DS118" s="61"/>
      <c r="DT118" s="61"/>
      <c r="DU118" s="61"/>
      <c r="DV118" s="61"/>
      <c r="DW118" s="61"/>
      <c r="DX118" s="61"/>
      <c r="DY118" s="61"/>
      <c r="DZ118" s="61"/>
      <c r="EA118" s="61"/>
      <c r="EB118" s="61"/>
      <c r="EC118" s="61"/>
      <c r="ED118" s="61"/>
      <c r="EE118" s="61"/>
      <c r="EF118" s="61"/>
      <c r="EG118" s="61"/>
      <c r="EH118" s="61"/>
      <c r="EI118" s="61"/>
      <c r="EJ118" s="61"/>
      <c r="EK118" s="61"/>
      <c r="EL118" s="61"/>
      <c r="EM118" s="61"/>
      <c r="EN118" s="61"/>
      <c r="EO118" s="61"/>
      <c r="EP118" s="61"/>
      <c r="EQ118" s="61"/>
      <c r="ER118" s="61"/>
      <c r="ES118" s="61"/>
      <c r="ET118" s="61"/>
      <c r="EU118" s="61"/>
      <c r="EV118" s="61"/>
      <c r="EW118" s="61"/>
      <c r="EX118" s="61"/>
      <c r="EY118" s="61"/>
      <c r="EZ118" s="61"/>
      <c r="FA118" s="61"/>
      <c r="FB118" s="61"/>
      <c r="FC118" s="61"/>
      <c r="FD118" s="61"/>
      <c r="FE118" s="61"/>
      <c r="FF118" s="61"/>
      <c r="FG118" s="61"/>
      <c r="FH118" s="61"/>
      <c r="FI118" s="61"/>
      <c r="FJ118" s="61"/>
      <c r="FK118" s="61"/>
      <c r="FL118" s="61"/>
      <c r="FM118" s="61"/>
      <c r="FN118" s="61"/>
      <c r="FO118" s="61"/>
      <c r="FP118" s="61"/>
      <c r="FQ118" s="61"/>
      <c r="FR118" s="61"/>
      <c r="FS118" s="61"/>
      <c r="FT118" s="61"/>
      <c r="FU118" s="61"/>
      <c r="FV118" s="61"/>
      <c r="FW118" s="61"/>
      <c r="FX118" s="61"/>
      <c r="FY118" s="61"/>
      <c r="FZ118" s="61"/>
      <c r="GA118" s="61"/>
      <c r="GB118" s="61"/>
      <c r="GC118" s="61"/>
      <c r="GD118" s="61"/>
      <c r="GE118" s="61"/>
      <c r="GF118" s="61"/>
      <c r="GG118" s="61"/>
      <c r="GH118" s="61"/>
      <c r="GI118" s="61"/>
      <c r="GJ118" s="61"/>
    </row>
    <row r="119" customFormat="1" ht="16.8" spans="1:192">
      <c r="A119" s="61"/>
      <c r="B119" s="61"/>
      <c r="C119" s="61"/>
      <c r="D119" s="61"/>
      <c r="E119" s="61"/>
      <c r="F119" s="61"/>
      <c r="G119" s="61"/>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c r="AE119" s="61"/>
      <c r="AF119" s="61"/>
      <c r="AG119" s="61"/>
      <c r="AH119" s="61"/>
      <c r="AI119" s="61"/>
      <c r="AJ119" s="61"/>
      <c r="AK119" s="61"/>
      <c r="AL119" s="61"/>
      <c r="AM119" s="61"/>
      <c r="AN119" s="61"/>
      <c r="AO119" s="61"/>
      <c r="AP119" s="61"/>
      <c r="AQ119" s="61"/>
      <c r="AR119" s="61"/>
      <c r="AS119" s="61"/>
      <c r="AT119" s="61"/>
      <c r="AU119" s="61"/>
      <c r="AV119" s="61"/>
      <c r="AW119" s="61"/>
      <c r="AX119" s="61"/>
      <c r="AY119" s="61"/>
      <c r="AZ119" s="61"/>
      <c r="BA119" s="61"/>
      <c r="BB119" s="61"/>
      <c r="BC119" s="61"/>
      <c r="BD119" s="61"/>
      <c r="BE119" s="61"/>
      <c r="BF119" s="61"/>
      <c r="BG119" s="61"/>
      <c r="BH119" s="61"/>
      <c r="BI119" s="61"/>
      <c r="BJ119" s="61"/>
      <c r="BK119" s="61"/>
      <c r="BL119" s="61"/>
      <c r="BM119" s="61"/>
      <c r="BN119" s="61"/>
      <c r="BO119" s="61"/>
      <c r="BP119" s="61"/>
      <c r="BQ119" s="61"/>
      <c r="BR119" s="61"/>
      <c r="BS119" s="61"/>
      <c r="BT119" s="61"/>
      <c r="BU119" s="61"/>
      <c r="BV119" s="61"/>
      <c r="BW119" s="61"/>
      <c r="BX119" s="61"/>
      <c r="BY119" s="61"/>
      <c r="BZ119" s="61"/>
      <c r="CA119" s="61"/>
      <c r="CB119" s="61"/>
      <c r="CC119" s="61"/>
      <c r="CD119" s="61"/>
      <c r="CE119" s="61"/>
      <c r="CF119" s="61"/>
      <c r="CG119" s="61"/>
      <c r="CH119" s="61"/>
      <c r="CI119" s="61"/>
      <c r="CJ119" s="61"/>
      <c r="CK119" s="61"/>
      <c r="CL119" s="61"/>
      <c r="CM119" s="61"/>
      <c r="CN119" s="61"/>
      <c r="CO119" s="61"/>
      <c r="CP119" s="61"/>
      <c r="CQ119" s="61"/>
      <c r="CR119" s="61"/>
      <c r="CS119" s="61"/>
      <c r="CT119" s="61"/>
      <c r="CU119" s="61"/>
      <c r="CV119" s="61"/>
      <c r="CW119" s="61"/>
      <c r="CX119" s="61"/>
      <c r="CY119" s="61"/>
      <c r="CZ119" s="61"/>
      <c r="DA119" s="61"/>
      <c r="DB119" s="61"/>
      <c r="DC119" s="61"/>
      <c r="DD119" s="61"/>
      <c r="DE119" s="61"/>
      <c r="DF119" s="61"/>
      <c r="DG119" s="61"/>
      <c r="DH119" s="61"/>
      <c r="DI119" s="61"/>
      <c r="DJ119" s="61"/>
      <c r="DK119" s="61"/>
      <c r="DL119" s="61"/>
      <c r="DM119" s="61"/>
      <c r="DN119" s="61"/>
      <c r="DO119" s="61"/>
      <c r="DP119" s="61"/>
      <c r="DQ119" s="61"/>
      <c r="DR119" s="61"/>
      <c r="DS119" s="61"/>
      <c r="DT119" s="61"/>
      <c r="DU119" s="61"/>
      <c r="DV119" s="61"/>
      <c r="DW119" s="61"/>
      <c r="DX119" s="61"/>
      <c r="DY119" s="61"/>
      <c r="DZ119" s="61"/>
      <c r="EA119" s="61"/>
      <c r="EB119" s="61"/>
      <c r="EC119" s="61"/>
      <c r="ED119" s="61"/>
      <c r="EE119" s="61"/>
      <c r="EF119" s="61"/>
      <c r="EG119" s="61"/>
      <c r="EH119" s="61"/>
      <c r="EI119" s="61"/>
      <c r="EJ119" s="61"/>
      <c r="EK119" s="61"/>
      <c r="EL119" s="61"/>
      <c r="EM119" s="61"/>
      <c r="EN119" s="61"/>
      <c r="EO119" s="61"/>
      <c r="EP119" s="61"/>
      <c r="EQ119" s="61"/>
      <c r="ER119" s="61"/>
      <c r="ES119" s="61"/>
      <c r="ET119" s="61"/>
      <c r="EU119" s="61"/>
      <c r="EV119" s="61"/>
      <c r="EW119" s="61"/>
      <c r="EX119" s="61"/>
      <c r="EY119" s="61"/>
      <c r="EZ119" s="61"/>
      <c r="FA119" s="61"/>
      <c r="FB119" s="61"/>
      <c r="FC119" s="61"/>
      <c r="FD119" s="61"/>
      <c r="FE119" s="61"/>
      <c r="FF119" s="61"/>
      <c r="FG119" s="61"/>
      <c r="FH119" s="61"/>
      <c r="FI119" s="61"/>
      <c r="FJ119" s="61"/>
      <c r="FK119" s="61"/>
      <c r="FL119" s="61"/>
      <c r="FM119" s="61"/>
      <c r="FN119" s="61"/>
      <c r="FO119" s="61"/>
      <c r="FP119" s="61"/>
      <c r="FQ119" s="61"/>
      <c r="FR119" s="61"/>
      <c r="FS119" s="61"/>
      <c r="FT119" s="61"/>
      <c r="FU119" s="61"/>
      <c r="FV119" s="61"/>
      <c r="FW119" s="61"/>
      <c r="FX119" s="61"/>
      <c r="FY119" s="61"/>
      <c r="FZ119" s="61"/>
      <c r="GA119" s="61"/>
      <c r="GB119" s="61"/>
      <c r="GC119" s="61"/>
      <c r="GD119" s="61"/>
      <c r="GE119" s="61"/>
      <c r="GF119" s="61"/>
      <c r="GG119" s="61"/>
      <c r="GH119" s="61"/>
      <c r="GI119" s="61"/>
      <c r="GJ119" s="61"/>
    </row>
    <row r="120" customFormat="1" ht="16.8" spans="1:192">
      <c r="A120" s="61"/>
      <c r="B120" s="61"/>
      <c r="C120" s="61"/>
      <c r="D120" s="61"/>
      <c r="E120" s="61"/>
      <c r="F120" s="61"/>
      <c r="G120" s="61"/>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c r="AE120" s="61"/>
      <c r="AF120" s="61"/>
      <c r="AG120" s="61"/>
      <c r="AH120" s="61"/>
      <c r="AI120" s="61"/>
      <c r="AJ120" s="61"/>
      <c r="AK120" s="61"/>
      <c r="AL120" s="61"/>
      <c r="AM120" s="61"/>
      <c r="AN120" s="61"/>
      <c r="AO120" s="61"/>
      <c r="AP120" s="61"/>
      <c r="AQ120" s="61"/>
      <c r="AR120" s="61"/>
      <c r="AS120" s="61"/>
      <c r="AT120" s="61"/>
      <c r="AU120" s="61"/>
      <c r="AV120" s="61"/>
      <c r="AW120" s="61"/>
      <c r="AX120" s="61"/>
      <c r="AY120" s="61"/>
      <c r="AZ120" s="61"/>
      <c r="BA120" s="61"/>
      <c r="BB120" s="61"/>
      <c r="BC120" s="61"/>
      <c r="BD120" s="61"/>
      <c r="BE120" s="61"/>
      <c r="BF120" s="61"/>
      <c r="BG120" s="61"/>
      <c r="BH120" s="61"/>
      <c r="BI120" s="61"/>
      <c r="BJ120" s="61"/>
      <c r="BK120" s="61"/>
      <c r="BL120" s="61"/>
      <c r="BM120" s="61"/>
      <c r="BN120" s="61"/>
      <c r="BO120" s="61"/>
      <c r="BP120" s="61"/>
      <c r="BQ120" s="61"/>
      <c r="BR120" s="61"/>
      <c r="BS120" s="61"/>
      <c r="BT120" s="61"/>
      <c r="BU120" s="61"/>
      <c r="BV120" s="61"/>
      <c r="BW120" s="61"/>
      <c r="BX120" s="61"/>
      <c r="BY120" s="61"/>
      <c r="BZ120" s="61"/>
      <c r="CA120" s="61"/>
      <c r="CB120" s="61"/>
      <c r="CC120" s="61"/>
      <c r="CD120" s="61"/>
      <c r="CE120" s="61"/>
      <c r="CF120" s="61"/>
      <c r="CG120" s="61"/>
      <c r="CH120" s="61"/>
      <c r="CI120" s="61"/>
      <c r="CJ120" s="61"/>
      <c r="CK120" s="61"/>
      <c r="CL120" s="61"/>
      <c r="CM120" s="61"/>
      <c r="CN120" s="61"/>
      <c r="CO120" s="61"/>
      <c r="CP120" s="61"/>
      <c r="CQ120" s="61"/>
      <c r="CR120" s="61"/>
      <c r="CS120" s="61"/>
      <c r="CT120" s="61"/>
      <c r="CU120" s="61"/>
      <c r="CV120" s="61"/>
      <c r="CW120" s="61"/>
      <c r="CX120" s="61"/>
      <c r="CY120" s="61"/>
      <c r="CZ120" s="61"/>
      <c r="DA120" s="61"/>
      <c r="DB120" s="61"/>
      <c r="DC120" s="61"/>
      <c r="DD120" s="61"/>
      <c r="DE120" s="61"/>
      <c r="DF120" s="61"/>
      <c r="DG120" s="61"/>
      <c r="DH120" s="61"/>
      <c r="DI120" s="61"/>
      <c r="DJ120" s="61"/>
      <c r="DK120" s="61"/>
      <c r="DL120" s="61"/>
      <c r="DM120" s="61"/>
      <c r="DN120" s="61"/>
      <c r="DO120" s="61"/>
      <c r="DP120" s="61"/>
      <c r="DQ120" s="61"/>
      <c r="DR120" s="61"/>
      <c r="DS120" s="61"/>
      <c r="DT120" s="61"/>
      <c r="DU120" s="61"/>
      <c r="DV120" s="61"/>
      <c r="DW120" s="61"/>
      <c r="DX120" s="61"/>
      <c r="DY120" s="61"/>
      <c r="DZ120" s="61"/>
      <c r="EA120" s="61"/>
      <c r="EB120" s="61"/>
      <c r="EC120" s="61"/>
      <c r="ED120" s="61"/>
      <c r="EE120" s="61"/>
      <c r="EF120" s="61"/>
      <c r="EG120" s="61"/>
      <c r="EH120" s="61"/>
      <c r="EI120" s="61"/>
      <c r="EJ120" s="61"/>
      <c r="EK120" s="61"/>
      <c r="EL120" s="61"/>
      <c r="EM120" s="61"/>
      <c r="EN120" s="61"/>
      <c r="EO120" s="61"/>
      <c r="EP120" s="61"/>
      <c r="EQ120" s="61"/>
      <c r="ER120" s="61"/>
      <c r="ES120" s="61"/>
      <c r="ET120" s="61"/>
      <c r="EU120" s="61"/>
      <c r="EV120" s="61"/>
      <c r="EW120" s="61"/>
      <c r="EX120" s="61"/>
      <c r="EY120" s="61"/>
      <c r="EZ120" s="61"/>
      <c r="FA120" s="61"/>
      <c r="FB120" s="61"/>
      <c r="FC120" s="61"/>
      <c r="FD120" s="61"/>
      <c r="FE120" s="61"/>
      <c r="FF120" s="61"/>
      <c r="FG120" s="61"/>
      <c r="FH120" s="61"/>
      <c r="FI120" s="61"/>
      <c r="FJ120" s="61"/>
      <c r="FK120" s="61"/>
      <c r="FL120" s="61"/>
      <c r="FM120" s="61"/>
      <c r="FN120" s="61"/>
      <c r="FO120" s="61"/>
      <c r="FP120" s="61"/>
      <c r="FQ120" s="61"/>
      <c r="FR120" s="61"/>
      <c r="FS120" s="61"/>
      <c r="FT120" s="61"/>
      <c r="FU120" s="61"/>
      <c r="FV120" s="61"/>
      <c r="FW120" s="61"/>
      <c r="FX120" s="61"/>
      <c r="FY120" s="61"/>
      <c r="FZ120" s="61"/>
      <c r="GA120" s="61"/>
      <c r="GB120" s="61"/>
      <c r="GC120" s="61"/>
      <c r="GD120" s="61"/>
      <c r="GE120" s="61"/>
      <c r="GF120" s="61"/>
      <c r="GG120" s="61"/>
      <c r="GH120" s="61"/>
      <c r="GI120" s="61"/>
      <c r="GJ120" s="61"/>
    </row>
    <row r="121" customFormat="1" ht="16.8" spans="1:192">
      <c r="A121" s="61"/>
      <c r="B121" s="61"/>
      <c r="C121" s="61"/>
      <c r="D121" s="61"/>
      <c r="E121" s="61"/>
      <c r="F121" s="61"/>
      <c r="G121" s="61"/>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c r="AE121" s="61"/>
      <c r="AF121" s="61"/>
      <c r="AG121" s="61"/>
      <c r="AH121" s="61"/>
      <c r="AI121" s="61"/>
      <c r="AJ121" s="61"/>
      <c r="AK121" s="61"/>
      <c r="AL121" s="61"/>
      <c r="AM121" s="61"/>
      <c r="AN121" s="61"/>
      <c r="AO121" s="61"/>
      <c r="AP121" s="61"/>
      <c r="AQ121" s="61"/>
      <c r="AR121" s="61"/>
      <c r="AS121" s="61"/>
      <c r="AT121" s="61"/>
      <c r="AU121" s="61"/>
      <c r="AV121" s="61"/>
      <c r="AW121" s="61"/>
      <c r="AX121" s="61"/>
      <c r="AY121" s="61"/>
      <c r="AZ121" s="61"/>
      <c r="BA121" s="61"/>
      <c r="BB121" s="61"/>
      <c r="BC121" s="61"/>
      <c r="BD121" s="61"/>
      <c r="BE121" s="61"/>
      <c r="BF121" s="61"/>
      <c r="BG121" s="61"/>
      <c r="BH121" s="61"/>
      <c r="BI121" s="61"/>
      <c r="BJ121" s="61"/>
      <c r="BK121" s="61"/>
      <c r="BL121" s="61"/>
      <c r="BM121" s="61"/>
      <c r="BN121" s="61"/>
      <c r="BO121" s="61"/>
      <c r="BP121" s="61"/>
      <c r="BQ121" s="61"/>
      <c r="BR121" s="61"/>
      <c r="BS121" s="61"/>
      <c r="BT121" s="61"/>
      <c r="BU121" s="61"/>
      <c r="BV121" s="61"/>
      <c r="BW121" s="61"/>
      <c r="BX121" s="61"/>
      <c r="BY121" s="61"/>
      <c r="BZ121" s="61"/>
      <c r="CA121" s="61"/>
      <c r="CB121" s="61"/>
      <c r="CC121" s="61"/>
      <c r="CD121" s="61"/>
      <c r="CE121" s="61"/>
      <c r="CF121" s="61"/>
      <c r="CG121" s="61"/>
      <c r="CH121" s="61"/>
      <c r="CI121" s="61"/>
      <c r="CJ121" s="61"/>
      <c r="CK121" s="61"/>
      <c r="CL121" s="61"/>
      <c r="CM121" s="61"/>
      <c r="CN121" s="61"/>
      <c r="CO121" s="61"/>
      <c r="CP121" s="61"/>
      <c r="CQ121" s="61"/>
      <c r="CR121" s="61"/>
      <c r="CS121" s="61"/>
      <c r="CT121" s="61"/>
      <c r="CU121" s="61"/>
      <c r="CV121" s="61"/>
      <c r="CW121" s="61"/>
      <c r="CX121" s="61"/>
      <c r="CY121" s="61"/>
      <c r="CZ121" s="61"/>
      <c r="DA121" s="61"/>
      <c r="DB121" s="61"/>
      <c r="DC121" s="61"/>
      <c r="DD121" s="61"/>
      <c r="DE121" s="61"/>
      <c r="DF121" s="61"/>
      <c r="DG121" s="61"/>
      <c r="DH121" s="61"/>
      <c r="DI121" s="61"/>
      <c r="DJ121" s="61"/>
      <c r="DK121" s="61"/>
      <c r="DL121" s="61"/>
      <c r="DM121" s="61"/>
      <c r="DN121" s="61"/>
      <c r="DO121" s="61"/>
      <c r="DP121" s="61"/>
      <c r="DQ121" s="61"/>
      <c r="DR121" s="61"/>
      <c r="DS121" s="61"/>
      <c r="DT121" s="61"/>
      <c r="DU121" s="61"/>
      <c r="DV121" s="61"/>
      <c r="DW121" s="61"/>
      <c r="DX121" s="61"/>
      <c r="DY121" s="61"/>
      <c r="DZ121" s="61"/>
      <c r="EA121" s="61"/>
      <c r="EB121" s="61"/>
      <c r="EC121" s="61"/>
      <c r="ED121" s="61"/>
      <c r="EE121" s="61"/>
      <c r="EF121" s="61"/>
      <c r="EG121" s="61"/>
      <c r="EH121" s="61"/>
      <c r="EI121" s="61"/>
      <c r="EJ121" s="61"/>
      <c r="EK121" s="61"/>
      <c r="EL121" s="61"/>
      <c r="EM121" s="61"/>
      <c r="EN121" s="61"/>
      <c r="EO121" s="61"/>
      <c r="EP121" s="61"/>
      <c r="EQ121" s="61"/>
      <c r="ER121" s="61"/>
      <c r="ES121" s="61"/>
      <c r="ET121" s="61"/>
      <c r="EU121" s="61"/>
      <c r="EV121" s="61"/>
      <c r="EW121" s="61"/>
      <c r="EX121" s="61"/>
      <c r="EY121" s="61"/>
      <c r="EZ121" s="61"/>
      <c r="FA121" s="61"/>
      <c r="FB121" s="61"/>
      <c r="FC121" s="61"/>
      <c r="FD121" s="61"/>
      <c r="FE121" s="61"/>
      <c r="FF121" s="61"/>
      <c r="FG121" s="61"/>
      <c r="FH121" s="61"/>
      <c r="FI121" s="61"/>
      <c r="FJ121" s="61"/>
      <c r="FK121" s="61"/>
      <c r="FL121" s="61"/>
      <c r="FM121" s="61"/>
      <c r="FN121" s="61"/>
      <c r="FO121" s="61"/>
      <c r="FP121" s="61"/>
      <c r="FQ121" s="61"/>
      <c r="FR121" s="61"/>
      <c r="FS121" s="61"/>
      <c r="FT121" s="61"/>
      <c r="FU121" s="61"/>
      <c r="FV121" s="61"/>
      <c r="FW121" s="61"/>
      <c r="FX121" s="61"/>
      <c r="FY121" s="61"/>
      <c r="FZ121" s="61"/>
      <c r="GA121" s="61"/>
      <c r="GB121" s="61"/>
      <c r="GC121" s="61"/>
      <c r="GD121" s="61"/>
      <c r="GE121" s="61"/>
      <c r="GF121" s="61"/>
      <c r="GG121" s="61"/>
      <c r="GH121" s="61"/>
      <c r="GI121" s="61"/>
      <c r="GJ121" s="61"/>
    </row>
    <row r="122" customFormat="1" ht="16.8" spans="1:192">
      <c r="A122" s="61"/>
      <c r="B122" s="61"/>
      <c r="C122" s="61"/>
      <c r="D122" s="61"/>
      <c r="E122" s="61"/>
      <c r="F122" s="61"/>
      <c r="G122" s="61"/>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c r="AE122" s="61"/>
      <c r="AF122" s="61"/>
      <c r="AG122" s="61"/>
      <c r="AH122" s="61"/>
      <c r="AI122" s="61"/>
      <c r="AJ122" s="61"/>
      <c r="AK122" s="61"/>
      <c r="AL122" s="61"/>
      <c r="AM122" s="61"/>
      <c r="AN122" s="61"/>
      <c r="AO122" s="61"/>
      <c r="AP122" s="61"/>
      <c r="AQ122" s="61"/>
      <c r="AR122" s="61"/>
      <c r="AS122" s="61"/>
      <c r="AT122" s="61"/>
      <c r="AU122" s="61"/>
      <c r="AV122" s="61"/>
      <c r="AW122" s="61"/>
      <c r="AX122" s="61"/>
      <c r="AY122" s="61"/>
      <c r="AZ122" s="61"/>
      <c r="BA122" s="61"/>
      <c r="BB122" s="61"/>
      <c r="BC122" s="61"/>
      <c r="BD122" s="61"/>
      <c r="BE122" s="61"/>
      <c r="BF122" s="61"/>
      <c r="BG122" s="61"/>
      <c r="BH122" s="61"/>
      <c r="BI122" s="61"/>
      <c r="BJ122" s="61"/>
      <c r="BK122" s="61"/>
      <c r="BL122" s="61"/>
      <c r="BM122" s="61"/>
      <c r="BN122" s="61"/>
      <c r="BO122" s="61"/>
      <c r="BP122" s="61"/>
      <c r="BQ122" s="61"/>
      <c r="BR122" s="61"/>
      <c r="BS122" s="61"/>
      <c r="BT122" s="61"/>
      <c r="BU122" s="61"/>
      <c r="BV122" s="61"/>
      <c r="BW122" s="61"/>
      <c r="BX122" s="61"/>
      <c r="BY122" s="61"/>
      <c r="BZ122" s="61"/>
      <c r="CA122" s="61"/>
      <c r="CB122" s="61"/>
      <c r="CC122" s="61"/>
      <c r="CD122" s="61"/>
      <c r="CE122" s="61"/>
      <c r="CF122" s="61"/>
      <c r="CG122" s="61"/>
      <c r="CH122" s="61"/>
      <c r="CI122" s="61"/>
      <c r="CJ122" s="61"/>
      <c r="CK122" s="61"/>
      <c r="CL122" s="61"/>
      <c r="CM122" s="61"/>
      <c r="CN122" s="61"/>
      <c r="CO122" s="61"/>
      <c r="CP122" s="61"/>
      <c r="CQ122" s="61"/>
      <c r="CR122" s="61"/>
      <c r="CS122" s="61"/>
      <c r="CT122" s="61"/>
      <c r="CU122" s="61"/>
      <c r="CV122" s="61"/>
      <c r="CW122" s="61"/>
      <c r="CX122" s="61"/>
      <c r="CY122" s="61"/>
      <c r="CZ122" s="61"/>
      <c r="DA122" s="61"/>
      <c r="DB122" s="61"/>
      <c r="DC122" s="61"/>
      <c r="DD122" s="61"/>
      <c r="DE122" s="61"/>
      <c r="DF122" s="61"/>
      <c r="DG122" s="61"/>
      <c r="DH122" s="61"/>
      <c r="DI122" s="61"/>
      <c r="DJ122" s="61"/>
      <c r="DK122" s="61"/>
      <c r="DL122" s="61"/>
      <c r="DM122" s="61"/>
      <c r="DN122" s="61"/>
      <c r="DO122" s="61"/>
      <c r="DP122" s="61"/>
      <c r="DQ122" s="61"/>
      <c r="DR122" s="61"/>
      <c r="DS122" s="61"/>
      <c r="DT122" s="61"/>
      <c r="DU122" s="61"/>
      <c r="DV122" s="61"/>
      <c r="DW122" s="61"/>
      <c r="DX122" s="61"/>
      <c r="DY122" s="61"/>
      <c r="DZ122" s="61"/>
      <c r="EA122" s="61"/>
      <c r="EB122" s="61"/>
      <c r="EC122" s="61"/>
      <c r="ED122" s="61"/>
      <c r="EE122" s="61"/>
      <c r="EF122" s="61"/>
      <c r="EG122" s="61"/>
      <c r="EH122" s="61"/>
      <c r="EI122" s="61"/>
      <c r="EJ122" s="61"/>
      <c r="EK122" s="61"/>
      <c r="EL122" s="61"/>
      <c r="EM122" s="61"/>
      <c r="EN122" s="61"/>
      <c r="EO122" s="61"/>
      <c r="EP122" s="61"/>
      <c r="EQ122" s="61"/>
      <c r="ER122" s="61"/>
      <c r="ES122" s="61"/>
      <c r="ET122" s="61"/>
      <c r="EU122" s="61"/>
      <c r="EV122" s="61"/>
      <c r="EW122" s="61"/>
      <c r="EX122" s="61"/>
      <c r="EY122" s="61"/>
      <c r="EZ122" s="61"/>
      <c r="FA122" s="61"/>
      <c r="FB122" s="61"/>
      <c r="FC122" s="61"/>
      <c r="FD122" s="61"/>
      <c r="FE122" s="61"/>
      <c r="FF122" s="61"/>
      <c r="FG122" s="61"/>
      <c r="FH122" s="61"/>
      <c r="FI122" s="61"/>
      <c r="FJ122" s="61"/>
      <c r="FK122" s="61"/>
      <c r="FL122" s="61"/>
      <c r="FM122" s="61"/>
      <c r="FN122" s="61"/>
      <c r="FO122" s="61"/>
      <c r="FP122" s="61"/>
      <c r="FQ122" s="61"/>
      <c r="FR122" s="61"/>
      <c r="FS122" s="61"/>
      <c r="FT122" s="61"/>
      <c r="FU122" s="61"/>
      <c r="FV122" s="61"/>
      <c r="FW122" s="61"/>
      <c r="FX122" s="61"/>
      <c r="FY122" s="61"/>
      <c r="FZ122" s="61"/>
      <c r="GA122" s="61"/>
      <c r="GB122" s="61"/>
      <c r="GC122" s="61"/>
      <c r="GD122" s="61"/>
      <c r="GE122" s="61"/>
      <c r="GF122" s="61"/>
      <c r="GG122" s="61"/>
      <c r="GH122" s="61"/>
      <c r="GI122" s="61"/>
      <c r="GJ122" s="61"/>
    </row>
    <row r="123" customFormat="1" ht="16.8" spans="1:192">
      <c r="A123" s="61"/>
      <c r="B123" s="61"/>
      <c r="C123" s="61"/>
      <c r="D123" s="61"/>
      <c r="E123" s="61"/>
      <c r="F123" s="61"/>
      <c r="G123" s="61"/>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c r="AE123" s="61"/>
      <c r="AF123" s="61"/>
      <c r="AG123" s="61"/>
      <c r="AH123" s="61"/>
      <c r="AI123" s="61"/>
      <c r="AJ123" s="61"/>
      <c r="AK123" s="61"/>
      <c r="AL123" s="61"/>
      <c r="AM123" s="61"/>
      <c r="AN123" s="61"/>
      <c r="AO123" s="61"/>
      <c r="AP123" s="61"/>
      <c r="AQ123" s="61"/>
      <c r="AR123" s="61"/>
      <c r="AS123" s="61"/>
      <c r="AT123" s="61"/>
      <c r="AU123" s="61"/>
      <c r="AV123" s="61"/>
      <c r="AW123" s="61"/>
      <c r="AX123" s="61"/>
      <c r="AY123" s="61"/>
      <c r="AZ123" s="61"/>
      <c r="BA123" s="61"/>
      <c r="BB123" s="61"/>
      <c r="BC123" s="61"/>
      <c r="BD123" s="61"/>
      <c r="BE123" s="61"/>
      <c r="BF123" s="61"/>
      <c r="BG123" s="61"/>
      <c r="BH123" s="61"/>
      <c r="BI123" s="61"/>
      <c r="BJ123" s="61"/>
      <c r="BK123" s="61"/>
      <c r="BL123" s="61"/>
      <c r="BM123" s="61"/>
      <c r="BN123" s="61"/>
      <c r="BO123" s="61"/>
      <c r="BP123" s="61"/>
      <c r="BQ123" s="61"/>
      <c r="BR123" s="61"/>
      <c r="BS123" s="61"/>
      <c r="BT123" s="61"/>
      <c r="BU123" s="61"/>
      <c r="BV123" s="61"/>
      <c r="BW123" s="61"/>
      <c r="BX123" s="61"/>
      <c r="BY123" s="61"/>
      <c r="BZ123" s="61"/>
      <c r="CA123" s="61"/>
      <c r="CB123" s="61"/>
      <c r="CC123" s="61"/>
      <c r="CD123" s="61"/>
      <c r="CE123" s="61"/>
      <c r="CF123" s="61"/>
      <c r="CG123" s="61"/>
      <c r="CH123" s="61"/>
      <c r="CI123" s="61"/>
      <c r="CJ123" s="61"/>
      <c r="CK123" s="61"/>
      <c r="CL123" s="61"/>
      <c r="CM123" s="61"/>
      <c r="CN123" s="61"/>
      <c r="CO123" s="61"/>
      <c r="CP123" s="61"/>
      <c r="CQ123" s="61"/>
      <c r="CR123" s="61"/>
      <c r="CS123" s="61"/>
      <c r="CT123" s="61"/>
      <c r="CU123" s="61"/>
      <c r="CV123" s="61"/>
      <c r="CW123" s="61"/>
      <c r="CX123" s="61"/>
      <c r="CY123" s="61"/>
      <c r="CZ123" s="61"/>
      <c r="DA123" s="61"/>
      <c r="DB123" s="61"/>
      <c r="DC123" s="61"/>
      <c r="DD123" s="61"/>
      <c r="DE123" s="61"/>
      <c r="DF123" s="61"/>
      <c r="DG123" s="61"/>
      <c r="DH123" s="61"/>
      <c r="DI123" s="61"/>
      <c r="DJ123" s="61"/>
      <c r="DK123" s="61"/>
      <c r="DL123" s="61"/>
      <c r="DM123" s="61"/>
      <c r="DN123" s="61"/>
      <c r="DO123" s="61"/>
      <c r="DP123" s="61"/>
      <c r="DQ123" s="61"/>
      <c r="DR123" s="61"/>
      <c r="DS123" s="61"/>
      <c r="DT123" s="61"/>
      <c r="DU123" s="61"/>
      <c r="DV123" s="61"/>
      <c r="DW123" s="61"/>
      <c r="DX123" s="61"/>
      <c r="DY123" s="61"/>
      <c r="DZ123" s="61"/>
      <c r="EA123" s="61"/>
      <c r="EB123" s="61"/>
      <c r="EC123" s="61"/>
      <c r="ED123" s="61"/>
      <c r="EE123" s="61"/>
      <c r="EF123" s="61"/>
      <c r="EG123" s="61"/>
      <c r="EH123" s="61"/>
      <c r="EI123" s="61"/>
      <c r="EJ123" s="61"/>
      <c r="EK123" s="61"/>
      <c r="EL123" s="61"/>
      <c r="EM123" s="61"/>
      <c r="EN123" s="61"/>
      <c r="EO123" s="61"/>
      <c r="EP123" s="61"/>
      <c r="EQ123" s="61"/>
      <c r="ER123" s="61"/>
      <c r="ES123" s="61"/>
      <c r="ET123" s="61"/>
      <c r="EU123" s="61"/>
      <c r="EV123" s="61"/>
      <c r="EW123" s="61"/>
      <c r="EX123" s="61"/>
      <c r="EY123" s="61"/>
      <c r="EZ123" s="61"/>
      <c r="FA123" s="61"/>
      <c r="FB123" s="61"/>
      <c r="FC123" s="61"/>
      <c r="FD123" s="61"/>
      <c r="FE123" s="61"/>
      <c r="FF123" s="61"/>
      <c r="FG123" s="61"/>
      <c r="FH123" s="61"/>
      <c r="FI123" s="61"/>
      <c r="FJ123" s="61"/>
      <c r="FK123" s="61"/>
      <c r="FL123" s="61"/>
      <c r="FM123" s="61"/>
      <c r="FN123" s="61"/>
      <c r="FO123" s="61"/>
      <c r="FP123" s="61"/>
      <c r="FQ123" s="61"/>
      <c r="FR123" s="61"/>
      <c r="FS123" s="61"/>
      <c r="FT123" s="61"/>
      <c r="FU123" s="61"/>
      <c r="FV123" s="61"/>
      <c r="FW123" s="61"/>
      <c r="FX123" s="61"/>
      <c r="FY123" s="61"/>
      <c r="FZ123" s="61"/>
      <c r="GA123" s="61"/>
      <c r="GB123" s="61"/>
      <c r="GC123" s="61"/>
      <c r="GD123" s="61"/>
      <c r="GE123" s="61"/>
      <c r="GF123" s="61"/>
      <c r="GG123" s="61"/>
      <c r="GH123" s="61"/>
      <c r="GI123" s="61"/>
      <c r="GJ123" s="61"/>
    </row>
    <row r="124" customFormat="1" ht="16.8" spans="1:192">
      <c r="A124" s="61"/>
      <c r="B124" s="61"/>
      <c r="C124" s="61"/>
      <c r="D124" s="61"/>
      <c r="E124" s="61"/>
      <c r="F124" s="61"/>
      <c r="G124" s="61"/>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c r="AE124" s="61"/>
      <c r="AF124" s="61"/>
      <c r="AG124" s="61"/>
      <c r="AH124" s="61"/>
      <c r="AI124" s="61"/>
      <c r="AJ124" s="61"/>
      <c r="AK124" s="61"/>
      <c r="AL124" s="61"/>
      <c r="AM124" s="61"/>
      <c r="AN124" s="61"/>
      <c r="AO124" s="61"/>
      <c r="AP124" s="61"/>
      <c r="AQ124" s="61"/>
      <c r="AR124" s="61"/>
      <c r="AS124" s="61"/>
      <c r="AT124" s="61"/>
      <c r="AU124" s="61"/>
      <c r="AV124" s="61"/>
      <c r="AW124" s="61"/>
      <c r="AX124" s="61"/>
      <c r="AY124" s="61"/>
      <c r="AZ124" s="61"/>
      <c r="BA124" s="61"/>
      <c r="BB124" s="61"/>
      <c r="BC124" s="61"/>
      <c r="BD124" s="61"/>
      <c r="BE124" s="61"/>
      <c r="BF124" s="61"/>
      <c r="BG124" s="61"/>
      <c r="BH124" s="61"/>
      <c r="BI124" s="61"/>
      <c r="BJ124" s="61"/>
      <c r="BK124" s="61"/>
      <c r="BL124" s="61"/>
      <c r="BM124" s="61"/>
      <c r="BN124" s="61"/>
      <c r="BO124" s="61"/>
      <c r="BP124" s="61"/>
      <c r="BQ124" s="61"/>
      <c r="BR124" s="61"/>
      <c r="BS124" s="61"/>
      <c r="BT124" s="61"/>
      <c r="BU124" s="61"/>
      <c r="BV124" s="61"/>
      <c r="BW124" s="61"/>
      <c r="BX124" s="61"/>
      <c r="BY124" s="61"/>
      <c r="BZ124" s="61"/>
      <c r="CA124" s="61"/>
      <c r="CB124" s="61"/>
      <c r="CC124" s="61"/>
      <c r="CD124" s="61"/>
      <c r="CE124" s="61"/>
      <c r="CF124" s="61"/>
      <c r="CG124" s="61"/>
      <c r="CH124" s="61"/>
      <c r="CI124" s="61"/>
      <c r="CJ124" s="61"/>
      <c r="CK124" s="61"/>
      <c r="CL124" s="61"/>
      <c r="CM124" s="61"/>
      <c r="CN124" s="61"/>
      <c r="CO124" s="61"/>
      <c r="CP124" s="61"/>
      <c r="CQ124" s="61"/>
      <c r="CR124" s="61"/>
      <c r="CS124" s="61"/>
      <c r="CT124" s="61"/>
      <c r="CU124" s="61"/>
      <c r="CV124" s="61"/>
      <c r="CW124" s="61"/>
      <c r="CX124" s="61"/>
      <c r="CY124" s="61"/>
      <c r="CZ124" s="61"/>
      <c r="DA124" s="61"/>
      <c r="DB124" s="61"/>
      <c r="DC124" s="61"/>
      <c r="DD124" s="61"/>
      <c r="DE124" s="61"/>
      <c r="DF124" s="61"/>
      <c r="DG124" s="61"/>
      <c r="DH124" s="61"/>
      <c r="DI124" s="61"/>
      <c r="DJ124" s="61"/>
      <c r="DK124" s="61"/>
      <c r="DL124" s="61"/>
      <c r="DM124" s="61"/>
      <c r="DN124" s="61"/>
      <c r="DO124" s="61"/>
      <c r="DP124" s="61"/>
      <c r="DQ124" s="61"/>
      <c r="DR124" s="61"/>
      <c r="DS124" s="61"/>
      <c r="DT124" s="61"/>
      <c r="DU124" s="61"/>
      <c r="DV124" s="61"/>
      <c r="DW124" s="61"/>
      <c r="DX124" s="61"/>
      <c r="DY124" s="61"/>
      <c r="DZ124" s="61"/>
      <c r="EA124" s="61"/>
      <c r="EB124" s="61"/>
      <c r="EC124" s="61"/>
      <c r="ED124" s="61"/>
      <c r="EE124" s="61"/>
      <c r="EF124" s="61"/>
      <c r="EG124" s="61"/>
      <c r="EH124" s="61"/>
      <c r="EI124" s="61"/>
      <c r="EJ124" s="61"/>
      <c r="EK124" s="61"/>
      <c r="EL124" s="61"/>
      <c r="EM124" s="61"/>
      <c r="EN124" s="61"/>
      <c r="EO124" s="61"/>
      <c r="EP124" s="61"/>
      <c r="EQ124" s="61"/>
      <c r="ER124" s="61"/>
      <c r="ES124" s="61"/>
      <c r="ET124" s="61"/>
      <c r="EU124" s="61"/>
      <c r="EV124" s="61"/>
      <c r="EW124" s="61"/>
      <c r="EX124" s="61"/>
      <c r="EY124" s="61"/>
      <c r="EZ124" s="61"/>
      <c r="FA124" s="61"/>
      <c r="FB124" s="61"/>
      <c r="FC124" s="61"/>
      <c r="FD124" s="61"/>
      <c r="FE124" s="61"/>
      <c r="FF124" s="61"/>
      <c r="FG124" s="61"/>
      <c r="FH124" s="61"/>
      <c r="FI124" s="61"/>
      <c r="FJ124" s="61"/>
      <c r="FK124" s="61"/>
      <c r="FL124" s="61"/>
      <c r="FM124" s="61"/>
      <c r="FN124" s="61"/>
      <c r="FO124" s="61"/>
      <c r="FP124" s="61"/>
      <c r="FQ124" s="61"/>
      <c r="FR124" s="61"/>
      <c r="FS124" s="61"/>
      <c r="FT124" s="61"/>
      <c r="FU124" s="61"/>
      <c r="FV124" s="61"/>
      <c r="FW124" s="61"/>
      <c r="FX124" s="61"/>
      <c r="FY124" s="61"/>
      <c r="FZ124" s="61"/>
      <c r="GA124" s="61"/>
      <c r="GB124" s="61"/>
      <c r="GC124" s="61"/>
      <c r="GD124" s="61"/>
      <c r="GE124" s="61"/>
      <c r="GF124" s="61"/>
      <c r="GG124" s="61"/>
      <c r="GH124" s="61"/>
      <c r="GI124" s="61"/>
      <c r="GJ124" s="61"/>
    </row>
    <row r="125" customFormat="1" ht="16.8" spans="1:192">
      <c r="A125" s="61"/>
      <c r="B125" s="61"/>
      <c r="C125" s="61"/>
      <c r="D125" s="61"/>
      <c r="E125" s="61"/>
      <c r="F125" s="61"/>
      <c r="G125" s="61"/>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c r="AE125" s="61"/>
      <c r="AF125" s="61"/>
      <c r="AG125" s="61"/>
      <c r="AH125" s="61"/>
      <c r="AI125" s="61"/>
      <c r="AJ125" s="61"/>
      <c r="AK125" s="61"/>
      <c r="AL125" s="61"/>
      <c r="AM125" s="61"/>
      <c r="AN125" s="61"/>
      <c r="AO125" s="61"/>
      <c r="AP125" s="61"/>
      <c r="AQ125" s="61"/>
      <c r="AR125" s="61"/>
      <c r="AS125" s="61"/>
      <c r="AT125" s="61"/>
      <c r="AU125" s="61"/>
      <c r="AV125" s="61"/>
      <c r="AW125" s="61"/>
      <c r="AX125" s="61"/>
      <c r="AY125" s="61"/>
      <c r="AZ125" s="61"/>
      <c r="BA125" s="61"/>
      <c r="BB125" s="61"/>
      <c r="BC125" s="61"/>
      <c r="BD125" s="61"/>
      <c r="BE125" s="61"/>
      <c r="BF125" s="61"/>
      <c r="BG125" s="61"/>
      <c r="BH125" s="61"/>
      <c r="BI125" s="61"/>
      <c r="BJ125" s="61"/>
      <c r="BK125" s="61"/>
      <c r="BL125" s="61"/>
      <c r="BM125" s="61"/>
      <c r="BN125" s="61"/>
      <c r="BO125" s="61"/>
      <c r="BP125" s="61"/>
      <c r="BQ125" s="61"/>
      <c r="BR125" s="61"/>
      <c r="BS125" s="61"/>
      <c r="BT125" s="61"/>
      <c r="BU125" s="61"/>
      <c r="BV125" s="61"/>
      <c r="BW125" s="61"/>
      <c r="BX125" s="61"/>
      <c r="BY125" s="61"/>
      <c r="BZ125" s="61"/>
      <c r="CA125" s="61"/>
      <c r="CB125" s="61"/>
      <c r="CC125" s="61"/>
      <c r="CD125" s="61"/>
      <c r="CE125" s="61"/>
      <c r="CF125" s="61"/>
      <c r="CG125" s="61"/>
      <c r="CH125" s="61"/>
      <c r="CI125" s="61"/>
      <c r="CJ125" s="61"/>
      <c r="CK125" s="61"/>
      <c r="CL125" s="61"/>
      <c r="CM125" s="61"/>
      <c r="CN125" s="61"/>
      <c r="CO125" s="61"/>
      <c r="CP125" s="61"/>
      <c r="CQ125" s="61"/>
      <c r="CR125" s="61"/>
      <c r="CS125" s="61"/>
      <c r="CT125" s="61"/>
      <c r="CU125" s="61"/>
      <c r="CV125" s="61"/>
      <c r="CW125" s="61"/>
      <c r="CX125" s="61"/>
      <c r="CY125" s="61"/>
      <c r="CZ125" s="61"/>
      <c r="DA125" s="61"/>
      <c r="DB125" s="61"/>
      <c r="DC125" s="61"/>
      <c r="DD125" s="61"/>
      <c r="DE125" s="61"/>
      <c r="DF125" s="61"/>
      <c r="DG125" s="61"/>
      <c r="DH125" s="61"/>
      <c r="DI125" s="61"/>
      <c r="DJ125" s="61"/>
      <c r="DK125" s="61"/>
      <c r="DL125" s="61"/>
      <c r="DM125" s="61"/>
      <c r="DN125" s="61"/>
      <c r="DO125" s="61"/>
      <c r="DP125" s="61"/>
      <c r="DQ125" s="61"/>
      <c r="DR125" s="61"/>
      <c r="DS125" s="61"/>
      <c r="DT125" s="61"/>
      <c r="DU125" s="61"/>
      <c r="DV125" s="61"/>
      <c r="DW125" s="61"/>
      <c r="DX125" s="61"/>
      <c r="DY125" s="61"/>
      <c r="DZ125" s="61"/>
      <c r="EA125" s="61"/>
      <c r="EB125" s="61"/>
      <c r="EC125" s="61"/>
      <c r="ED125" s="61"/>
      <c r="EE125" s="61"/>
      <c r="EF125" s="61"/>
      <c r="EG125" s="61"/>
      <c r="EH125" s="61"/>
      <c r="EI125" s="61"/>
      <c r="EJ125" s="61"/>
      <c r="EK125" s="61"/>
      <c r="EL125" s="61"/>
      <c r="EM125" s="61"/>
      <c r="EN125" s="61"/>
      <c r="EO125" s="61"/>
      <c r="EP125" s="61"/>
      <c r="EQ125" s="61"/>
      <c r="ER125" s="61"/>
      <c r="ES125" s="61"/>
      <c r="ET125" s="61"/>
      <c r="EU125" s="61"/>
      <c r="EV125" s="61"/>
      <c r="EW125" s="61"/>
      <c r="EX125" s="61"/>
      <c r="EY125" s="61"/>
      <c r="EZ125" s="61"/>
      <c r="FA125" s="61"/>
      <c r="FB125" s="61"/>
      <c r="FC125" s="61"/>
      <c r="FD125" s="61"/>
      <c r="FE125" s="61"/>
      <c r="FF125" s="61"/>
      <c r="FG125" s="61"/>
      <c r="FH125" s="61"/>
      <c r="FI125" s="61"/>
      <c r="FJ125" s="61"/>
      <c r="FK125" s="61"/>
      <c r="FL125" s="61"/>
      <c r="FM125" s="61"/>
      <c r="FN125" s="61"/>
      <c r="FO125" s="61"/>
      <c r="FP125" s="61"/>
      <c r="FQ125" s="61"/>
      <c r="FR125" s="61"/>
      <c r="FS125" s="61"/>
      <c r="FT125" s="61"/>
      <c r="FU125" s="61"/>
      <c r="FV125" s="61"/>
      <c r="FW125" s="61"/>
      <c r="FX125" s="61"/>
      <c r="FY125" s="61"/>
      <c r="FZ125" s="61"/>
      <c r="GA125" s="61"/>
      <c r="GB125" s="61"/>
      <c r="GC125" s="61"/>
      <c r="GD125" s="61"/>
      <c r="GE125" s="61"/>
      <c r="GF125" s="61"/>
      <c r="GG125" s="61"/>
      <c r="GH125" s="61"/>
      <c r="GI125" s="61"/>
      <c r="GJ125" s="61"/>
    </row>
    <row r="126" customFormat="1" ht="16.8" spans="1:192">
      <c r="A126" s="61"/>
      <c r="B126" s="61"/>
      <c r="C126" s="61"/>
      <c r="D126" s="61"/>
      <c r="E126" s="61"/>
      <c r="F126" s="61"/>
      <c r="G126" s="61"/>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c r="AE126" s="61"/>
      <c r="AF126" s="61"/>
      <c r="AG126" s="61"/>
      <c r="AH126" s="61"/>
      <c r="AI126" s="61"/>
      <c r="AJ126" s="61"/>
      <c r="AK126" s="61"/>
      <c r="AL126" s="61"/>
      <c r="AM126" s="61"/>
      <c r="AN126" s="61"/>
      <c r="AO126" s="61"/>
      <c r="AP126" s="61"/>
      <c r="AQ126" s="61"/>
      <c r="AR126" s="61"/>
      <c r="AS126" s="61"/>
      <c r="AT126" s="61"/>
      <c r="AU126" s="61"/>
      <c r="AV126" s="61"/>
      <c r="AW126" s="61"/>
      <c r="AX126" s="61"/>
      <c r="AY126" s="61"/>
      <c r="AZ126" s="61"/>
      <c r="BA126" s="61"/>
      <c r="BB126" s="61"/>
      <c r="BC126" s="61"/>
      <c r="BD126" s="61"/>
      <c r="BE126" s="61"/>
      <c r="BF126" s="61"/>
      <c r="BG126" s="61"/>
      <c r="BH126" s="61"/>
      <c r="BI126" s="61"/>
      <c r="BJ126" s="61"/>
      <c r="BK126" s="61"/>
      <c r="BL126" s="61"/>
      <c r="BM126" s="61"/>
      <c r="BN126" s="61"/>
      <c r="BO126" s="61"/>
      <c r="BP126" s="61"/>
      <c r="BQ126" s="61"/>
      <c r="BR126" s="61"/>
      <c r="BS126" s="61"/>
      <c r="BT126" s="61"/>
      <c r="BU126" s="61"/>
      <c r="BV126" s="61"/>
      <c r="BW126" s="61"/>
      <c r="BX126" s="61"/>
      <c r="BY126" s="61"/>
      <c r="BZ126" s="61"/>
      <c r="CA126" s="61"/>
      <c r="CB126" s="61"/>
      <c r="CC126" s="61"/>
      <c r="CD126" s="61"/>
      <c r="CE126" s="61"/>
      <c r="CF126" s="61"/>
      <c r="CG126" s="61"/>
      <c r="CH126" s="61"/>
      <c r="CI126" s="61"/>
      <c r="CJ126" s="61"/>
      <c r="CK126" s="61"/>
      <c r="CL126" s="61"/>
      <c r="CM126" s="61"/>
      <c r="CN126" s="61"/>
      <c r="CO126" s="61"/>
      <c r="CP126" s="61"/>
      <c r="CQ126" s="61"/>
      <c r="CR126" s="61"/>
      <c r="CS126" s="61"/>
      <c r="CT126" s="61"/>
      <c r="CU126" s="61"/>
      <c r="CV126" s="61"/>
      <c r="CW126" s="61"/>
      <c r="CX126" s="61"/>
      <c r="CY126" s="61"/>
      <c r="CZ126" s="61"/>
      <c r="DA126" s="61"/>
      <c r="DB126" s="61"/>
      <c r="DC126" s="61"/>
      <c r="DD126" s="61"/>
      <c r="DE126" s="61"/>
      <c r="DF126" s="61"/>
      <c r="DG126" s="61"/>
      <c r="DH126" s="61"/>
      <c r="DI126" s="61"/>
      <c r="DJ126" s="61"/>
      <c r="DK126" s="61"/>
      <c r="DL126" s="61"/>
      <c r="DM126" s="61"/>
      <c r="DN126" s="61"/>
      <c r="DO126" s="61"/>
      <c r="DP126" s="61"/>
      <c r="DQ126" s="61"/>
      <c r="DR126" s="61"/>
      <c r="DS126" s="61"/>
      <c r="DT126" s="61"/>
      <c r="DU126" s="61"/>
      <c r="DV126" s="61"/>
      <c r="DW126" s="61"/>
      <c r="DX126" s="61"/>
      <c r="DY126" s="61"/>
      <c r="DZ126" s="61"/>
      <c r="EA126" s="61"/>
      <c r="EB126" s="61"/>
      <c r="EC126" s="61"/>
      <c r="ED126" s="61"/>
      <c r="EE126" s="61"/>
      <c r="EF126" s="61"/>
      <c r="EG126" s="61"/>
      <c r="EH126" s="61"/>
      <c r="EI126" s="61"/>
      <c r="EJ126" s="61"/>
      <c r="EK126" s="61"/>
      <c r="EL126" s="61"/>
      <c r="EM126" s="61"/>
      <c r="EN126" s="61"/>
      <c r="EO126" s="61"/>
      <c r="EP126" s="61"/>
      <c r="EQ126" s="61"/>
      <c r="ER126" s="61"/>
      <c r="ES126" s="61"/>
      <c r="ET126" s="61"/>
      <c r="EU126" s="61"/>
      <c r="EV126" s="61"/>
      <c r="EW126" s="61"/>
      <c r="EX126" s="61"/>
      <c r="EY126" s="61"/>
      <c r="EZ126" s="61"/>
      <c r="FA126" s="61"/>
      <c r="FB126" s="61"/>
      <c r="FC126" s="61"/>
      <c r="FD126" s="61"/>
      <c r="FE126" s="61"/>
      <c r="FF126" s="61"/>
      <c r="FG126" s="61"/>
      <c r="FH126" s="61"/>
      <c r="FI126" s="61"/>
      <c r="FJ126" s="61"/>
      <c r="FK126" s="61"/>
      <c r="FL126" s="61"/>
      <c r="FM126" s="61"/>
      <c r="FN126" s="61"/>
      <c r="FO126" s="61"/>
      <c r="FP126" s="61"/>
      <c r="FQ126" s="61"/>
      <c r="FR126" s="61"/>
      <c r="FS126" s="61"/>
      <c r="FT126" s="61"/>
      <c r="FU126" s="61"/>
      <c r="FV126" s="61"/>
      <c r="FW126" s="61"/>
      <c r="FX126" s="61"/>
      <c r="FY126" s="61"/>
      <c r="FZ126" s="61"/>
      <c r="GA126" s="61"/>
      <c r="GB126" s="61"/>
      <c r="GC126" s="61"/>
      <c r="GD126" s="61"/>
      <c r="GE126" s="61"/>
      <c r="GF126" s="61"/>
      <c r="GG126" s="61"/>
      <c r="GH126" s="61"/>
      <c r="GI126" s="61"/>
      <c r="GJ126" s="61"/>
    </row>
    <row r="127" customFormat="1" ht="16.8" spans="1:192">
      <c r="A127" s="61"/>
      <c r="B127" s="61"/>
      <c r="C127" s="61"/>
      <c r="D127" s="61"/>
      <c r="E127" s="61"/>
      <c r="F127" s="61"/>
      <c r="G127" s="61"/>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c r="AE127" s="61"/>
      <c r="AF127" s="61"/>
      <c r="AG127" s="61"/>
      <c r="AH127" s="61"/>
      <c r="AI127" s="61"/>
      <c r="AJ127" s="61"/>
      <c r="AK127" s="61"/>
      <c r="AL127" s="61"/>
      <c r="AM127" s="61"/>
      <c r="AN127" s="61"/>
      <c r="AO127" s="61"/>
      <c r="AP127" s="61"/>
      <c r="AQ127" s="61"/>
      <c r="AR127" s="61"/>
      <c r="AS127" s="61"/>
      <c r="AT127" s="61"/>
      <c r="AU127" s="61"/>
      <c r="AV127" s="61"/>
      <c r="AW127" s="61"/>
      <c r="AX127" s="61"/>
      <c r="AY127" s="61"/>
      <c r="AZ127" s="61"/>
      <c r="BA127" s="61"/>
      <c r="BB127" s="61"/>
      <c r="BC127" s="61"/>
      <c r="BD127" s="61"/>
      <c r="BE127" s="61"/>
      <c r="BF127" s="61"/>
      <c r="BG127" s="61"/>
      <c r="BH127" s="61"/>
      <c r="BI127" s="61"/>
      <c r="BJ127" s="61"/>
      <c r="BK127" s="61"/>
      <c r="BL127" s="61"/>
      <c r="BM127" s="61"/>
      <c r="BN127" s="61"/>
      <c r="BO127" s="61"/>
      <c r="BP127" s="61"/>
      <c r="BQ127" s="61"/>
      <c r="BR127" s="61"/>
      <c r="BS127" s="61"/>
      <c r="BT127" s="61"/>
      <c r="BU127" s="61"/>
      <c r="BV127" s="61"/>
      <c r="BW127" s="61"/>
      <c r="BX127" s="61"/>
      <c r="BY127" s="61"/>
      <c r="BZ127" s="61"/>
      <c r="CA127" s="61"/>
      <c r="CB127" s="61"/>
      <c r="CC127" s="61"/>
      <c r="CD127" s="61"/>
      <c r="CE127" s="61"/>
      <c r="CF127" s="61"/>
      <c r="CG127" s="61"/>
      <c r="CH127" s="61"/>
      <c r="CI127" s="61"/>
      <c r="CJ127" s="61"/>
      <c r="CK127" s="61"/>
      <c r="CL127" s="61"/>
      <c r="CM127" s="61"/>
      <c r="CN127" s="61"/>
      <c r="CO127" s="61"/>
      <c r="CP127" s="61"/>
      <c r="CQ127" s="61"/>
      <c r="CR127" s="61"/>
      <c r="CS127" s="61"/>
      <c r="CT127" s="61"/>
      <c r="CU127" s="61"/>
      <c r="CV127" s="61"/>
      <c r="CW127" s="61"/>
      <c r="CX127" s="61"/>
      <c r="CY127" s="61"/>
      <c r="CZ127" s="61"/>
      <c r="DA127" s="61"/>
      <c r="DB127" s="61"/>
      <c r="DC127" s="61"/>
      <c r="DD127" s="61"/>
      <c r="DE127" s="61"/>
      <c r="DF127" s="61"/>
      <c r="DG127" s="61"/>
      <c r="DH127" s="61"/>
      <c r="DI127" s="61"/>
      <c r="DJ127" s="61"/>
      <c r="DK127" s="61"/>
      <c r="DL127" s="61"/>
      <c r="DM127" s="61"/>
      <c r="DN127" s="61"/>
      <c r="DO127" s="61"/>
      <c r="DP127" s="61"/>
      <c r="DQ127" s="61"/>
      <c r="DR127" s="61"/>
      <c r="DS127" s="61"/>
      <c r="DT127" s="61"/>
      <c r="DU127" s="61"/>
      <c r="DV127" s="61"/>
      <c r="DW127" s="61"/>
      <c r="DX127" s="61"/>
      <c r="DY127" s="61"/>
      <c r="DZ127" s="61"/>
      <c r="EA127" s="61"/>
      <c r="EB127" s="61"/>
      <c r="EC127" s="61"/>
      <c r="ED127" s="61"/>
      <c r="EE127" s="61"/>
      <c r="EF127" s="61"/>
      <c r="EG127" s="61"/>
      <c r="EH127" s="61"/>
      <c r="EI127" s="61"/>
      <c r="EJ127" s="61"/>
      <c r="EK127" s="61"/>
      <c r="EL127" s="61"/>
      <c r="EM127" s="61"/>
      <c r="EN127" s="61"/>
      <c r="EO127" s="61"/>
      <c r="EP127" s="61"/>
      <c r="EQ127" s="61"/>
      <c r="ER127" s="61"/>
      <c r="ES127" s="61"/>
      <c r="ET127" s="61"/>
      <c r="EU127" s="61"/>
      <c r="EV127" s="61"/>
      <c r="EW127" s="61"/>
      <c r="EX127" s="61"/>
      <c r="EY127" s="61"/>
      <c r="EZ127" s="61"/>
      <c r="FA127" s="61"/>
      <c r="FB127" s="61"/>
      <c r="FC127" s="61"/>
      <c r="FD127" s="61"/>
      <c r="FE127" s="61"/>
      <c r="FF127" s="61"/>
      <c r="FG127" s="61"/>
      <c r="FH127" s="61"/>
      <c r="FI127" s="61"/>
      <c r="FJ127" s="61"/>
      <c r="FK127" s="61"/>
      <c r="FL127" s="61"/>
      <c r="FM127" s="61"/>
      <c r="FN127" s="61"/>
      <c r="FO127" s="61"/>
      <c r="FP127" s="61"/>
      <c r="FQ127" s="61"/>
      <c r="FR127" s="61"/>
      <c r="FS127" s="61"/>
      <c r="FT127" s="61"/>
      <c r="FU127" s="61"/>
      <c r="FV127" s="61"/>
      <c r="FW127" s="61"/>
      <c r="FX127" s="61"/>
      <c r="FY127" s="61"/>
      <c r="FZ127" s="61"/>
      <c r="GA127" s="61"/>
      <c r="GB127" s="61"/>
      <c r="GC127" s="61"/>
      <c r="GD127" s="61"/>
      <c r="GE127" s="61"/>
      <c r="GF127" s="61"/>
      <c r="GG127" s="61"/>
      <c r="GH127" s="61"/>
      <c r="GI127" s="61"/>
      <c r="GJ127" s="61"/>
    </row>
    <row r="128" customFormat="1" ht="16.8" spans="1:192">
      <c r="A128" s="61"/>
      <c r="B128" s="61"/>
      <c r="C128" s="61"/>
      <c r="D128" s="61"/>
      <c r="E128" s="61"/>
      <c r="F128" s="61"/>
      <c r="G128" s="61"/>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c r="AE128" s="61"/>
      <c r="AF128" s="61"/>
      <c r="AG128" s="61"/>
      <c r="AH128" s="61"/>
      <c r="AI128" s="61"/>
      <c r="AJ128" s="61"/>
      <c r="AK128" s="61"/>
      <c r="AL128" s="61"/>
      <c r="AM128" s="61"/>
      <c r="AN128" s="61"/>
      <c r="AO128" s="61"/>
      <c r="AP128" s="61"/>
      <c r="AQ128" s="61"/>
      <c r="AR128" s="61"/>
      <c r="AS128" s="61"/>
      <c r="AT128" s="61"/>
      <c r="AU128" s="61"/>
      <c r="AV128" s="61"/>
      <c r="AW128" s="61"/>
      <c r="AX128" s="61"/>
      <c r="AY128" s="61"/>
      <c r="AZ128" s="61"/>
      <c r="BA128" s="61"/>
      <c r="BB128" s="61"/>
      <c r="BC128" s="61"/>
      <c r="BD128" s="61"/>
      <c r="BE128" s="61"/>
      <c r="BF128" s="61"/>
      <c r="BG128" s="61"/>
      <c r="BH128" s="61"/>
      <c r="BI128" s="61"/>
      <c r="BJ128" s="61"/>
      <c r="BK128" s="61"/>
      <c r="BL128" s="61"/>
      <c r="BM128" s="61"/>
      <c r="BN128" s="61"/>
      <c r="BO128" s="61"/>
      <c r="BP128" s="61"/>
      <c r="BQ128" s="61"/>
      <c r="BR128" s="61"/>
      <c r="BS128" s="61"/>
      <c r="BT128" s="61"/>
      <c r="BU128" s="61"/>
      <c r="BV128" s="61"/>
      <c r="BW128" s="61"/>
      <c r="BX128" s="61"/>
      <c r="BY128" s="61"/>
      <c r="BZ128" s="61"/>
      <c r="CA128" s="61"/>
      <c r="CB128" s="61"/>
      <c r="CC128" s="61"/>
      <c r="CD128" s="61"/>
      <c r="CE128" s="61"/>
      <c r="CF128" s="61"/>
      <c r="CG128" s="61"/>
      <c r="CH128" s="61"/>
      <c r="CI128" s="61"/>
      <c r="CJ128" s="61"/>
      <c r="CK128" s="61"/>
      <c r="CL128" s="61"/>
      <c r="CM128" s="61"/>
      <c r="CN128" s="61"/>
      <c r="CO128" s="61"/>
      <c r="CP128" s="61"/>
      <c r="CQ128" s="61"/>
      <c r="CR128" s="61"/>
      <c r="CS128" s="61"/>
      <c r="CT128" s="61"/>
      <c r="CU128" s="61"/>
      <c r="CV128" s="61"/>
      <c r="CW128" s="61"/>
      <c r="CX128" s="61"/>
      <c r="CY128" s="61"/>
      <c r="CZ128" s="61"/>
      <c r="DA128" s="61"/>
      <c r="DB128" s="61"/>
      <c r="DC128" s="61"/>
      <c r="DD128" s="61"/>
      <c r="DE128" s="61"/>
      <c r="DF128" s="61"/>
      <c r="DG128" s="61"/>
      <c r="DH128" s="61"/>
      <c r="DI128" s="61"/>
      <c r="DJ128" s="61"/>
      <c r="DK128" s="61"/>
      <c r="DL128" s="61"/>
      <c r="DM128" s="61"/>
      <c r="DN128" s="61"/>
      <c r="DO128" s="61"/>
      <c r="DP128" s="61"/>
      <c r="DQ128" s="61"/>
      <c r="DR128" s="61"/>
      <c r="DS128" s="61"/>
      <c r="DT128" s="61"/>
      <c r="DU128" s="61"/>
      <c r="DV128" s="61"/>
      <c r="DW128" s="61"/>
      <c r="DX128" s="61"/>
      <c r="DY128" s="61"/>
      <c r="DZ128" s="61"/>
      <c r="EA128" s="61"/>
      <c r="EB128" s="61"/>
      <c r="EC128" s="61"/>
      <c r="ED128" s="61"/>
      <c r="EE128" s="61"/>
      <c r="EF128" s="61"/>
      <c r="EG128" s="61"/>
      <c r="EH128" s="61"/>
      <c r="EI128" s="61"/>
      <c r="EJ128" s="61"/>
      <c r="EK128" s="61"/>
      <c r="EL128" s="61"/>
      <c r="EM128" s="61"/>
      <c r="EN128" s="61"/>
      <c r="EO128" s="61"/>
      <c r="EP128" s="61"/>
      <c r="EQ128" s="61"/>
      <c r="ER128" s="61"/>
      <c r="ES128" s="61"/>
      <c r="ET128" s="61"/>
      <c r="EU128" s="61"/>
      <c r="EV128" s="61"/>
      <c r="EW128" s="61"/>
      <c r="EX128" s="61"/>
      <c r="EY128" s="61"/>
      <c r="EZ128" s="61"/>
      <c r="FA128" s="61"/>
      <c r="FB128" s="61"/>
      <c r="FC128" s="61"/>
      <c r="FD128" s="61"/>
      <c r="FE128" s="61"/>
      <c r="FF128" s="61"/>
      <c r="FG128" s="61"/>
      <c r="FH128" s="61"/>
      <c r="FI128" s="61"/>
      <c r="FJ128" s="61"/>
      <c r="FK128" s="61"/>
      <c r="FL128" s="61"/>
      <c r="FM128" s="61"/>
      <c r="FN128" s="61"/>
      <c r="FO128" s="61"/>
      <c r="FP128" s="61"/>
      <c r="FQ128" s="61"/>
      <c r="FR128" s="61"/>
      <c r="FS128" s="61"/>
      <c r="FT128" s="61"/>
      <c r="FU128" s="61"/>
      <c r="FV128" s="61"/>
      <c r="FW128" s="61"/>
      <c r="FX128" s="61"/>
      <c r="FY128" s="61"/>
      <c r="FZ128" s="61"/>
      <c r="GA128" s="61"/>
      <c r="GB128" s="61"/>
      <c r="GC128" s="61"/>
      <c r="GD128" s="61"/>
      <c r="GE128" s="61"/>
      <c r="GF128" s="61"/>
      <c r="GG128" s="61"/>
      <c r="GH128" s="61"/>
      <c r="GI128" s="61"/>
      <c r="GJ128" s="61"/>
    </row>
    <row r="129" customFormat="1" ht="16.8" spans="1:192">
      <c r="A129" s="61"/>
      <c r="B129" s="61"/>
      <c r="C129" s="61"/>
      <c r="D129" s="61"/>
      <c r="E129" s="61"/>
      <c r="F129" s="61"/>
      <c r="G129" s="61"/>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c r="AE129" s="61"/>
      <c r="AF129" s="61"/>
      <c r="AG129" s="61"/>
      <c r="AH129" s="61"/>
      <c r="AI129" s="61"/>
      <c r="AJ129" s="61"/>
      <c r="AK129" s="61"/>
      <c r="AL129" s="61"/>
      <c r="AM129" s="61"/>
      <c r="AN129" s="61"/>
      <c r="AO129" s="61"/>
      <c r="AP129" s="61"/>
      <c r="AQ129" s="61"/>
      <c r="AR129" s="61"/>
      <c r="AS129" s="61"/>
      <c r="AT129" s="61"/>
      <c r="AU129" s="61"/>
      <c r="AV129" s="61"/>
      <c r="AW129" s="61"/>
      <c r="AX129" s="61"/>
      <c r="AY129" s="61"/>
      <c r="AZ129" s="61"/>
      <c r="BA129" s="61"/>
      <c r="BB129" s="61"/>
      <c r="BC129" s="61"/>
      <c r="BD129" s="61"/>
      <c r="BE129" s="61"/>
      <c r="BF129" s="61"/>
      <c r="BG129" s="61"/>
      <c r="BH129" s="61"/>
      <c r="BI129" s="61"/>
      <c r="BJ129" s="61"/>
      <c r="BK129" s="61"/>
      <c r="BL129" s="61"/>
      <c r="BM129" s="61"/>
      <c r="BN129" s="61"/>
      <c r="BO129" s="61"/>
      <c r="BP129" s="61"/>
      <c r="BQ129" s="61"/>
      <c r="BR129" s="61"/>
      <c r="BS129" s="61"/>
      <c r="BT129" s="61"/>
      <c r="BU129" s="61"/>
      <c r="BV129" s="61"/>
      <c r="BW129" s="61"/>
      <c r="BX129" s="61"/>
      <c r="BY129" s="61"/>
      <c r="BZ129" s="61"/>
      <c r="CA129" s="61"/>
      <c r="CB129" s="61"/>
      <c r="CC129" s="61"/>
      <c r="CD129" s="61"/>
      <c r="CE129" s="61"/>
      <c r="CF129" s="61"/>
      <c r="CG129" s="61"/>
      <c r="CH129" s="61"/>
      <c r="CI129" s="61"/>
      <c r="CJ129" s="61"/>
      <c r="CK129" s="61"/>
      <c r="CL129" s="61"/>
      <c r="CM129" s="61"/>
      <c r="CN129" s="61"/>
      <c r="CO129" s="61"/>
      <c r="CP129" s="61"/>
      <c r="CQ129" s="61"/>
      <c r="CR129" s="61"/>
      <c r="CS129" s="61"/>
      <c r="CT129" s="61"/>
      <c r="CU129" s="61"/>
      <c r="CV129" s="61"/>
      <c r="CW129" s="61"/>
      <c r="CX129" s="61"/>
      <c r="CY129" s="61"/>
      <c r="CZ129" s="61"/>
      <c r="DA129" s="61"/>
      <c r="DB129" s="61"/>
      <c r="DC129" s="61"/>
      <c r="DD129" s="61"/>
      <c r="DE129" s="61"/>
      <c r="DF129" s="61"/>
      <c r="DG129" s="61"/>
      <c r="DH129" s="61"/>
      <c r="DI129" s="61"/>
      <c r="DJ129" s="61"/>
      <c r="DK129" s="61"/>
      <c r="DL129" s="61"/>
      <c r="DM129" s="61"/>
      <c r="DN129" s="61"/>
      <c r="DO129" s="61"/>
      <c r="DP129" s="61"/>
      <c r="DQ129" s="61"/>
      <c r="DR129" s="61"/>
      <c r="DS129" s="61"/>
      <c r="DT129" s="61"/>
      <c r="DU129" s="61"/>
      <c r="DV129" s="61"/>
      <c r="DW129" s="61"/>
      <c r="DX129" s="61"/>
      <c r="DY129" s="61"/>
      <c r="DZ129" s="61"/>
      <c r="EA129" s="61"/>
      <c r="EB129" s="61"/>
      <c r="EC129" s="61"/>
      <c r="ED129" s="61"/>
      <c r="EE129" s="61"/>
      <c r="EF129" s="61"/>
      <c r="EG129" s="61"/>
      <c r="EH129" s="61"/>
      <c r="EI129" s="61"/>
      <c r="EJ129" s="61"/>
      <c r="EK129" s="61"/>
      <c r="EL129" s="61"/>
      <c r="EM129" s="61"/>
      <c r="EN129" s="61"/>
      <c r="EO129" s="61"/>
      <c r="EP129" s="61"/>
      <c r="EQ129" s="61"/>
      <c r="ER129" s="61"/>
      <c r="ES129" s="61"/>
      <c r="ET129" s="61"/>
      <c r="EU129" s="61"/>
      <c r="EV129" s="61"/>
      <c r="EW129" s="61"/>
      <c r="EX129" s="61"/>
      <c r="EY129" s="61"/>
      <c r="EZ129" s="61"/>
      <c r="FA129" s="61"/>
      <c r="FB129" s="61"/>
      <c r="FC129" s="61"/>
      <c r="FD129" s="61"/>
      <c r="FE129" s="61"/>
      <c r="FF129" s="61"/>
      <c r="FG129" s="61"/>
      <c r="FH129" s="61"/>
      <c r="FI129" s="61"/>
      <c r="FJ129" s="61"/>
      <c r="FK129" s="61"/>
      <c r="FL129" s="61"/>
      <c r="FM129" s="61"/>
      <c r="FN129" s="61"/>
      <c r="FO129" s="61"/>
      <c r="FP129" s="61"/>
      <c r="FQ129" s="61"/>
      <c r="FR129" s="61"/>
      <c r="FS129" s="61"/>
      <c r="FT129" s="61"/>
      <c r="FU129" s="61"/>
      <c r="FV129" s="61"/>
      <c r="FW129" s="61"/>
      <c r="FX129" s="61"/>
      <c r="FY129" s="61"/>
      <c r="FZ129" s="61"/>
      <c r="GA129" s="61"/>
      <c r="GB129" s="61"/>
      <c r="GC129" s="61"/>
      <c r="GD129" s="61"/>
      <c r="GE129" s="61"/>
      <c r="GF129" s="61"/>
      <c r="GG129" s="61"/>
      <c r="GH129" s="61"/>
      <c r="GI129" s="61"/>
      <c r="GJ129" s="61"/>
    </row>
    <row r="130" customFormat="1" ht="16.8" spans="1:192">
      <c r="A130" s="61"/>
      <c r="B130" s="61"/>
      <c r="C130" s="61"/>
      <c r="D130" s="61"/>
      <c r="E130" s="61"/>
      <c r="F130" s="61"/>
      <c r="G130" s="61"/>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c r="AE130" s="61"/>
      <c r="AF130" s="61"/>
      <c r="AG130" s="61"/>
      <c r="AH130" s="61"/>
      <c r="AI130" s="61"/>
      <c r="AJ130" s="61"/>
      <c r="AK130" s="61"/>
      <c r="AL130" s="61"/>
      <c r="AM130" s="61"/>
      <c r="AN130" s="61"/>
      <c r="AO130" s="61"/>
      <c r="AP130" s="61"/>
      <c r="AQ130" s="61"/>
      <c r="AR130" s="61"/>
      <c r="AS130" s="61"/>
      <c r="AT130" s="61"/>
      <c r="AU130" s="61"/>
      <c r="AV130" s="61"/>
      <c r="AW130" s="61"/>
      <c r="AX130" s="61"/>
      <c r="AY130" s="61"/>
      <c r="AZ130" s="61"/>
      <c r="BA130" s="61"/>
      <c r="BB130" s="61"/>
      <c r="BC130" s="61"/>
      <c r="BD130" s="61"/>
      <c r="BE130" s="61"/>
      <c r="BF130" s="61"/>
      <c r="BG130" s="61"/>
      <c r="BH130" s="61"/>
      <c r="BI130" s="61"/>
      <c r="BJ130" s="61"/>
      <c r="BK130" s="61"/>
      <c r="BL130" s="61"/>
      <c r="BM130" s="61"/>
      <c r="BN130" s="61"/>
      <c r="BO130" s="61"/>
      <c r="BP130" s="61"/>
      <c r="BQ130" s="61"/>
      <c r="BR130" s="61"/>
      <c r="BS130" s="61"/>
      <c r="BT130" s="61"/>
      <c r="BU130" s="61"/>
      <c r="BV130" s="61"/>
      <c r="BW130" s="61"/>
      <c r="BX130" s="61"/>
      <c r="BY130" s="61"/>
      <c r="BZ130" s="61"/>
      <c r="CA130" s="61"/>
      <c r="CB130" s="61"/>
      <c r="CC130" s="61"/>
      <c r="CD130" s="61"/>
      <c r="CE130" s="61"/>
      <c r="CF130" s="61"/>
      <c r="CG130" s="61"/>
      <c r="CH130" s="61"/>
      <c r="CI130" s="61"/>
      <c r="CJ130" s="61"/>
      <c r="CK130" s="61"/>
      <c r="CL130" s="61"/>
      <c r="CM130" s="61"/>
      <c r="CN130" s="61"/>
      <c r="CO130" s="61"/>
      <c r="CP130" s="61"/>
      <c r="CQ130" s="61"/>
      <c r="CR130" s="61"/>
      <c r="CS130" s="61"/>
      <c r="CT130" s="61"/>
      <c r="CU130" s="61"/>
      <c r="CV130" s="61"/>
      <c r="CW130" s="61"/>
      <c r="CX130" s="61"/>
      <c r="CY130" s="61"/>
      <c r="CZ130" s="61"/>
      <c r="DA130" s="61"/>
      <c r="DB130" s="61"/>
      <c r="DC130" s="61"/>
      <c r="DD130" s="61"/>
      <c r="DE130" s="61"/>
      <c r="DF130" s="61"/>
      <c r="DG130" s="61"/>
      <c r="DH130" s="61"/>
      <c r="DI130" s="61"/>
      <c r="DJ130" s="61"/>
      <c r="DK130" s="61"/>
      <c r="DL130" s="61"/>
      <c r="DM130" s="61"/>
      <c r="DN130" s="61"/>
      <c r="DO130" s="61"/>
      <c r="DP130" s="61"/>
      <c r="DQ130" s="61"/>
      <c r="DR130" s="61"/>
      <c r="DS130" s="61"/>
      <c r="DT130" s="61"/>
      <c r="DU130" s="61"/>
      <c r="DV130" s="61"/>
      <c r="DW130" s="61"/>
      <c r="DX130" s="61"/>
      <c r="DY130" s="61"/>
      <c r="DZ130" s="61"/>
      <c r="EA130" s="61"/>
      <c r="EB130" s="61"/>
      <c r="EC130" s="61"/>
      <c r="ED130" s="61"/>
      <c r="EE130" s="61"/>
      <c r="EF130" s="61"/>
      <c r="EG130" s="61"/>
      <c r="EH130" s="61"/>
      <c r="EI130" s="61"/>
      <c r="EJ130" s="61"/>
      <c r="EK130" s="61"/>
      <c r="EL130" s="61"/>
      <c r="EM130" s="61"/>
      <c r="EN130" s="61"/>
      <c r="EO130" s="61"/>
      <c r="EP130" s="61"/>
      <c r="EQ130" s="61"/>
      <c r="ER130" s="61"/>
      <c r="ES130" s="61"/>
      <c r="ET130" s="61"/>
      <c r="EU130" s="61"/>
      <c r="EV130" s="61"/>
      <c r="EW130" s="61"/>
      <c r="EX130" s="61"/>
      <c r="EY130" s="61"/>
      <c r="EZ130" s="61"/>
      <c r="FA130" s="61"/>
      <c r="FB130" s="61"/>
      <c r="FC130" s="61"/>
      <c r="FD130" s="61"/>
      <c r="FE130" s="61"/>
      <c r="FF130" s="61"/>
      <c r="FG130" s="61"/>
      <c r="FH130" s="61"/>
      <c r="FI130" s="61"/>
      <c r="FJ130" s="61"/>
      <c r="FK130" s="61"/>
      <c r="FL130" s="61"/>
      <c r="FM130" s="61"/>
      <c r="FN130" s="61"/>
      <c r="FO130" s="61"/>
      <c r="FP130" s="61"/>
      <c r="FQ130" s="61"/>
      <c r="FR130" s="61"/>
      <c r="FS130" s="61"/>
      <c r="FT130" s="61"/>
      <c r="FU130" s="61"/>
      <c r="FV130" s="61"/>
      <c r="FW130" s="61"/>
      <c r="FX130" s="61"/>
      <c r="FY130" s="61"/>
      <c r="FZ130" s="61"/>
      <c r="GA130" s="61"/>
      <c r="GB130" s="61"/>
      <c r="GC130" s="61"/>
      <c r="GD130" s="61"/>
      <c r="GE130" s="61"/>
      <c r="GF130" s="61"/>
      <c r="GG130" s="61"/>
      <c r="GH130" s="61"/>
      <c r="GI130" s="61"/>
      <c r="GJ130" s="61"/>
    </row>
    <row r="131" customFormat="1" ht="16.8" spans="1:192">
      <c r="A131" s="61"/>
      <c r="B131" s="61"/>
      <c r="C131" s="61"/>
      <c r="D131" s="61"/>
      <c r="E131" s="61"/>
      <c r="F131" s="61"/>
      <c r="G131" s="61"/>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c r="AE131" s="61"/>
      <c r="AF131" s="61"/>
      <c r="AG131" s="61"/>
      <c r="AH131" s="61"/>
      <c r="AI131" s="61"/>
      <c r="AJ131" s="61"/>
      <c r="AK131" s="61"/>
      <c r="AL131" s="61"/>
      <c r="AM131" s="61"/>
      <c r="AN131" s="61"/>
      <c r="AO131" s="61"/>
      <c r="AP131" s="61"/>
      <c r="AQ131" s="61"/>
      <c r="AR131" s="61"/>
      <c r="AS131" s="61"/>
      <c r="AT131" s="61"/>
      <c r="AU131" s="61"/>
      <c r="AV131" s="61"/>
      <c r="AW131" s="61"/>
      <c r="AX131" s="61"/>
      <c r="AY131" s="61"/>
      <c r="AZ131" s="61"/>
      <c r="BA131" s="61"/>
      <c r="BB131" s="61"/>
      <c r="BC131" s="61"/>
      <c r="BD131" s="61"/>
      <c r="BE131" s="61"/>
      <c r="BF131" s="61"/>
      <c r="BG131" s="61"/>
      <c r="BH131" s="61"/>
      <c r="BI131" s="61"/>
      <c r="BJ131" s="61"/>
      <c r="BK131" s="61"/>
      <c r="BL131" s="61"/>
      <c r="BM131" s="61"/>
      <c r="BN131" s="61"/>
      <c r="BO131" s="61"/>
      <c r="BP131" s="61"/>
      <c r="BQ131" s="61"/>
      <c r="BR131" s="61"/>
      <c r="BS131" s="61"/>
      <c r="BT131" s="61"/>
      <c r="BU131" s="61"/>
      <c r="BV131" s="61"/>
      <c r="BW131" s="61"/>
      <c r="BX131" s="61"/>
      <c r="BY131" s="61"/>
      <c r="BZ131" s="61"/>
      <c r="CA131" s="61"/>
      <c r="CB131" s="61"/>
      <c r="CC131" s="61"/>
      <c r="CD131" s="61"/>
      <c r="CE131" s="61"/>
      <c r="CF131" s="61"/>
      <c r="CG131" s="61"/>
      <c r="CH131" s="61"/>
      <c r="CI131" s="61"/>
      <c r="CJ131" s="61"/>
      <c r="CK131" s="61"/>
      <c r="CL131" s="61"/>
      <c r="CM131" s="61"/>
      <c r="CN131" s="61"/>
      <c r="CO131" s="61"/>
      <c r="CP131" s="61"/>
      <c r="CQ131" s="61"/>
      <c r="CR131" s="61"/>
      <c r="CS131" s="61"/>
      <c r="CT131" s="61"/>
      <c r="CU131" s="61"/>
      <c r="CV131" s="61"/>
      <c r="CW131" s="61"/>
      <c r="CX131" s="61"/>
      <c r="CY131" s="61"/>
      <c r="CZ131" s="61"/>
      <c r="DA131" s="61"/>
      <c r="DB131" s="61"/>
      <c r="DC131" s="61"/>
      <c r="DD131" s="61"/>
      <c r="DE131" s="61"/>
      <c r="DF131" s="61"/>
      <c r="DG131" s="61"/>
      <c r="DH131" s="61"/>
      <c r="DI131" s="61"/>
      <c r="DJ131" s="61"/>
      <c r="DK131" s="61"/>
      <c r="DL131" s="61"/>
      <c r="DM131" s="61"/>
      <c r="DN131" s="61"/>
      <c r="DO131" s="61"/>
      <c r="DP131" s="61"/>
      <c r="DQ131" s="61"/>
      <c r="DR131" s="61"/>
      <c r="DS131" s="61"/>
      <c r="DT131" s="61"/>
      <c r="DU131" s="61"/>
      <c r="DV131" s="61"/>
      <c r="DW131" s="61"/>
      <c r="DX131" s="61"/>
      <c r="DY131" s="61"/>
      <c r="DZ131" s="61"/>
      <c r="EA131" s="61"/>
      <c r="EB131" s="61"/>
      <c r="EC131" s="61"/>
      <c r="ED131" s="61"/>
      <c r="EE131" s="61"/>
      <c r="EF131" s="61"/>
      <c r="EG131" s="61"/>
      <c r="EH131" s="61"/>
      <c r="EI131" s="61"/>
      <c r="EJ131" s="61"/>
      <c r="EK131" s="61"/>
      <c r="EL131" s="61"/>
      <c r="EM131" s="61"/>
      <c r="EN131" s="61"/>
      <c r="EO131" s="61"/>
      <c r="EP131" s="61"/>
      <c r="EQ131" s="61"/>
      <c r="ER131" s="61"/>
      <c r="ES131" s="61"/>
      <c r="ET131" s="61"/>
      <c r="EU131" s="61"/>
      <c r="EV131" s="61"/>
      <c r="EW131" s="61"/>
      <c r="EX131" s="61"/>
      <c r="EY131" s="61"/>
      <c r="EZ131" s="61"/>
      <c r="FA131" s="61"/>
      <c r="FB131" s="61"/>
      <c r="FC131" s="61"/>
      <c r="FD131" s="61"/>
      <c r="FE131" s="61"/>
      <c r="FF131" s="61"/>
      <c r="FG131" s="61"/>
      <c r="FH131" s="61"/>
      <c r="FI131" s="61"/>
      <c r="FJ131" s="61"/>
      <c r="FK131" s="61"/>
      <c r="FL131" s="61"/>
      <c r="FM131" s="61"/>
      <c r="FN131" s="61"/>
      <c r="FO131" s="61"/>
      <c r="FP131" s="61"/>
      <c r="FQ131" s="61"/>
      <c r="FR131" s="61"/>
      <c r="FS131" s="61"/>
      <c r="FT131" s="61"/>
      <c r="FU131" s="61"/>
      <c r="FV131" s="61"/>
      <c r="FW131" s="61"/>
      <c r="FX131" s="61"/>
      <c r="FY131" s="61"/>
      <c r="FZ131" s="61"/>
      <c r="GA131" s="61"/>
      <c r="GB131" s="61"/>
      <c r="GC131" s="61"/>
      <c r="GD131" s="61"/>
      <c r="GE131" s="61"/>
      <c r="GF131" s="61"/>
      <c r="GG131" s="61"/>
      <c r="GH131" s="61"/>
      <c r="GI131" s="61"/>
      <c r="GJ131" s="61"/>
    </row>
    <row r="132" customFormat="1" ht="16.8" spans="1:192">
      <c r="A132" s="61"/>
      <c r="B132" s="61"/>
      <c r="C132" s="61"/>
      <c r="D132" s="61"/>
      <c r="E132" s="61"/>
      <c r="F132" s="61"/>
      <c r="G132" s="61"/>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c r="AE132" s="61"/>
      <c r="AF132" s="61"/>
      <c r="AG132" s="61"/>
      <c r="AH132" s="61"/>
      <c r="AI132" s="61"/>
      <c r="AJ132" s="61"/>
      <c r="AK132" s="61"/>
      <c r="AL132" s="61"/>
      <c r="AM132" s="61"/>
      <c r="AN132" s="61"/>
      <c r="AO132" s="61"/>
      <c r="AP132" s="61"/>
      <c r="AQ132" s="61"/>
      <c r="AR132" s="61"/>
      <c r="AS132" s="61"/>
      <c r="AT132" s="61"/>
      <c r="AU132" s="61"/>
      <c r="AV132" s="61"/>
      <c r="AW132" s="61"/>
      <c r="AX132" s="61"/>
      <c r="AY132" s="61"/>
      <c r="AZ132" s="61"/>
      <c r="BA132" s="61"/>
      <c r="BB132" s="61"/>
      <c r="BC132" s="61"/>
      <c r="BD132" s="61"/>
      <c r="BE132" s="61"/>
      <c r="BF132" s="61"/>
      <c r="BG132" s="61"/>
      <c r="BH132" s="61"/>
      <c r="BI132" s="61"/>
      <c r="BJ132" s="61"/>
      <c r="BK132" s="61"/>
      <c r="BL132" s="61"/>
      <c r="BM132" s="61"/>
      <c r="BN132" s="61"/>
      <c r="BO132" s="61"/>
      <c r="BP132" s="61"/>
      <c r="BQ132" s="61"/>
      <c r="BR132" s="61"/>
      <c r="BS132" s="61"/>
      <c r="BT132" s="61"/>
      <c r="BU132" s="61"/>
      <c r="BV132" s="61"/>
      <c r="BW132" s="61"/>
      <c r="BX132" s="61"/>
      <c r="BY132" s="61"/>
      <c r="BZ132" s="61"/>
      <c r="CA132" s="61"/>
      <c r="CB132" s="61"/>
      <c r="CC132" s="61"/>
      <c r="CD132" s="61"/>
      <c r="CE132" s="61"/>
      <c r="CF132" s="61"/>
      <c r="CG132" s="61"/>
      <c r="CH132" s="61"/>
      <c r="CI132" s="61"/>
      <c r="CJ132" s="61"/>
      <c r="CK132" s="61"/>
      <c r="CL132" s="61"/>
      <c r="CM132" s="61"/>
      <c r="CN132" s="61"/>
      <c r="CO132" s="61"/>
      <c r="CP132" s="61"/>
      <c r="CQ132" s="61"/>
      <c r="CR132" s="61"/>
      <c r="CS132" s="61"/>
      <c r="CT132" s="61"/>
      <c r="CU132" s="61"/>
      <c r="CV132" s="61"/>
      <c r="CW132" s="61"/>
      <c r="CX132" s="61"/>
      <c r="CY132" s="61"/>
      <c r="CZ132" s="61"/>
      <c r="DA132" s="61"/>
      <c r="DB132" s="61"/>
      <c r="DC132" s="61"/>
      <c r="DD132" s="61"/>
      <c r="DE132" s="61"/>
      <c r="DF132" s="61"/>
      <c r="DG132" s="61"/>
      <c r="DH132" s="61"/>
      <c r="DI132" s="61"/>
      <c r="DJ132" s="61"/>
      <c r="DK132" s="61"/>
      <c r="DL132" s="61"/>
      <c r="DM132" s="61"/>
      <c r="DN132" s="61"/>
      <c r="DO132" s="61"/>
      <c r="DP132" s="61"/>
      <c r="DQ132" s="61"/>
      <c r="DR132" s="61"/>
      <c r="DS132" s="61"/>
      <c r="DT132" s="61"/>
      <c r="DU132" s="61"/>
      <c r="DV132" s="61"/>
      <c r="DW132" s="61"/>
      <c r="DX132" s="61"/>
      <c r="DY132" s="61"/>
      <c r="DZ132" s="61"/>
      <c r="EA132" s="61"/>
      <c r="EB132" s="61"/>
      <c r="EC132" s="61"/>
      <c r="ED132" s="61"/>
      <c r="EE132" s="61"/>
      <c r="EF132" s="61"/>
      <c r="EG132" s="61"/>
      <c r="EH132" s="61"/>
      <c r="EI132" s="61"/>
      <c r="EJ132" s="61"/>
      <c r="EK132" s="61"/>
      <c r="EL132" s="61"/>
      <c r="EM132" s="61"/>
      <c r="EN132" s="61"/>
      <c r="EO132" s="61"/>
      <c r="EP132" s="61"/>
      <c r="EQ132" s="61"/>
      <c r="ER132" s="61"/>
      <c r="ES132" s="61"/>
      <c r="ET132" s="61"/>
      <c r="EU132" s="61"/>
      <c r="EV132" s="61"/>
      <c r="EW132" s="61"/>
      <c r="EX132" s="61"/>
      <c r="EY132" s="61"/>
      <c r="EZ132" s="61"/>
      <c r="FA132" s="61"/>
      <c r="FB132" s="61"/>
      <c r="FC132" s="61"/>
      <c r="FD132" s="61"/>
      <c r="FE132" s="61"/>
      <c r="FF132" s="61"/>
      <c r="FG132" s="61"/>
      <c r="FH132" s="61"/>
      <c r="FI132" s="61"/>
      <c r="FJ132" s="61"/>
      <c r="FK132" s="61"/>
      <c r="FL132" s="61"/>
      <c r="FM132" s="61"/>
      <c r="FN132" s="61"/>
      <c r="FO132" s="61"/>
      <c r="FP132" s="61"/>
      <c r="FQ132" s="61"/>
      <c r="FR132" s="61"/>
      <c r="FS132" s="61"/>
      <c r="FT132" s="61"/>
      <c r="FU132" s="61"/>
      <c r="FV132" s="61"/>
      <c r="FW132" s="61"/>
      <c r="FX132" s="61"/>
      <c r="FY132" s="61"/>
      <c r="FZ132" s="61"/>
      <c r="GA132" s="61"/>
      <c r="GB132" s="61"/>
      <c r="GC132" s="61"/>
      <c r="GD132" s="61"/>
      <c r="GE132" s="61"/>
      <c r="GF132" s="61"/>
      <c r="GG132" s="61"/>
      <c r="GH132" s="61"/>
      <c r="GI132" s="61"/>
      <c r="GJ132" s="61"/>
    </row>
    <row r="133" customFormat="1" ht="16.8" spans="1:192">
      <c r="A133" s="61"/>
      <c r="B133" s="61"/>
      <c r="C133" s="61"/>
      <c r="D133" s="61"/>
      <c r="E133" s="61"/>
      <c r="F133" s="61"/>
      <c r="G133" s="61"/>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c r="AE133" s="61"/>
      <c r="AF133" s="61"/>
      <c r="AG133" s="61"/>
      <c r="AH133" s="61"/>
      <c r="AI133" s="61"/>
      <c r="AJ133" s="61"/>
      <c r="AK133" s="61"/>
      <c r="AL133" s="61"/>
      <c r="AM133" s="61"/>
      <c r="AN133" s="61"/>
      <c r="AO133" s="61"/>
      <c r="AP133" s="61"/>
      <c r="AQ133" s="61"/>
      <c r="AR133" s="61"/>
      <c r="AS133" s="61"/>
      <c r="AT133" s="61"/>
      <c r="AU133" s="61"/>
      <c r="AV133" s="61"/>
      <c r="AW133" s="61"/>
      <c r="AX133" s="61"/>
      <c r="AY133" s="61"/>
      <c r="AZ133" s="61"/>
      <c r="BA133" s="61"/>
      <c r="BB133" s="61"/>
      <c r="BC133" s="61"/>
      <c r="BD133" s="61"/>
      <c r="BE133" s="61"/>
      <c r="BF133" s="61"/>
      <c r="BG133" s="61"/>
      <c r="BH133" s="61"/>
      <c r="BI133" s="61"/>
      <c r="BJ133" s="61"/>
      <c r="BK133" s="61"/>
      <c r="BL133" s="61"/>
      <c r="BM133" s="61"/>
      <c r="BN133" s="61"/>
      <c r="BO133" s="61"/>
      <c r="BP133" s="61"/>
      <c r="BQ133" s="61"/>
      <c r="BR133" s="61"/>
      <c r="BS133" s="61"/>
      <c r="BT133" s="61"/>
      <c r="BU133" s="61"/>
      <c r="BV133" s="61"/>
      <c r="BW133" s="61"/>
      <c r="BX133" s="61"/>
      <c r="BY133" s="61"/>
      <c r="BZ133" s="61"/>
      <c r="CA133" s="61"/>
      <c r="CB133" s="61"/>
      <c r="CC133" s="61"/>
      <c r="CD133" s="61"/>
      <c r="CE133" s="61"/>
      <c r="CF133" s="61"/>
      <c r="CG133" s="61"/>
      <c r="CH133" s="61"/>
      <c r="CI133" s="61"/>
      <c r="CJ133" s="61"/>
      <c r="CK133" s="61"/>
      <c r="CL133" s="61"/>
      <c r="CM133" s="61"/>
      <c r="CN133" s="61"/>
      <c r="CO133" s="61"/>
      <c r="CP133" s="61"/>
      <c r="CQ133" s="61"/>
      <c r="CR133" s="61"/>
      <c r="CS133" s="61"/>
      <c r="CT133" s="61"/>
      <c r="CU133" s="61"/>
      <c r="CV133" s="61"/>
      <c r="CW133" s="61"/>
      <c r="CX133" s="61"/>
      <c r="CY133" s="61"/>
      <c r="CZ133" s="61"/>
      <c r="DA133" s="61"/>
      <c r="DB133" s="61"/>
      <c r="DC133" s="61"/>
      <c r="DD133" s="61"/>
      <c r="DE133" s="61"/>
      <c r="DF133" s="61"/>
      <c r="DG133" s="61"/>
      <c r="DH133" s="61"/>
      <c r="DI133" s="61"/>
      <c r="DJ133" s="61"/>
      <c r="DK133" s="61"/>
      <c r="DL133" s="61"/>
      <c r="DM133" s="61"/>
      <c r="DN133" s="61"/>
      <c r="DO133" s="61"/>
      <c r="DP133" s="61"/>
      <c r="DQ133" s="61"/>
      <c r="DR133" s="61"/>
      <c r="DS133" s="61"/>
      <c r="DT133" s="61"/>
      <c r="DU133" s="61"/>
      <c r="DV133" s="61"/>
      <c r="DW133" s="61"/>
      <c r="DX133" s="61"/>
      <c r="DY133" s="61"/>
      <c r="DZ133" s="61"/>
      <c r="EA133" s="61"/>
      <c r="EB133" s="61"/>
      <c r="EC133" s="61"/>
      <c r="ED133" s="61"/>
      <c r="EE133" s="61"/>
      <c r="EF133" s="61"/>
      <c r="EG133" s="61"/>
      <c r="EH133" s="61"/>
      <c r="EI133" s="61"/>
      <c r="EJ133" s="61"/>
      <c r="EK133" s="61"/>
      <c r="EL133" s="61"/>
      <c r="EM133" s="61"/>
      <c r="EN133" s="61"/>
      <c r="EO133" s="61"/>
      <c r="EP133" s="61"/>
      <c r="EQ133" s="61"/>
      <c r="ER133" s="61"/>
      <c r="ES133" s="61"/>
      <c r="ET133" s="61"/>
      <c r="EU133" s="61"/>
      <c r="EV133" s="61"/>
      <c r="EW133" s="61"/>
      <c r="EX133" s="61"/>
      <c r="EY133" s="61"/>
      <c r="EZ133" s="61"/>
      <c r="FA133" s="61"/>
      <c r="FB133" s="61"/>
      <c r="FC133" s="61"/>
      <c r="FD133" s="61"/>
      <c r="FE133" s="61"/>
      <c r="FF133" s="61"/>
      <c r="FG133" s="61"/>
      <c r="FH133" s="61"/>
      <c r="FI133" s="61"/>
      <c r="FJ133" s="61"/>
      <c r="FK133" s="61"/>
      <c r="FL133" s="61"/>
      <c r="FM133" s="61"/>
      <c r="FN133" s="61"/>
      <c r="FO133" s="61"/>
      <c r="FP133" s="61"/>
      <c r="FQ133" s="61"/>
      <c r="FR133" s="61"/>
      <c r="FS133" s="61"/>
      <c r="FT133" s="61"/>
      <c r="FU133" s="61"/>
      <c r="FV133" s="61"/>
      <c r="FW133" s="61"/>
      <c r="FX133" s="61"/>
      <c r="FY133" s="61"/>
      <c r="FZ133" s="61"/>
      <c r="GA133" s="61"/>
      <c r="GB133" s="61"/>
      <c r="GC133" s="61"/>
      <c r="GD133" s="61"/>
      <c r="GE133" s="61"/>
      <c r="GF133" s="61"/>
      <c r="GG133" s="61"/>
      <c r="GH133" s="61"/>
      <c r="GI133" s="61"/>
      <c r="GJ133" s="61"/>
    </row>
    <row r="134" customFormat="1" ht="16.8" spans="1:192">
      <c r="A134" s="61"/>
      <c r="B134" s="61"/>
      <c r="C134" s="61"/>
      <c r="D134" s="61"/>
      <c r="E134" s="61"/>
      <c r="F134" s="61"/>
      <c r="G134" s="61"/>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c r="AE134" s="61"/>
      <c r="AF134" s="61"/>
      <c r="AG134" s="61"/>
      <c r="AH134" s="61"/>
      <c r="AI134" s="61"/>
      <c r="AJ134" s="61"/>
      <c r="AK134" s="61"/>
      <c r="AL134" s="61"/>
      <c r="AM134" s="61"/>
      <c r="AN134" s="61"/>
      <c r="AO134" s="61"/>
      <c r="AP134" s="61"/>
      <c r="AQ134" s="61"/>
      <c r="AR134" s="61"/>
      <c r="AS134" s="61"/>
      <c r="AT134" s="61"/>
      <c r="AU134" s="61"/>
      <c r="AV134" s="61"/>
      <c r="AW134" s="61"/>
      <c r="AX134" s="61"/>
      <c r="AY134" s="61"/>
      <c r="AZ134" s="61"/>
      <c r="BA134" s="61"/>
      <c r="BB134" s="61"/>
      <c r="BC134" s="61"/>
      <c r="BD134" s="61"/>
      <c r="BE134" s="61"/>
      <c r="BF134" s="61"/>
      <c r="BG134" s="61"/>
      <c r="BH134" s="61"/>
      <c r="BI134" s="61"/>
      <c r="BJ134" s="61"/>
      <c r="BK134" s="61"/>
      <c r="BL134" s="61"/>
      <c r="BM134" s="61"/>
      <c r="BN134" s="61"/>
      <c r="BO134" s="61"/>
      <c r="BP134" s="61"/>
      <c r="BQ134" s="61"/>
      <c r="BR134" s="61"/>
      <c r="BS134" s="61"/>
      <c r="BT134" s="61"/>
      <c r="BU134" s="61"/>
      <c r="BV134" s="61"/>
      <c r="BW134" s="61"/>
      <c r="BX134" s="61"/>
      <c r="BY134" s="61"/>
      <c r="BZ134" s="61"/>
      <c r="CA134" s="61"/>
      <c r="CB134" s="61"/>
      <c r="CC134" s="61"/>
      <c r="CD134" s="61"/>
      <c r="CE134" s="61"/>
      <c r="CF134" s="61"/>
      <c r="CG134" s="61"/>
      <c r="CH134" s="61"/>
      <c r="CI134" s="61"/>
      <c r="CJ134" s="61"/>
      <c r="CK134" s="61"/>
      <c r="CL134" s="61"/>
      <c r="CM134" s="61"/>
      <c r="CN134" s="61"/>
      <c r="CO134" s="61"/>
      <c r="CP134" s="61"/>
      <c r="CQ134" s="61"/>
      <c r="CR134" s="61"/>
      <c r="CS134" s="61"/>
      <c r="CT134" s="61"/>
      <c r="CU134" s="61"/>
      <c r="CV134" s="61"/>
      <c r="CW134" s="61"/>
      <c r="CX134" s="61"/>
      <c r="CY134" s="61"/>
      <c r="CZ134" s="61"/>
      <c r="DA134" s="61"/>
      <c r="DB134" s="61"/>
      <c r="DC134" s="61"/>
      <c r="DD134" s="61"/>
      <c r="DE134" s="61"/>
      <c r="DF134" s="61"/>
      <c r="DG134" s="61"/>
      <c r="DH134" s="61"/>
      <c r="DI134" s="61"/>
      <c r="DJ134" s="61"/>
      <c r="DK134" s="61"/>
      <c r="DL134" s="61"/>
      <c r="DM134" s="61"/>
      <c r="DN134" s="61"/>
      <c r="DO134" s="61"/>
      <c r="DP134" s="61"/>
      <c r="DQ134" s="61"/>
      <c r="DR134" s="61"/>
      <c r="DS134" s="61"/>
      <c r="DT134" s="61"/>
      <c r="DU134" s="61"/>
      <c r="DV134" s="61"/>
      <c r="DW134" s="61"/>
      <c r="DX134" s="61"/>
      <c r="DY134" s="61"/>
      <c r="DZ134" s="61"/>
      <c r="EA134" s="61"/>
      <c r="EB134" s="61"/>
      <c r="EC134" s="61"/>
      <c r="ED134" s="61"/>
      <c r="EE134" s="61"/>
      <c r="EF134" s="61"/>
      <c r="EG134" s="61"/>
      <c r="EH134" s="61"/>
      <c r="EI134" s="61"/>
      <c r="EJ134" s="61"/>
      <c r="EK134" s="61"/>
      <c r="EL134" s="61"/>
      <c r="EM134" s="61"/>
      <c r="EN134" s="61"/>
      <c r="EO134" s="61"/>
      <c r="EP134" s="61"/>
      <c r="EQ134" s="61"/>
      <c r="ER134" s="61"/>
      <c r="ES134" s="61"/>
      <c r="ET134" s="61"/>
      <c r="EU134" s="61"/>
      <c r="EV134" s="61"/>
      <c r="EW134" s="61"/>
      <c r="EX134" s="61"/>
      <c r="EY134" s="61"/>
      <c r="EZ134" s="61"/>
      <c r="FA134" s="61"/>
      <c r="FB134" s="61"/>
      <c r="FC134" s="61"/>
      <c r="FD134" s="61"/>
      <c r="FE134" s="61"/>
      <c r="FF134" s="61"/>
      <c r="FG134" s="61"/>
      <c r="FH134" s="61"/>
      <c r="FI134" s="61"/>
      <c r="FJ134" s="61"/>
      <c r="FK134" s="61"/>
      <c r="FL134" s="61"/>
      <c r="FM134" s="61"/>
      <c r="FN134" s="61"/>
      <c r="FO134" s="61"/>
      <c r="FP134" s="61"/>
      <c r="FQ134" s="61"/>
      <c r="FR134" s="61"/>
      <c r="FS134" s="61"/>
      <c r="FT134" s="61"/>
      <c r="FU134" s="61"/>
      <c r="FV134" s="61"/>
      <c r="FW134" s="61"/>
      <c r="FX134" s="61"/>
      <c r="FY134" s="61"/>
      <c r="FZ134" s="61"/>
      <c r="GA134" s="61"/>
      <c r="GB134" s="61"/>
      <c r="GC134" s="61"/>
      <c r="GD134" s="61"/>
      <c r="GE134" s="61"/>
      <c r="GF134" s="61"/>
      <c r="GG134" s="61"/>
      <c r="GH134" s="61"/>
      <c r="GI134" s="61"/>
      <c r="GJ134" s="61"/>
    </row>
    <row r="135" customFormat="1" ht="16.8" spans="1:192">
      <c r="A135" s="61"/>
      <c r="B135" s="61"/>
      <c r="C135" s="61"/>
      <c r="D135" s="61"/>
      <c r="E135" s="61"/>
      <c r="F135" s="61"/>
      <c r="G135" s="61"/>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c r="AE135" s="61"/>
      <c r="AF135" s="61"/>
      <c r="AG135" s="61"/>
      <c r="AH135" s="61"/>
      <c r="AI135" s="61"/>
      <c r="AJ135" s="61"/>
      <c r="AK135" s="61"/>
      <c r="AL135" s="61"/>
      <c r="AM135" s="61"/>
      <c r="AN135" s="61"/>
      <c r="AO135" s="61"/>
      <c r="AP135" s="61"/>
      <c r="AQ135" s="61"/>
      <c r="AR135" s="61"/>
      <c r="AS135" s="61"/>
      <c r="AT135" s="61"/>
      <c r="AU135" s="61"/>
      <c r="AV135" s="61"/>
      <c r="AW135" s="61"/>
      <c r="AX135" s="61"/>
      <c r="AY135" s="61"/>
      <c r="AZ135" s="61"/>
      <c r="BA135" s="61"/>
      <c r="BB135" s="61"/>
      <c r="BC135" s="61"/>
      <c r="BD135" s="61"/>
      <c r="BE135" s="61"/>
      <c r="BF135" s="61"/>
      <c r="BG135" s="61"/>
      <c r="BH135" s="61"/>
      <c r="BI135" s="61"/>
      <c r="BJ135" s="61"/>
      <c r="BK135" s="61"/>
      <c r="BL135" s="61"/>
      <c r="BM135" s="61"/>
      <c r="BN135" s="61"/>
      <c r="BO135" s="61"/>
      <c r="BP135" s="61"/>
      <c r="BQ135" s="61"/>
      <c r="BR135" s="61"/>
      <c r="BS135" s="61"/>
      <c r="BT135" s="61"/>
      <c r="BU135" s="61"/>
      <c r="BV135" s="61"/>
      <c r="BW135" s="61"/>
      <c r="BX135" s="61"/>
      <c r="BY135" s="61"/>
      <c r="BZ135" s="61"/>
      <c r="CA135" s="61"/>
      <c r="CB135" s="61"/>
      <c r="CC135" s="61"/>
      <c r="CD135" s="61"/>
      <c r="CE135" s="61"/>
      <c r="CF135" s="61"/>
      <c r="CG135" s="61"/>
      <c r="CH135" s="61"/>
      <c r="CI135" s="61"/>
      <c r="CJ135" s="61"/>
      <c r="CK135" s="61"/>
      <c r="CL135" s="61"/>
      <c r="CM135" s="61"/>
      <c r="CN135" s="61"/>
      <c r="CO135" s="61"/>
      <c r="CP135" s="61"/>
      <c r="CQ135" s="61"/>
      <c r="CR135" s="61"/>
      <c r="CS135" s="61"/>
      <c r="CT135" s="61"/>
      <c r="CU135" s="61"/>
      <c r="CV135" s="61"/>
      <c r="CW135" s="61"/>
      <c r="CX135" s="61"/>
      <c r="CY135" s="61"/>
      <c r="CZ135" s="61"/>
      <c r="DA135" s="61"/>
      <c r="DB135" s="61"/>
      <c r="DC135" s="61"/>
      <c r="DD135" s="61"/>
      <c r="DE135" s="61"/>
      <c r="DF135" s="61"/>
      <c r="DG135" s="61"/>
      <c r="DH135" s="61"/>
      <c r="DI135" s="61"/>
      <c r="DJ135" s="61"/>
      <c r="DK135" s="61"/>
      <c r="DL135" s="61"/>
      <c r="DM135" s="61"/>
      <c r="DN135" s="61"/>
      <c r="DO135" s="61"/>
      <c r="DP135" s="61"/>
      <c r="DQ135" s="61"/>
      <c r="DR135" s="61"/>
      <c r="DS135" s="61"/>
      <c r="DT135" s="61"/>
      <c r="DU135" s="61"/>
      <c r="DV135" s="61"/>
      <c r="DW135" s="61"/>
      <c r="DX135" s="61"/>
      <c r="DY135" s="61"/>
      <c r="DZ135" s="61"/>
      <c r="EA135" s="61"/>
      <c r="EB135" s="61"/>
      <c r="EC135" s="61"/>
      <c r="ED135" s="61"/>
      <c r="EE135" s="61"/>
      <c r="EF135" s="61"/>
      <c r="EG135" s="61"/>
      <c r="EH135" s="61"/>
      <c r="EI135" s="61"/>
      <c r="EJ135" s="61"/>
      <c r="EK135" s="61"/>
      <c r="EL135" s="61"/>
      <c r="EM135" s="61"/>
      <c r="EN135" s="61"/>
      <c r="EO135" s="61"/>
      <c r="EP135" s="61"/>
      <c r="EQ135" s="61"/>
      <c r="ER135" s="61"/>
      <c r="ES135" s="61"/>
      <c r="ET135" s="61"/>
      <c r="EU135" s="61"/>
      <c r="EV135" s="61"/>
      <c r="EW135" s="61"/>
      <c r="EX135" s="61"/>
      <c r="EY135" s="61"/>
      <c r="EZ135" s="61"/>
      <c r="FA135" s="61"/>
      <c r="FB135" s="61"/>
      <c r="FC135" s="61"/>
      <c r="FD135" s="61"/>
      <c r="FE135" s="61"/>
      <c r="FF135" s="61"/>
      <c r="FG135" s="61"/>
      <c r="FH135" s="61"/>
      <c r="FI135" s="61"/>
      <c r="FJ135" s="61"/>
      <c r="FK135" s="61"/>
      <c r="FL135" s="61"/>
      <c r="FM135" s="61"/>
      <c r="FN135" s="61"/>
      <c r="FO135" s="61"/>
      <c r="FP135" s="61"/>
      <c r="FQ135" s="61"/>
      <c r="FR135" s="61"/>
      <c r="FS135" s="61"/>
      <c r="FT135" s="61"/>
      <c r="FU135" s="61"/>
      <c r="FV135" s="61"/>
      <c r="FW135" s="61"/>
      <c r="FX135" s="61"/>
      <c r="FY135" s="61"/>
      <c r="FZ135" s="61"/>
      <c r="GA135" s="61"/>
      <c r="GB135" s="61"/>
      <c r="GC135" s="61"/>
      <c r="GD135" s="61"/>
      <c r="GE135" s="61"/>
      <c r="GF135" s="61"/>
      <c r="GG135" s="61"/>
      <c r="GH135" s="61"/>
      <c r="GI135" s="61"/>
      <c r="GJ135" s="61"/>
    </row>
    <row r="136" customFormat="1" ht="16.8" spans="1:192">
      <c r="A136" s="61"/>
      <c r="B136" s="61"/>
      <c r="C136" s="61"/>
      <c r="D136" s="61"/>
      <c r="E136" s="61"/>
      <c r="F136" s="61"/>
      <c r="G136" s="61"/>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c r="AE136" s="61"/>
      <c r="AF136" s="61"/>
      <c r="AG136" s="61"/>
      <c r="AH136" s="61"/>
      <c r="AI136" s="61"/>
      <c r="AJ136" s="61"/>
      <c r="AK136" s="61"/>
      <c r="AL136" s="61"/>
      <c r="AM136" s="61"/>
      <c r="AN136" s="61"/>
      <c r="AO136" s="61"/>
      <c r="AP136" s="61"/>
      <c r="AQ136" s="61"/>
      <c r="AR136" s="61"/>
      <c r="AS136" s="61"/>
      <c r="AT136" s="61"/>
      <c r="AU136" s="61"/>
      <c r="AV136" s="61"/>
      <c r="AW136" s="61"/>
      <c r="AX136" s="61"/>
      <c r="AY136" s="61"/>
      <c r="AZ136" s="61"/>
      <c r="BA136" s="61"/>
      <c r="BB136" s="61"/>
      <c r="BC136" s="61"/>
      <c r="BD136" s="61"/>
      <c r="BE136" s="61"/>
      <c r="BF136" s="61"/>
      <c r="BG136" s="61"/>
      <c r="BH136" s="61"/>
      <c r="BI136" s="61"/>
      <c r="BJ136" s="61"/>
      <c r="BK136" s="61"/>
      <c r="BL136" s="61"/>
      <c r="BM136" s="61"/>
      <c r="BN136" s="61"/>
      <c r="BO136" s="61"/>
      <c r="BP136" s="61"/>
      <c r="BQ136" s="61"/>
      <c r="BR136" s="61"/>
      <c r="BS136" s="61"/>
      <c r="BT136" s="61"/>
      <c r="BU136" s="61"/>
      <c r="BV136" s="61"/>
      <c r="BW136" s="61"/>
      <c r="BX136" s="61"/>
      <c r="BY136" s="61"/>
      <c r="BZ136" s="61"/>
      <c r="CA136" s="61"/>
      <c r="CB136" s="61"/>
      <c r="CC136" s="61"/>
      <c r="CD136" s="61"/>
      <c r="CE136" s="61"/>
      <c r="CF136" s="61"/>
      <c r="CG136" s="61"/>
      <c r="CH136" s="61"/>
      <c r="CI136" s="61"/>
      <c r="CJ136" s="61"/>
      <c r="CK136" s="61"/>
      <c r="CL136" s="61"/>
      <c r="CM136" s="61"/>
      <c r="CN136" s="61"/>
      <c r="CO136" s="61"/>
      <c r="CP136" s="61"/>
      <c r="CQ136" s="61"/>
      <c r="CR136" s="61"/>
      <c r="CS136" s="61"/>
      <c r="CT136" s="61"/>
      <c r="CU136" s="61"/>
      <c r="CV136" s="61"/>
      <c r="CW136" s="61"/>
      <c r="CX136" s="61"/>
      <c r="CY136" s="61"/>
      <c r="CZ136" s="61"/>
      <c r="DA136" s="61"/>
      <c r="DB136" s="61"/>
      <c r="DC136" s="61"/>
      <c r="DD136" s="61"/>
      <c r="DE136" s="61"/>
      <c r="DF136" s="61"/>
      <c r="DG136" s="61"/>
      <c r="DH136" s="61"/>
      <c r="DI136" s="61"/>
      <c r="DJ136" s="61"/>
      <c r="DK136" s="61"/>
      <c r="DL136" s="61"/>
      <c r="DM136" s="61"/>
      <c r="DN136" s="61"/>
      <c r="DO136" s="61"/>
      <c r="DP136" s="61"/>
      <c r="DQ136" s="61"/>
      <c r="DR136" s="61"/>
      <c r="DS136" s="61"/>
      <c r="DT136" s="61"/>
      <c r="DU136" s="61"/>
      <c r="DV136" s="61"/>
      <c r="DW136" s="61"/>
      <c r="DX136" s="61"/>
      <c r="DY136" s="61"/>
      <c r="DZ136" s="61"/>
      <c r="EA136" s="61"/>
      <c r="EB136" s="61"/>
      <c r="EC136" s="61"/>
      <c r="ED136" s="61"/>
      <c r="EE136" s="61"/>
      <c r="EF136" s="61"/>
      <c r="EG136" s="61"/>
      <c r="EH136" s="61"/>
      <c r="EI136" s="61"/>
      <c r="EJ136" s="61"/>
      <c r="EK136" s="61"/>
      <c r="EL136" s="61"/>
      <c r="EM136" s="61"/>
      <c r="EN136" s="61"/>
      <c r="EO136" s="61"/>
      <c r="EP136" s="61"/>
      <c r="EQ136" s="61"/>
      <c r="ER136" s="61"/>
      <c r="ES136" s="61"/>
      <c r="ET136" s="61"/>
      <c r="EU136" s="61"/>
      <c r="EV136" s="61"/>
      <c r="EW136" s="61"/>
      <c r="EX136" s="61"/>
      <c r="EY136" s="61"/>
      <c r="EZ136" s="61"/>
      <c r="FA136" s="61"/>
      <c r="FB136" s="61"/>
      <c r="FC136" s="61"/>
      <c r="FD136" s="61"/>
      <c r="FE136" s="61"/>
      <c r="FF136" s="61"/>
      <c r="FG136" s="61"/>
      <c r="FH136" s="61"/>
      <c r="FI136" s="61"/>
      <c r="FJ136" s="61"/>
      <c r="FK136" s="61"/>
      <c r="FL136" s="61"/>
      <c r="FM136" s="61"/>
      <c r="FN136" s="61"/>
      <c r="FO136" s="61"/>
      <c r="FP136" s="61"/>
      <c r="FQ136" s="61"/>
      <c r="FR136" s="61"/>
      <c r="FS136" s="61"/>
      <c r="FT136" s="61"/>
      <c r="FU136" s="61"/>
      <c r="FV136" s="61"/>
      <c r="FW136" s="61"/>
      <c r="FX136" s="61"/>
      <c r="FY136" s="61"/>
      <c r="FZ136" s="61"/>
      <c r="GA136" s="61"/>
      <c r="GB136" s="61"/>
      <c r="GC136" s="61"/>
      <c r="GD136" s="61"/>
      <c r="GE136" s="61"/>
      <c r="GF136" s="61"/>
      <c r="GG136" s="61"/>
      <c r="GH136" s="61"/>
      <c r="GI136" s="61"/>
      <c r="GJ136" s="61"/>
    </row>
    <row r="137" customFormat="1" ht="16.8" spans="1:192">
      <c r="A137" s="61"/>
      <c r="B137" s="61"/>
      <c r="C137" s="61"/>
      <c r="D137" s="61"/>
      <c r="E137" s="61"/>
      <c r="F137" s="61"/>
      <c r="G137" s="61"/>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c r="AE137" s="61"/>
      <c r="AF137" s="61"/>
      <c r="AG137" s="61"/>
      <c r="AH137" s="61"/>
      <c r="AI137" s="61"/>
      <c r="AJ137" s="61"/>
      <c r="AK137" s="61"/>
      <c r="AL137" s="61"/>
      <c r="AM137" s="61"/>
      <c r="AN137" s="61"/>
      <c r="AO137" s="61"/>
      <c r="AP137" s="61"/>
      <c r="AQ137" s="61"/>
      <c r="AR137" s="61"/>
      <c r="AS137" s="61"/>
      <c r="AT137" s="61"/>
      <c r="AU137" s="61"/>
      <c r="AV137" s="61"/>
      <c r="AW137" s="61"/>
      <c r="AX137" s="61"/>
      <c r="AY137" s="61"/>
      <c r="AZ137" s="61"/>
      <c r="BA137" s="61"/>
      <c r="BB137" s="61"/>
      <c r="BC137" s="61"/>
      <c r="BD137" s="61"/>
      <c r="BE137" s="61"/>
      <c r="BF137" s="61"/>
      <c r="BG137" s="61"/>
      <c r="BH137" s="61"/>
      <c r="BI137" s="61"/>
      <c r="BJ137" s="61"/>
      <c r="BK137" s="61"/>
      <c r="BL137" s="61"/>
      <c r="BM137" s="61"/>
      <c r="BN137" s="61"/>
      <c r="BO137" s="61"/>
      <c r="BP137" s="61"/>
      <c r="BQ137" s="61"/>
      <c r="BR137" s="61"/>
      <c r="BS137" s="61"/>
      <c r="BT137" s="61"/>
      <c r="BU137" s="61"/>
      <c r="BV137" s="61"/>
      <c r="BW137" s="61"/>
      <c r="BX137" s="61"/>
      <c r="BY137" s="61"/>
      <c r="BZ137" s="61"/>
      <c r="CA137" s="61"/>
      <c r="CB137" s="61"/>
      <c r="CC137" s="61"/>
      <c r="CD137" s="61"/>
      <c r="CE137" s="61"/>
      <c r="CF137" s="61"/>
      <c r="CG137" s="61"/>
      <c r="CH137" s="61"/>
      <c r="CI137" s="61"/>
      <c r="CJ137" s="61"/>
      <c r="CK137" s="61"/>
      <c r="CL137" s="61"/>
      <c r="CM137" s="61"/>
      <c r="CN137" s="61"/>
      <c r="CO137" s="61"/>
      <c r="CP137" s="61"/>
      <c r="CQ137" s="61"/>
      <c r="CR137" s="61"/>
      <c r="CS137" s="61"/>
      <c r="CT137" s="61"/>
      <c r="CU137" s="61"/>
      <c r="CV137" s="61"/>
      <c r="CW137" s="61"/>
      <c r="CX137" s="61"/>
      <c r="CY137" s="61"/>
      <c r="CZ137" s="61"/>
      <c r="DA137" s="61"/>
      <c r="DB137" s="61"/>
      <c r="DC137" s="61"/>
      <c r="DD137" s="61"/>
      <c r="DE137" s="61"/>
      <c r="DF137" s="61"/>
      <c r="DG137" s="61"/>
      <c r="DH137" s="61"/>
      <c r="DI137" s="61"/>
      <c r="DJ137" s="61"/>
      <c r="DK137" s="61"/>
      <c r="DL137" s="61"/>
      <c r="DM137" s="61"/>
      <c r="DN137" s="61"/>
      <c r="DO137" s="61"/>
      <c r="DP137" s="61"/>
      <c r="DQ137" s="61"/>
      <c r="DR137" s="61"/>
      <c r="DS137" s="61"/>
      <c r="DT137" s="61"/>
      <c r="DU137" s="61"/>
      <c r="DV137" s="61"/>
      <c r="DW137" s="61"/>
      <c r="DX137" s="61"/>
      <c r="DY137" s="61"/>
      <c r="DZ137" s="61"/>
      <c r="EA137" s="61"/>
      <c r="EB137" s="61"/>
      <c r="EC137" s="61"/>
      <c r="ED137" s="61"/>
      <c r="EE137" s="61"/>
      <c r="EF137" s="61"/>
      <c r="EG137" s="61"/>
      <c r="EH137" s="61"/>
      <c r="EI137" s="61"/>
      <c r="EJ137" s="61"/>
      <c r="EK137" s="61"/>
      <c r="EL137" s="61"/>
      <c r="EM137" s="61"/>
      <c r="EN137" s="61"/>
      <c r="EO137" s="61"/>
      <c r="EP137" s="61"/>
      <c r="EQ137" s="61"/>
      <c r="ER137" s="61"/>
      <c r="ES137" s="61"/>
      <c r="ET137" s="61"/>
      <c r="EU137" s="61"/>
      <c r="EV137" s="61"/>
      <c r="EW137" s="61"/>
      <c r="EX137" s="61"/>
      <c r="EY137" s="61"/>
      <c r="EZ137" s="61"/>
      <c r="FA137" s="61"/>
      <c r="FB137" s="61"/>
      <c r="FC137" s="61"/>
      <c r="FD137" s="61"/>
      <c r="FE137" s="61"/>
      <c r="FF137" s="61"/>
      <c r="FG137" s="61"/>
      <c r="FH137" s="61"/>
      <c r="FI137" s="61"/>
      <c r="FJ137" s="61"/>
      <c r="FK137" s="61"/>
      <c r="FL137" s="61"/>
      <c r="FM137" s="61"/>
      <c r="FN137" s="61"/>
      <c r="FO137" s="61"/>
      <c r="FP137" s="61"/>
      <c r="FQ137" s="61"/>
      <c r="FR137" s="61"/>
      <c r="FS137" s="61"/>
      <c r="FT137" s="61"/>
      <c r="FU137" s="61"/>
      <c r="FV137" s="61"/>
      <c r="FW137" s="61"/>
      <c r="FX137" s="61"/>
      <c r="FY137" s="61"/>
      <c r="FZ137" s="61"/>
      <c r="GA137" s="61"/>
      <c r="GB137" s="61"/>
      <c r="GC137" s="61"/>
      <c r="GD137" s="61"/>
      <c r="GE137" s="61"/>
      <c r="GF137" s="61"/>
      <c r="GG137" s="61"/>
      <c r="GH137" s="61"/>
      <c r="GI137" s="61"/>
      <c r="GJ137" s="61"/>
    </row>
    <row r="138" customFormat="1" ht="16.8" spans="1:192">
      <c r="A138" s="61"/>
      <c r="B138" s="61"/>
      <c r="C138" s="61"/>
      <c r="D138" s="61"/>
      <c r="E138" s="61"/>
      <c r="F138" s="61"/>
      <c r="G138" s="61"/>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c r="AE138" s="61"/>
      <c r="AF138" s="61"/>
      <c r="AG138" s="61"/>
      <c r="AH138" s="61"/>
      <c r="AI138" s="61"/>
      <c r="AJ138" s="61"/>
      <c r="AK138" s="61"/>
      <c r="AL138" s="61"/>
      <c r="AM138" s="61"/>
      <c r="AN138" s="61"/>
      <c r="AO138" s="61"/>
      <c r="AP138" s="61"/>
      <c r="AQ138" s="61"/>
      <c r="AR138" s="61"/>
      <c r="AS138" s="61"/>
      <c r="AT138" s="61"/>
      <c r="AU138" s="61"/>
      <c r="AV138" s="61"/>
      <c r="AW138" s="61"/>
      <c r="AX138" s="61"/>
      <c r="AY138" s="61"/>
      <c r="AZ138" s="61"/>
      <c r="BA138" s="61"/>
      <c r="BB138" s="61"/>
      <c r="BC138" s="61"/>
      <c r="BD138" s="61"/>
      <c r="BE138" s="61"/>
      <c r="BF138" s="61"/>
      <c r="BG138" s="61"/>
      <c r="BH138" s="61"/>
      <c r="BI138" s="61"/>
      <c r="BJ138" s="61"/>
      <c r="BK138" s="61"/>
      <c r="BL138" s="61"/>
      <c r="BM138" s="61"/>
      <c r="BN138" s="61"/>
      <c r="BO138" s="61"/>
      <c r="BP138" s="61"/>
      <c r="BQ138" s="61"/>
      <c r="BR138" s="61"/>
      <c r="BS138" s="61"/>
      <c r="BT138" s="61"/>
      <c r="BU138" s="61"/>
      <c r="BV138" s="61"/>
      <c r="BW138" s="61"/>
      <c r="BX138" s="61"/>
      <c r="BY138" s="61"/>
      <c r="BZ138" s="61"/>
      <c r="CA138" s="61"/>
      <c r="CB138" s="61"/>
      <c r="CC138" s="61"/>
      <c r="CD138" s="61"/>
      <c r="CE138" s="61"/>
      <c r="CF138" s="61"/>
      <c r="CG138" s="61"/>
      <c r="CH138" s="61"/>
      <c r="CI138" s="61"/>
      <c r="CJ138" s="61"/>
      <c r="CK138" s="61"/>
      <c r="CL138" s="61"/>
      <c r="CM138" s="61"/>
      <c r="CN138" s="61"/>
      <c r="CO138" s="61"/>
      <c r="CP138" s="61"/>
      <c r="CQ138" s="61"/>
      <c r="CR138" s="61"/>
      <c r="CS138" s="61"/>
      <c r="CT138" s="61"/>
      <c r="CU138" s="61"/>
      <c r="CV138" s="61"/>
      <c r="CW138" s="61"/>
      <c r="CX138" s="61"/>
      <c r="CY138" s="61"/>
      <c r="CZ138" s="61"/>
      <c r="DA138" s="61"/>
      <c r="DB138" s="61"/>
      <c r="DC138" s="61"/>
      <c r="DD138" s="61"/>
      <c r="DE138" s="61"/>
      <c r="DF138" s="61"/>
      <c r="DG138" s="61"/>
      <c r="DH138" s="61"/>
      <c r="DI138" s="61"/>
      <c r="DJ138" s="61"/>
      <c r="DK138" s="61"/>
      <c r="DL138" s="61"/>
      <c r="DM138" s="61"/>
      <c r="DN138" s="61"/>
      <c r="DO138" s="61"/>
      <c r="DP138" s="61"/>
      <c r="DQ138" s="61"/>
      <c r="DR138" s="61"/>
      <c r="DS138" s="61"/>
      <c r="DT138" s="61"/>
      <c r="DU138" s="61"/>
      <c r="DV138" s="61"/>
      <c r="DW138" s="61"/>
      <c r="DX138" s="61"/>
      <c r="DY138" s="61"/>
      <c r="DZ138" s="61"/>
      <c r="EA138" s="61"/>
      <c r="EB138" s="61"/>
      <c r="EC138" s="61"/>
      <c r="ED138" s="61"/>
      <c r="EE138" s="61"/>
      <c r="EF138" s="61"/>
      <c r="EG138" s="61"/>
      <c r="EH138" s="61"/>
      <c r="EI138" s="61"/>
      <c r="EJ138" s="61"/>
      <c r="EK138" s="61"/>
      <c r="EL138" s="61"/>
      <c r="EM138" s="61"/>
      <c r="EN138" s="61"/>
      <c r="EO138" s="61"/>
      <c r="EP138" s="61"/>
      <c r="EQ138" s="61"/>
      <c r="ER138" s="61"/>
      <c r="ES138" s="61"/>
      <c r="ET138" s="61"/>
      <c r="EU138" s="61"/>
      <c r="EV138" s="61"/>
      <c r="EW138" s="61"/>
      <c r="EX138" s="61"/>
      <c r="EY138" s="61"/>
      <c r="EZ138" s="61"/>
      <c r="FA138" s="61"/>
      <c r="FB138" s="61"/>
      <c r="FC138" s="61"/>
      <c r="FD138" s="61"/>
      <c r="FE138" s="61"/>
      <c r="FF138" s="61"/>
      <c r="FG138" s="61"/>
      <c r="FH138" s="61"/>
      <c r="FI138" s="61"/>
      <c r="FJ138" s="61"/>
      <c r="FK138" s="61"/>
      <c r="FL138" s="61"/>
      <c r="FM138" s="61"/>
      <c r="FN138" s="61"/>
      <c r="FO138" s="61"/>
      <c r="FP138" s="61"/>
      <c r="FQ138" s="61"/>
      <c r="FR138" s="61"/>
      <c r="FS138" s="61"/>
      <c r="FT138" s="61"/>
      <c r="FU138" s="61"/>
      <c r="FV138" s="61"/>
      <c r="FW138" s="61"/>
      <c r="FX138" s="61"/>
      <c r="FY138" s="61"/>
      <c r="FZ138" s="61"/>
      <c r="GA138" s="61"/>
      <c r="GB138" s="61"/>
      <c r="GC138" s="61"/>
      <c r="GD138" s="61"/>
      <c r="GE138" s="61"/>
      <c r="GF138" s="61"/>
      <c r="GG138" s="61"/>
      <c r="GH138" s="61"/>
      <c r="GI138" s="61"/>
      <c r="GJ138" s="61"/>
    </row>
    <row r="139" customFormat="1" ht="16.8" spans="1:192">
      <c r="A139" s="61"/>
      <c r="B139" s="61"/>
      <c r="C139" s="61"/>
      <c r="D139" s="61"/>
      <c r="E139" s="61"/>
      <c r="F139" s="61"/>
      <c r="G139" s="61"/>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c r="AE139" s="61"/>
      <c r="AF139" s="61"/>
      <c r="AG139" s="61"/>
      <c r="AH139" s="61"/>
      <c r="AI139" s="61"/>
      <c r="AJ139" s="61"/>
      <c r="AK139" s="61"/>
      <c r="AL139" s="61"/>
      <c r="AM139" s="61"/>
      <c r="AN139" s="61"/>
      <c r="AO139" s="61"/>
      <c r="AP139" s="61"/>
      <c r="AQ139" s="61"/>
      <c r="AR139" s="61"/>
      <c r="AS139" s="61"/>
      <c r="AT139" s="61"/>
      <c r="AU139" s="61"/>
      <c r="AV139" s="61"/>
      <c r="AW139" s="61"/>
      <c r="AX139" s="61"/>
      <c r="AY139" s="61"/>
      <c r="AZ139" s="61"/>
      <c r="BA139" s="61"/>
      <c r="BB139" s="61"/>
      <c r="BC139" s="61"/>
      <c r="BD139" s="61"/>
      <c r="BE139" s="61"/>
      <c r="BF139" s="61"/>
      <c r="BG139" s="61"/>
      <c r="BH139" s="61"/>
      <c r="BI139" s="61"/>
      <c r="BJ139" s="61"/>
      <c r="BK139" s="61"/>
      <c r="BL139" s="61"/>
      <c r="BM139" s="61"/>
      <c r="BN139" s="61"/>
      <c r="BO139" s="61"/>
      <c r="BP139" s="61"/>
      <c r="BQ139" s="61"/>
      <c r="BR139" s="61"/>
      <c r="BS139" s="61"/>
      <c r="BT139" s="61"/>
      <c r="BU139" s="61"/>
      <c r="BV139" s="61"/>
      <c r="BW139" s="61"/>
      <c r="BX139" s="61"/>
      <c r="BY139" s="61"/>
      <c r="BZ139" s="61"/>
      <c r="CA139" s="61"/>
      <c r="CB139" s="61"/>
      <c r="CC139" s="61"/>
      <c r="CD139" s="61"/>
      <c r="CE139" s="61"/>
      <c r="CF139" s="61"/>
      <c r="CG139" s="61"/>
      <c r="CH139" s="61"/>
      <c r="CI139" s="61"/>
      <c r="CJ139" s="61"/>
      <c r="CK139" s="61"/>
      <c r="CL139" s="61"/>
      <c r="CM139" s="61"/>
      <c r="CN139" s="61"/>
      <c r="CO139" s="61"/>
      <c r="CP139" s="61"/>
      <c r="CQ139" s="61"/>
      <c r="CR139" s="61"/>
      <c r="CS139" s="61"/>
      <c r="CT139" s="61"/>
      <c r="CU139" s="61"/>
      <c r="CV139" s="61"/>
      <c r="CW139" s="61"/>
      <c r="CX139" s="61"/>
      <c r="CY139" s="61"/>
      <c r="CZ139" s="61"/>
      <c r="DA139" s="61"/>
      <c r="DB139" s="61"/>
      <c r="DC139" s="61"/>
      <c r="DD139" s="61"/>
      <c r="DE139" s="61"/>
      <c r="DF139" s="61"/>
      <c r="DG139" s="61"/>
      <c r="DH139" s="61"/>
      <c r="DI139" s="61"/>
      <c r="DJ139" s="61"/>
      <c r="DK139" s="61"/>
      <c r="DL139" s="61"/>
      <c r="DM139" s="61"/>
      <c r="DN139" s="61"/>
      <c r="DO139" s="61"/>
      <c r="DP139" s="61"/>
      <c r="DQ139" s="61"/>
      <c r="DR139" s="61"/>
      <c r="DS139" s="61"/>
      <c r="DT139" s="61"/>
      <c r="DU139" s="61"/>
      <c r="DV139" s="61"/>
      <c r="DW139" s="61"/>
      <c r="DX139" s="61"/>
      <c r="DY139" s="61"/>
      <c r="DZ139" s="61"/>
      <c r="EA139" s="61"/>
      <c r="EB139" s="61"/>
      <c r="EC139" s="61"/>
      <c r="ED139" s="61"/>
      <c r="EE139" s="61"/>
      <c r="EF139" s="61"/>
      <c r="EG139" s="61"/>
      <c r="EH139" s="61"/>
      <c r="EI139" s="61"/>
      <c r="EJ139" s="61"/>
      <c r="EK139" s="61"/>
      <c r="EL139" s="61"/>
      <c r="EM139" s="61"/>
      <c r="EN139" s="61"/>
      <c r="EO139" s="61"/>
      <c r="EP139" s="61"/>
      <c r="EQ139" s="61"/>
      <c r="ER139" s="61"/>
      <c r="ES139" s="61"/>
      <c r="ET139" s="61"/>
      <c r="EU139" s="61"/>
      <c r="EV139" s="61"/>
      <c r="EW139" s="61"/>
      <c r="EX139" s="61"/>
      <c r="EY139" s="61"/>
      <c r="EZ139" s="61"/>
      <c r="FA139" s="61"/>
      <c r="FB139" s="61"/>
      <c r="FC139" s="61"/>
      <c r="FD139" s="61"/>
      <c r="FE139" s="61"/>
      <c r="FF139" s="61"/>
      <c r="FG139" s="61"/>
      <c r="FH139" s="61"/>
      <c r="FI139" s="61"/>
      <c r="FJ139" s="61"/>
      <c r="FK139" s="61"/>
      <c r="FL139" s="61"/>
      <c r="FM139" s="61"/>
      <c r="FN139" s="61"/>
      <c r="FO139" s="61"/>
      <c r="FP139" s="61"/>
      <c r="FQ139" s="61"/>
      <c r="FR139" s="61"/>
      <c r="FS139" s="61"/>
      <c r="FT139" s="61"/>
      <c r="FU139" s="61"/>
      <c r="FV139" s="61"/>
      <c r="FW139" s="61"/>
      <c r="FX139" s="61"/>
      <c r="FY139" s="61"/>
      <c r="FZ139" s="61"/>
      <c r="GA139" s="61"/>
      <c r="GB139" s="61"/>
      <c r="GC139" s="61"/>
      <c r="GD139" s="61"/>
      <c r="GE139" s="61"/>
      <c r="GF139" s="61"/>
      <c r="GG139" s="61"/>
      <c r="GH139" s="61"/>
      <c r="GI139" s="61"/>
      <c r="GJ139" s="61"/>
    </row>
    <row r="140" customFormat="1" ht="16.8" spans="1:192">
      <c r="A140" s="61"/>
      <c r="B140" s="61"/>
      <c r="C140" s="61"/>
      <c r="D140" s="61"/>
      <c r="E140" s="61"/>
      <c r="F140" s="61"/>
      <c r="G140" s="61"/>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c r="AE140" s="61"/>
      <c r="AF140" s="61"/>
      <c r="AG140" s="61"/>
      <c r="AH140" s="61"/>
      <c r="AI140" s="61"/>
      <c r="AJ140" s="61"/>
      <c r="AK140" s="61"/>
      <c r="AL140" s="61"/>
      <c r="AM140" s="61"/>
      <c r="AN140" s="61"/>
      <c r="AO140" s="61"/>
      <c r="AP140" s="61"/>
      <c r="AQ140" s="61"/>
      <c r="AR140" s="61"/>
      <c r="AS140" s="61"/>
      <c r="AT140" s="61"/>
      <c r="AU140" s="61"/>
      <c r="AV140" s="61"/>
      <c r="AW140" s="61"/>
      <c r="AX140" s="61"/>
      <c r="AY140" s="61"/>
      <c r="AZ140" s="61"/>
      <c r="BA140" s="61"/>
      <c r="BB140" s="61"/>
      <c r="BC140" s="61"/>
      <c r="BD140" s="61"/>
      <c r="BE140" s="61"/>
      <c r="BF140" s="61"/>
      <c r="BG140" s="61"/>
      <c r="BH140" s="61"/>
      <c r="BI140" s="61"/>
      <c r="BJ140" s="61"/>
      <c r="BK140" s="61"/>
      <c r="BL140" s="61"/>
      <c r="BM140" s="61"/>
      <c r="BN140" s="61"/>
      <c r="BO140" s="61"/>
      <c r="BP140" s="61"/>
      <c r="BQ140" s="61"/>
      <c r="BR140" s="61"/>
      <c r="BS140" s="61"/>
      <c r="BT140" s="61"/>
      <c r="BU140" s="61"/>
      <c r="BV140" s="61"/>
      <c r="BW140" s="61"/>
      <c r="BX140" s="61"/>
      <c r="BY140" s="61"/>
      <c r="BZ140" s="61"/>
      <c r="CA140" s="61"/>
      <c r="CB140" s="61"/>
      <c r="CC140" s="61"/>
      <c r="CD140" s="61"/>
      <c r="CE140" s="61"/>
      <c r="CF140" s="61"/>
      <c r="CG140" s="61"/>
      <c r="CH140" s="61"/>
      <c r="CI140" s="61"/>
      <c r="CJ140" s="61"/>
      <c r="CK140" s="61"/>
      <c r="CL140" s="61"/>
      <c r="CM140" s="61"/>
      <c r="CN140" s="61"/>
      <c r="CO140" s="61"/>
      <c r="CP140" s="61"/>
      <c r="CQ140" s="61"/>
      <c r="CR140" s="61"/>
      <c r="CS140" s="61"/>
      <c r="CT140" s="61"/>
      <c r="CU140" s="61"/>
      <c r="CV140" s="61"/>
      <c r="CW140" s="61"/>
      <c r="CX140" s="61"/>
      <c r="CY140" s="61"/>
      <c r="CZ140" s="61"/>
      <c r="DA140" s="61"/>
      <c r="DB140" s="61"/>
      <c r="DC140" s="61"/>
      <c r="DD140" s="61"/>
      <c r="DE140" s="61"/>
      <c r="DF140" s="61"/>
      <c r="DG140" s="61"/>
      <c r="DH140" s="61"/>
      <c r="DI140" s="61"/>
      <c r="DJ140" s="61"/>
      <c r="DK140" s="61"/>
      <c r="DL140" s="61"/>
      <c r="DM140" s="61"/>
      <c r="DN140" s="61"/>
      <c r="DO140" s="61"/>
      <c r="DP140" s="61"/>
      <c r="DQ140" s="61"/>
      <c r="DR140" s="61"/>
      <c r="DS140" s="61"/>
      <c r="DT140" s="61"/>
      <c r="DU140" s="61"/>
      <c r="DV140" s="61"/>
      <c r="DW140" s="61"/>
      <c r="DX140" s="61"/>
      <c r="DY140" s="61"/>
      <c r="DZ140" s="61"/>
      <c r="EA140" s="61"/>
      <c r="EB140" s="61"/>
      <c r="EC140" s="61"/>
      <c r="ED140" s="61"/>
      <c r="EE140" s="61"/>
      <c r="EF140" s="61"/>
      <c r="EG140" s="61"/>
      <c r="EH140" s="61"/>
      <c r="EI140" s="61"/>
      <c r="EJ140" s="61"/>
      <c r="EK140" s="61"/>
      <c r="EL140" s="61"/>
      <c r="EM140" s="61"/>
      <c r="EN140" s="61"/>
      <c r="EO140" s="61"/>
      <c r="EP140" s="61"/>
      <c r="EQ140" s="61"/>
      <c r="ER140" s="61"/>
      <c r="ES140" s="61"/>
      <c r="ET140" s="61"/>
      <c r="EU140" s="61"/>
      <c r="EV140" s="61"/>
      <c r="EW140" s="61"/>
      <c r="EX140" s="61"/>
      <c r="EY140" s="61"/>
      <c r="EZ140" s="61"/>
      <c r="FA140" s="61"/>
      <c r="FB140" s="61"/>
      <c r="FC140" s="61"/>
      <c r="FD140" s="61"/>
      <c r="FE140" s="61"/>
      <c r="FF140" s="61"/>
      <c r="FG140" s="61"/>
      <c r="FH140" s="61"/>
      <c r="FI140" s="61"/>
      <c r="FJ140" s="61"/>
      <c r="FK140" s="61"/>
      <c r="FL140" s="61"/>
      <c r="FM140" s="61"/>
      <c r="FN140" s="61"/>
      <c r="FO140" s="61"/>
      <c r="FP140" s="61"/>
      <c r="FQ140" s="61"/>
      <c r="FR140" s="61"/>
      <c r="FS140" s="61"/>
      <c r="FT140" s="61"/>
      <c r="FU140" s="61"/>
      <c r="FV140" s="61"/>
      <c r="FW140" s="61"/>
      <c r="FX140" s="61"/>
      <c r="FY140" s="61"/>
      <c r="FZ140" s="61"/>
      <c r="GA140" s="61"/>
      <c r="GB140" s="61"/>
      <c r="GC140" s="61"/>
      <c r="GD140" s="61"/>
      <c r="GE140" s="61"/>
      <c r="GF140" s="61"/>
      <c r="GG140" s="61"/>
      <c r="GH140" s="61"/>
      <c r="GI140" s="61"/>
      <c r="GJ140" s="61"/>
    </row>
    <row r="141" customFormat="1" ht="16.8" spans="1:192">
      <c r="A141" s="61"/>
      <c r="B141" s="61"/>
      <c r="C141" s="61"/>
      <c r="D141" s="61"/>
      <c r="E141" s="61"/>
      <c r="F141" s="61"/>
      <c r="G141" s="61"/>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c r="AE141" s="61"/>
      <c r="AF141" s="61"/>
      <c r="AG141" s="61"/>
      <c r="AH141" s="61"/>
      <c r="AI141" s="61"/>
      <c r="AJ141" s="61"/>
      <c r="AK141" s="61"/>
      <c r="AL141" s="61"/>
      <c r="AM141" s="61"/>
      <c r="AN141" s="61"/>
      <c r="AO141" s="61"/>
      <c r="AP141" s="61"/>
      <c r="AQ141" s="61"/>
      <c r="AR141" s="61"/>
      <c r="AS141" s="61"/>
      <c r="AT141" s="61"/>
      <c r="AU141" s="61"/>
      <c r="AV141" s="61"/>
      <c r="AW141" s="61"/>
      <c r="AX141" s="61"/>
      <c r="AY141" s="61"/>
      <c r="AZ141" s="61"/>
      <c r="BA141" s="61"/>
      <c r="BB141" s="61"/>
      <c r="BC141" s="61"/>
      <c r="BD141" s="61"/>
      <c r="BE141" s="61"/>
      <c r="BF141" s="61"/>
      <c r="BG141" s="61"/>
      <c r="BH141" s="61"/>
      <c r="BI141" s="61"/>
      <c r="BJ141" s="61"/>
      <c r="BK141" s="61"/>
      <c r="BL141" s="61"/>
      <c r="BM141" s="61"/>
      <c r="BN141" s="61"/>
      <c r="BO141" s="61"/>
      <c r="BP141" s="61"/>
      <c r="BQ141" s="61"/>
      <c r="BR141" s="61"/>
      <c r="BS141" s="61"/>
      <c r="BT141" s="61"/>
      <c r="BU141" s="61"/>
      <c r="BV141" s="61"/>
      <c r="BW141" s="61"/>
      <c r="BX141" s="61"/>
      <c r="BY141" s="61"/>
      <c r="BZ141" s="61"/>
      <c r="CA141" s="61"/>
      <c r="CB141" s="61"/>
      <c r="CC141" s="61"/>
      <c r="CD141" s="61"/>
      <c r="CE141" s="61"/>
      <c r="CF141" s="61"/>
      <c r="CG141" s="61"/>
      <c r="CH141" s="61"/>
      <c r="CI141" s="61"/>
      <c r="CJ141" s="61"/>
      <c r="CK141" s="61"/>
      <c r="CL141" s="61"/>
      <c r="CM141" s="61"/>
      <c r="CN141" s="61"/>
      <c r="CO141" s="61"/>
      <c r="CP141" s="61"/>
      <c r="CQ141" s="61"/>
      <c r="CR141" s="61"/>
      <c r="CS141" s="61"/>
      <c r="CT141" s="61"/>
      <c r="CU141" s="61"/>
      <c r="CV141" s="61"/>
      <c r="CW141" s="61"/>
      <c r="CX141" s="61"/>
      <c r="CY141" s="61"/>
      <c r="CZ141" s="61"/>
      <c r="DA141" s="61"/>
      <c r="DB141" s="61"/>
      <c r="DC141" s="61"/>
      <c r="DD141" s="61"/>
      <c r="DE141" s="61"/>
      <c r="DF141" s="61"/>
      <c r="DG141" s="61"/>
      <c r="DH141" s="61"/>
      <c r="DI141" s="61"/>
      <c r="DJ141" s="61"/>
      <c r="DK141" s="61"/>
      <c r="DL141" s="61"/>
      <c r="DM141" s="61"/>
      <c r="DN141" s="61"/>
      <c r="DO141" s="61"/>
      <c r="DP141" s="61"/>
      <c r="DQ141" s="61"/>
      <c r="DR141" s="61"/>
      <c r="DS141" s="61"/>
      <c r="DT141" s="61"/>
      <c r="DU141" s="61"/>
      <c r="DV141" s="61"/>
      <c r="DW141" s="61"/>
      <c r="DX141" s="61"/>
      <c r="DY141" s="61"/>
      <c r="DZ141" s="61"/>
      <c r="EA141" s="61"/>
      <c r="EB141" s="61"/>
      <c r="EC141" s="61"/>
      <c r="ED141" s="61"/>
      <c r="EE141" s="61"/>
      <c r="EF141" s="61"/>
      <c r="EG141" s="61"/>
      <c r="EH141" s="61"/>
      <c r="EI141" s="61"/>
      <c r="EJ141" s="61"/>
      <c r="EK141" s="61"/>
      <c r="EL141" s="61"/>
      <c r="EM141" s="61"/>
      <c r="EN141" s="61"/>
      <c r="EO141" s="61"/>
      <c r="EP141" s="61"/>
      <c r="EQ141" s="61"/>
      <c r="ER141" s="61"/>
      <c r="ES141" s="61"/>
      <c r="ET141" s="61"/>
      <c r="EU141" s="61"/>
      <c r="EV141" s="61"/>
      <c r="EW141" s="61"/>
      <c r="EX141" s="61"/>
      <c r="EY141" s="61"/>
      <c r="EZ141" s="61"/>
      <c r="FA141" s="61"/>
      <c r="FB141" s="61"/>
      <c r="FC141" s="61"/>
      <c r="FD141" s="61"/>
      <c r="FE141" s="61"/>
      <c r="FF141" s="61"/>
      <c r="FG141" s="61"/>
      <c r="FH141" s="61"/>
      <c r="FI141" s="61"/>
      <c r="FJ141" s="61"/>
      <c r="FK141" s="61"/>
      <c r="FL141" s="61"/>
      <c r="FM141" s="61"/>
      <c r="FN141" s="61"/>
      <c r="FO141" s="61"/>
      <c r="FP141" s="61"/>
      <c r="FQ141" s="61"/>
      <c r="FR141" s="61"/>
      <c r="FS141" s="61"/>
      <c r="FT141" s="61"/>
      <c r="FU141" s="61"/>
      <c r="FV141" s="61"/>
      <c r="FW141" s="61"/>
      <c r="FX141" s="61"/>
      <c r="FY141" s="61"/>
      <c r="FZ141" s="61"/>
      <c r="GA141" s="61"/>
      <c r="GB141" s="61"/>
      <c r="GC141" s="61"/>
      <c r="GD141" s="61"/>
      <c r="GE141" s="61"/>
      <c r="GF141" s="61"/>
      <c r="GG141" s="61"/>
      <c r="GH141" s="61"/>
      <c r="GI141" s="61"/>
      <c r="GJ141" s="61"/>
    </row>
    <row r="142" customFormat="1" ht="16.8" spans="1:192">
      <c r="A142" s="61"/>
      <c r="B142" s="61"/>
      <c r="C142" s="61"/>
      <c r="D142" s="61"/>
      <c r="E142" s="61"/>
      <c r="F142" s="61"/>
      <c r="G142" s="61"/>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c r="AE142" s="61"/>
      <c r="AF142" s="61"/>
      <c r="AG142" s="61"/>
      <c r="AH142" s="61"/>
      <c r="AI142" s="61"/>
      <c r="AJ142" s="61"/>
      <c r="AK142" s="61"/>
      <c r="AL142" s="61"/>
      <c r="AM142" s="61"/>
      <c r="AN142" s="61"/>
      <c r="AO142" s="61"/>
      <c r="AP142" s="61"/>
      <c r="AQ142" s="61"/>
      <c r="AR142" s="61"/>
      <c r="AS142" s="61"/>
      <c r="AT142" s="61"/>
      <c r="AU142" s="61"/>
      <c r="AV142" s="61"/>
      <c r="AW142" s="61"/>
      <c r="AX142" s="61"/>
      <c r="AY142" s="61"/>
      <c r="AZ142" s="61"/>
      <c r="BA142" s="61"/>
      <c r="BB142" s="61"/>
      <c r="BC142" s="61"/>
      <c r="BD142" s="61"/>
      <c r="BE142" s="61"/>
      <c r="BF142" s="61"/>
      <c r="BG142" s="61"/>
      <c r="BH142" s="61"/>
      <c r="BI142" s="61"/>
      <c r="BJ142" s="61"/>
      <c r="BK142" s="61"/>
      <c r="BL142" s="61"/>
      <c r="BM142" s="61"/>
      <c r="BN142" s="61"/>
      <c r="BO142" s="61"/>
      <c r="BP142" s="61"/>
      <c r="BQ142" s="61"/>
      <c r="BR142" s="61"/>
      <c r="BS142" s="61"/>
      <c r="BT142" s="61"/>
      <c r="BU142" s="61"/>
      <c r="BV142" s="61"/>
      <c r="BW142" s="61"/>
      <c r="BX142" s="61"/>
      <c r="BY142" s="61"/>
      <c r="BZ142" s="61"/>
      <c r="CA142" s="61"/>
      <c r="CB142" s="61"/>
      <c r="CC142" s="61"/>
      <c r="CD142" s="61"/>
      <c r="CE142" s="61"/>
      <c r="CF142" s="61"/>
      <c r="CG142" s="61"/>
      <c r="CH142" s="61"/>
      <c r="CI142" s="61"/>
      <c r="CJ142" s="61"/>
      <c r="CK142" s="61"/>
      <c r="CL142" s="61"/>
      <c r="CM142" s="61"/>
      <c r="CN142" s="61"/>
      <c r="CO142" s="61"/>
      <c r="CP142" s="61"/>
      <c r="CQ142" s="61"/>
      <c r="CR142" s="61"/>
      <c r="CS142" s="61"/>
      <c r="CT142" s="61"/>
      <c r="CU142" s="61"/>
      <c r="CV142" s="61"/>
      <c r="CW142" s="61"/>
      <c r="CX142" s="61"/>
      <c r="CY142" s="61"/>
      <c r="CZ142" s="61"/>
      <c r="DA142" s="61"/>
      <c r="DB142" s="61"/>
      <c r="DC142" s="61"/>
      <c r="DD142" s="61"/>
      <c r="DE142" s="61"/>
      <c r="DF142" s="61"/>
      <c r="DG142" s="61"/>
      <c r="DH142" s="61"/>
      <c r="DI142" s="61"/>
      <c r="DJ142" s="61"/>
      <c r="DK142" s="61"/>
      <c r="DL142" s="61"/>
      <c r="DM142" s="61"/>
      <c r="DN142" s="61"/>
      <c r="DO142" s="61"/>
      <c r="DP142" s="61"/>
      <c r="DQ142" s="61"/>
      <c r="DR142" s="61"/>
      <c r="DS142" s="61"/>
      <c r="DT142" s="61"/>
      <c r="DU142" s="61"/>
      <c r="DV142" s="61"/>
      <c r="DW142" s="61"/>
      <c r="DX142" s="61"/>
      <c r="DY142" s="61"/>
      <c r="DZ142" s="61"/>
      <c r="EA142" s="61"/>
      <c r="EB142" s="61"/>
      <c r="EC142" s="61"/>
      <c r="ED142" s="61"/>
      <c r="EE142" s="61"/>
      <c r="EF142" s="61"/>
      <c r="EG142" s="61"/>
      <c r="EH142" s="61"/>
      <c r="EI142" s="61"/>
      <c r="EJ142" s="61"/>
      <c r="EK142" s="61"/>
      <c r="EL142" s="61"/>
      <c r="EM142" s="61"/>
      <c r="EN142" s="61"/>
      <c r="EO142" s="61"/>
      <c r="EP142" s="61"/>
      <c r="EQ142" s="61"/>
      <c r="ER142" s="61"/>
      <c r="ES142" s="61"/>
      <c r="ET142" s="61"/>
      <c r="EU142" s="61"/>
      <c r="EV142" s="61"/>
      <c r="EW142" s="61"/>
      <c r="EX142" s="61"/>
      <c r="EY142" s="61"/>
      <c r="EZ142" s="61"/>
      <c r="FA142" s="61"/>
      <c r="FB142" s="61"/>
      <c r="FC142" s="61"/>
      <c r="FD142" s="61"/>
      <c r="FE142" s="61"/>
      <c r="FF142" s="61"/>
      <c r="FG142" s="61"/>
      <c r="FH142" s="61"/>
      <c r="FI142" s="61"/>
      <c r="FJ142" s="61"/>
      <c r="FK142" s="61"/>
      <c r="FL142" s="61"/>
      <c r="FM142" s="61"/>
      <c r="FN142" s="61"/>
      <c r="FO142" s="61"/>
      <c r="FP142" s="61"/>
      <c r="FQ142" s="61"/>
      <c r="FR142" s="61"/>
      <c r="FS142" s="61"/>
      <c r="FT142" s="61"/>
      <c r="FU142" s="61"/>
      <c r="FV142" s="61"/>
      <c r="FW142" s="61"/>
      <c r="FX142" s="61"/>
      <c r="FY142" s="61"/>
      <c r="FZ142" s="61"/>
      <c r="GA142" s="61"/>
      <c r="GB142" s="61"/>
      <c r="GC142" s="61"/>
      <c r="GD142" s="61"/>
      <c r="GE142" s="61"/>
      <c r="GF142" s="61"/>
      <c r="GG142" s="61"/>
      <c r="GH142" s="61"/>
      <c r="GI142" s="61"/>
      <c r="GJ142" s="61"/>
    </row>
    <row r="143" customFormat="1" ht="16.8" spans="1:192">
      <c r="A143" s="61"/>
      <c r="B143" s="61"/>
      <c r="C143" s="61"/>
      <c r="D143" s="61"/>
      <c r="E143" s="61"/>
      <c r="F143" s="61"/>
      <c r="G143" s="61"/>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c r="AE143" s="61"/>
      <c r="AF143" s="61"/>
      <c r="AG143" s="61"/>
      <c r="AH143" s="61"/>
      <c r="AI143" s="61"/>
      <c r="AJ143" s="61"/>
      <c r="AK143" s="61"/>
      <c r="AL143" s="61"/>
      <c r="AM143" s="61"/>
      <c r="AN143" s="61"/>
      <c r="AO143" s="61"/>
      <c r="AP143" s="61"/>
      <c r="AQ143" s="61"/>
      <c r="AR143" s="61"/>
      <c r="AS143" s="61"/>
      <c r="AT143" s="61"/>
      <c r="AU143" s="61"/>
      <c r="AV143" s="61"/>
      <c r="AW143" s="61"/>
      <c r="AX143" s="61"/>
      <c r="AY143" s="61"/>
      <c r="AZ143" s="61"/>
      <c r="BA143" s="61"/>
      <c r="BB143" s="61"/>
      <c r="BC143" s="61"/>
      <c r="BD143" s="61"/>
      <c r="BE143" s="61"/>
      <c r="BF143" s="61"/>
      <c r="BG143" s="61"/>
      <c r="BH143" s="61"/>
      <c r="BI143" s="61"/>
      <c r="BJ143" s="61"/>
      <c r="BK143" s="61"/>
      <c r="BL143" s="61"/>
      <c r="BM143" s="61"/>
      <c r="BN143" s="61"/>
      <c r="BO143" s="61"/>
      <c r="BP143" s="61"/>
      <c r="BQ143" s="61"/>
      <c r="BR143" s="61"/>
      <c r="BS143" s="61"/>
      <c r="BT143" s="61"/>
      <c r="BU143" s="61"/>
      <c r="BV143" s="61"/>
      <c r="BW143" s="61"/>
      <c r="BX143" s="61"/>
      <c r="BY143" s="61"/>
      <c r="BZ143" s="61"/>
      <c r="CA143" s="61"/>
      <c r="CB143" s="61"/>
      <c r="CC143" s="61"/>
      <c r="CD143" s="61"/>
      <c r="CE143" s="61"/>
      <c r="CF143" s="61"/>
      <c r="CG143" s="61"/>
      <c r="CH143" s="61"/>
      <c r="CI143" s="61"/>
      <c r="CJ143" s="61"/>
      <c r="CK143" s="61"/>
      <c r="CL143" s="61"/>
      <c r="CM143" s="61"/>
      <c r="CN143" s="61"/>
      <c r="CO143" s="61"/>
      <c r="CP143" s="61"/>
      <c r="CQ143" s="61"/>
      <c r="CR143" s="61"/>
      <c r="CS143" s="61"/>
      <c r="CT143" s="61"/>
      <c r="CU143" s="61"/>
      <c r="CV143" s="61"/>
      <c r="CW143" s="61"/>
      <c r="CX143" s="61"/>
      <c r="CY143" s="61"/>
      <c r="CZ143" s="61"/>
      <c r="DA143" s="61"/>
      <c r="DB143" s="61"/>
      <c r="DC143" s="61"/>
      <c r="DD143" s="61"/>
      <c r="DE143" s="61"/>
      <c r="DF143" s="61"/>
      <c r="DG143" s="61"/>
      <c r="DH143" s="61"/>
      <c r="DI143" s="61"/>
      <c r="DJ143" s="61"/>
      <c r="DK143" s="61"/>
      <c r="DL143" s="61"/>
      <c r="DM143" s="61"/>
      <c r="DN143" s="61"/>
      <c r="DO143" s="61"/>
      <c r="DP143" s="61"/>
      <c r="DQ143" s="61"/>
      <c r="DR143" s="61"/>
      <c r="DS143" s="61"/>
      <c r="DT143" s="61"/>
      <c r="DU143" s="61"/>
      <c r="DV143" s="61"/>
      <c r="DW143" s="61"/>
      <c r="DX143" s="61"/>
      <c r="DY143" s="61"/>
      <c r="DZ143" s="61"/>
      <c r="EA143" s="61"/>
      <c r="EB143" s="61"/>
      <c r="EC143" s="61"/>
      <c r="ED143" s="61"/>
      <c r="EE143" s="61"/>
      <c r="EF143" s="61"/>
      <c r="EG143" s="61"/>
      <c r="EH143" s="61"/>
      <c r="EI143" s="61"/>
      <c r="EJ143" s="61"/>
      <c r="EK143" s="61"/>
      <c r="EL143" s="61"/>
      <c r="EM143" s="61"/>
      <c r="EN143" s="61"/>
      <c r="EO143" s="61"/>
      <c r="EP143" s="61"/>
      <c r="EQ143" s="61"/>
      <c r="ER143" s="61"/>
      <c r="ES143" s="61"/>
      <c r="ET143" s="61"/>
      <c r="EU143" s="61"/>
      <c r="EV143" s="61"/>
      <c r="EW143" s="61"/>
      <c r="EX143" s="61"/>
      <c r="EY143" s="61"/>
      <c r="EZ143" s="61"/>
      <c r="FA143" s="61"/>
      <c r="FB143" s="61"/>
      <c r="FC143" s="61"/>
      <c r="FD143" s="61"/>
      <c r="FE143" s="61"/>
      <c r="FF143" s="61"/>
      <c r="FG143" s="61"/>
      <c r="FH143" s="61"/>
      <c r="FI143" s="61"/>
      <c r="FJ143" s="61"/>
      <c r="FK143" s="61"/>
      <c r="FL143" s="61"/>
      <c r="FM143" s="61"/>
      <c r="FN143" s="61"/>
      <c r="FO143" s="61"/>
      <c r="FP143" s="61"/>
      <c r="FQ143" s="61"/>
      <c r="FR143" s="61"/>
      <c r="FS143" s="61"/>
      <c r="FT143" s="61"/>
      <c r="FU143" s="61"/>
      <c r="FV143" s="61"/>
      <c r="FW143" s="61"/>
      <c r="FX143" s="61"/>
      <c r="FY143" s="61"/>
      <c r="FZ143" s="61"/>
      <c r="GA143" s="61"/>
      <c r="GB143" s="61"/>
      <c r="GC143" s="61"/>
      <c r="GD143" s="61"/>
      <c r="GE143" s="61"/>
      <c r="GF143" s="61"/>
      <c r="GG143" s="61"/>
      <c r="GH143" s="61"/>
      <c r="GI143" s="61"/>
      <c r="GJ143" s="61"/>
    </row>
    <row r="144" customFormat="1" ht="16.8" spans="1:192">
      <c r="A144" s="61"/>
      <c r="B144" s="61"/>
      <c r="C144" s="61"/>
      <c r="D144" s="61"/>
      <c r="E144" s="61"/>
      <c r="F144" s="61"/>
      <c r="G144" s="61"/>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c r="AE144" s="61"/>
      <c r="AF144" s="61"/>
      <c r="AG144" s="61"/>
      <c r="AH144" s="61"/>
      <c r="AI144" s="61"/>
      <c r="AJ144" s="61"/>
      <c r="AK144" s="61"/>
      <c r="AL144" s="61"/>
      <c r="AM144" s="61"/>
      <c r="AN144" s="61"/>
      <c r="AO144" s="61"/>
      <c r="AP144" s="61"/>
      <c r="AQ144" s="61"/>
      <c r="AR144" s="61"/>
      <c r="AS144" s="61"/>
      <c r="AT144" s="61"/>
      <c r="AU144" s="61"/>
      <c r="AV144" s="61"/>
      <c r="AW144" s="61"/>
      <c r="AX144" s="61"/>
      <c r="AY144" s="61"/>
      <c r="AZ144" s="61"/>
      <c r="BA144" s="61"/>
      <c r="BB144" s="61"/>
      <c r="BC144" s="61"/>
      <c r="BD144" s="61"/>
      <c r="BE144" s="61"/>
      <c r="BF144" s="61"/>
      <c r="BG144" s="61"/>
      <c r="BH144" s="61"/>
      <c r="BI144" s="61"/>
      <c r="BJ144" s="61"/>
      <c r="BK144" s="61"/>
      <c r="BL144" s="61"/>
      <c r="BM144" s="61"/>
      <c r="BN144" s="61"/>
      <c r="BO144" s="61"/>
      <c r="BP144" s="61"/>
      <c r="BQ144" s="61"/>
      <c r="BR144" s="61"/>
      <c r="BS144" s="61"/>
      <c r="BT144" s="61"/>
      <c r="BU144" s="61"/>
      <c r="BV144" s="61"/>
      <c r="BW144" s="61"/>
      <c r="BX144" s="61"/>
      <c r="BY144" s="61"/>
      <c r="BZ144" s="61"/>
      <c r="CA144" s="61"/>
      <c r="CB144" s="61"/>
      <c r="CC144" s="61"/>
      <c r="CD144" s="61"/>
      <c r="CE144" s="61"/>
      <c r="CF144" s="61"/>
      <c r="CG144" s="61"/>
      <c r="CH144" s="61"/>
      <c r="CI144" s="61"/>
      <c r="CJ144" s="61"/>
      <c r="CK144" s="61"/>
      <c r="CL144" s="61"/>
      <c r="CM144" s="61"/>
      <c r="CN144" s="61"/>
      <c r="CO144" s="61"/>
      <c r="CP144" s="61"/>
      <c r="CQ144" s="61"/>
      <c r="CR144" s="61"/>
      <c r="CS144" s="61"/>
      <c r="CT144" s="61"/>
      <c r="CU144" s="61"/>
      <c r="CV144" s="61"/>
      <c r="CW144" s="61"/>
      <c r="CX144" s="61"/>
      <c r="CY144" s="61"/>
      <c r="CZ144" s="61"/>
      <c r="DA144" s="61"/>
      <c r="DB144" s="61"/>
      <c r="DC144" s="61"/>
      <c r="DD144" s="61"/>
      <c r="DE144" s="61"/>
      <c r="DF144" s="61"/>
      <c r="DG144" s="61"/>
      <c r="DH144" s="61"/>
      <c r="DI144" s="61"/>
      <c r="DJ144" s="61"/>
      <c r="DK144" s="61"/>
      <c r="DL144" s="61"/>
      <c r="DM144" s="61"/>
      <c r="DN144" s="61"/>
      <c r="DO144" s="61"/>
      <c r="DP144" s="61"/>
      <c r="DQ144" s="61"/>
      <c r="DR144" s="61"/>
      <c r="DS144" s="61"/>
      <c r="DT144" s="61"/>
      <c r="DU144" s="61"/>
      <c r="DV144" s="61"/>
      <c r="DW144" s="61"/>
      <c r="DX144" s="61"/>
      <c r="DY144" s="61"/>
      <c r="DZ144" s="61"/>
      <c r="EA144" s="61"/>
      <c r="EB144" s="61"/>
      <c r="EC144" s="61"/>
      <c r="ED144" s="61"/>
      <c r="EE144" s="61"/>
      <c r="EF144" s="61"/>
      <c r="EG144" s="61"/>
      <c r="EH144" s="61"/>
      <c r="EI144" s="61"/>
      <c r="EJ144" s="61"/>
      <c r="EK144" s="61"/>
      <c r="EL144" s="61"/>
      <c r="EM144" s="61"/>
      <c r="EN144" s="61"/>
      <c r="EO144" s="61"/>
      <c r="EP144" s="61"/>
      <c r="EQ144" s="61"/>
      <c r="ER144" s="61"/>
      <c r="ES144" s="61"/>
      <c r="ET144" s="61"/>
      <c r="EU144" s="61"/>
      <c r="EV144" s="61"/>
      <c r="EW144" s="61"/>
      <c r="EX144" s="61"/>
      <c r="EY144" s="61"/>
      <c r="EZ144" s="61"/>
      <c r="FA144" s="61"/>
      <c r="FB144" s="61"/>
      <c r="FC144" s="61"/>
      <c r="FD144" s="61"/>
      <c r="FE144" s="61"/>
      <c r="FF144" s="61"/>
      <c r="FG144" s="61"/>
      <c r="FH144" s="61"/>
      <c r="FI144" s="61"/>
      <c r="FJ144" s="61"/>
      <c r="FK144" s="61"/>
      <c r="FL144" s="61"/>
      <c r="FM144" s="61"/>
      <c r="FN144" s="61"/>
      <c r="FO144" s="61"/>
      <c r="FP144" s="61"/>
      <c r="FQ144" s="61"/>
      <c r="FR144" s="61"/>
      <c r="FS144" s="61"/>
      <c r="FT144" s="61"/>
      <c r="FU144" s="61"/>
      <c r="FV144" s="61"/>
      <c r="FW144" s="61"/>
      <c r="FX144" s="61"/>
      <c r="FY144" s="61"/>
      <c r="FZ144" s="61"/>
      <c r="GA144" s="61"/>
      <c r="GB144" s="61"/>
      <c r="GC144" s="61"/>
      <c r="GD144" s="61"/>
      <c r="GE144" s="61"/>
      <c r="GF144" s="61"/>
      <c r="GG144" s="61"/>
      <c r="GH144" s="61"/>
      <c r="GI144" s="61"/>
      <c r="GJ144" s="61"/>
    </row>
    <row r="145" customFormat="1" ht="16.8" spans="1:192">
      <c r="A145" s="61"/>
      <c r="B145" s="61"/>
      <c r="C145" s="61"/>
      <c r="D145" s="61"/>
      <c r="E145" s="61"/>
      <c r="F145" s="61"/>
      <c r="G145" s="61"/>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c r="AE145" s="61"/>
      <c r="AF145" s="61"/>
      <c r="AG145" s="61"/>
      <c r="AH145" s="61"/>
      <c r="AI145" s="61"/>
      <c r="AJ145" s="61"/>
      <c r="AK145" s="61"/>
      <c r="AL145" s="61"/>
      <c r="AM145" s="61"/>
      <c r="AN145" s="61"/>
      <c r="AO145" s="61"/>
      <c r="AP145" s="61"/>
      <c r="AQ145" s="61"/>
      <c r="AR145" s="61"/>
      <c r="AS145" s="61"/>
      <c r="AT145" s="61"/>
      <c r="AU145" s="61"/>
      <c r="AV145" s="61"/>
      <c r="AW145" s="61"/>
      <c r="AX145" s="61"/>
      <c r="AY145" s="61"/>
      <c r="AZ145" s="61"/>
      <c r="BA145" s="61"/>
      <c r="BB145" s="61"/>
      <c r="BC145" s="61"/>
      <c r="BD145" s="61"/>
      <c r="BE145" s="61"/>
      <c r="BF145" s="61"/>
      <c r="BG145" s="61"/>
      <c r="BH145" s="61"/>
      <c r="BI145" s="61"/>
      <c r="BJ145" s="61"/>
      <c r="BK145" s="61"/>
      <c r="BL145" s="61"/>
      <c r="BM145" s="61"/>
      <c r="BN145" s="61"/>
      <c r="BO145" s="61"/>
      <c r="BP145" s="61"/>
      <c r="BQ145" s="61"/>
      <c r="BR145" s="61"/>
      <c r="BS145" s="61"/>
      <c r="BT145" s="61"/>
      <c r="BU145" s="61"/>
      <c r="BV145" s="61"/>
      <c r="BW145" s="61"/>
      <c r="BX145" s="61"/>
      <c r="BY145" s="61"/>
      <c r="BZ145" s="61"/>
      <c r="CA145" s="61"/>
      <c r="CB145" s="61"/>
      <c r="CC145" s="61"/>
      <c r="CD145" s="61"/>
      <c r="CE145" s="61"/>
      <c r="CF145" s="61"/>
      <c r="CG145" s="61"/>
      <c r="CH145" s="61"/>
      <c r="CI145" s="61"/>
      <c r="CJ145" s="61"/>
      <c r="CK145" s="61"/>
      <c r="CL145" s="61"/>
      <c r="CM145" s="61"/>
      <c r="CN145" s="61"/>
      <c r="CO145" s="61"/>
      <c r="CP145" s="61"/>
      <c r="CQ145" s="61"/>
      <c r="CR145" s="61"/>
      <c r="CS145" s="61"/>
      <c r="CT145" s="61"/>
      <c r="CU145" s="61"/>
      <c r="CV145" s="61"/>
      <c r="CW145" s="61"/>
      <c r="CX145" s="61"/>
      <c r="CY145" s="61"/>
      <c r="CZ145" s="61"/>
      <c r="DA145" s="61"/>
      <c r="DB145" s="61"/>
      <c r="DC145" s="61"/>
      <c r="DD145" s="61"/>
      <c r="DE145" s="61"/>
      <c r="DF145" s="61"/>
      <c r="DG145" s="61"/>
      <c r="DH145" s="61"/>
      <c r="DI145" s="61"/>
      <c r="DJ145" s="61"/>
      <c r="DK145" s="61"/>
      <c r="DL145" s="61"/>
      <c r="DM145" s="61"/>
      <c r="DN145" s="61"/>
      <c r="DO145" s="61"/>
      <c r="DP145" s="61"/>
      <c r="DQ145" s="61"/>
      <c r="DR145" s="61"/>
      <c r="DS145" s="61"/>
      <c r="DT145" s="61"/>
      <c r="DU145" s="61"/>
      <c r="DV145" s="61"/>
      <c r="DW145" s="61"/>
      <c r="DX145" s="61"/>
      <c r="DY145" s="61"/>
      <c r="DZ145" s="61"/>
      <c r="EA145" s="61"/>
      <c r="EB145" s="61"/>
      <c r="EC145" s="61"/>
      <c r="ED145" s="61"/>
      <c r="EE145" s="61"/>
      <c r="EF145" s="61"/>
      <c r="EG145" s="61"/>
      <c r="EH145" s="61"/>
      <c r="EI145" s="61"/>
      <c r="EJ145" s="61"/>
      <c r="EK145" s="61"/>
      <c r="EL145" s="61"/>
      <c r="EM145" s="61"/>
      <c r="EN145" s="61"/>
      <c r="EO145" s="61"/>
      <c r="EP145" s="61"/>
      <c r="EQ145" s="61"/>
      <c r="ER145" s="61"/>
      <c r="ES145" s="61"/>
      <c r="ET145" s="61"/>
      <c r="EU145" s="61"/>
      <c r="EV145" s="61"/>
      <c r="EW145" s="61"/>
      <c r="EX145" s="61"/>
      <c r="EY145" s="61"/>
      <c r="EZ145" s="61"/>
      <c r="FA145" s="61"/>
      <c r="FB145" s="61"/>
      <c r="FC145" s="61"/>
      <c r="FD145" s="61"/>
      <c r="FE145" s="61"/>
      <c r="FF145" s="61"/>
      <c r="FG145" s="61"/>
      <c r="FH145" s="61"/>
      <c r="FI145" s="61"/>
      <c r="FJ145" s="61"/>
      <c r="FK145" s="61"/>
      <c r="FL145" s="61"/>
      <c r="FM145" s="61"/>
      <c r="FN145" s="61"/>
      <c r="FO145" s="61"/>
      <c r="FP145" s="61"/>
      <c r="FQ145" s="61"/>
      <c r="FR145" s="61"/>
      <c r="FS145" s="61"/>
      <c r="FT145" s="61"/>
      <c r="FU145" s="61"/>
      <c r="FV145" s="61"/>
      <c r="FW145" s="61"/>
      <c r="FX145" s="61"/>
      <c r="FY145" s="61"/>
      <c r="FZ145" s="61"/>
      <c r="GA145" s="61"/>
      <c r="GB145" s="61"/>
      <c r="GC145" s="61"/>
      <c r="GD145" s="61"/>
      <c r="GE145" s="61"/>
      <c r="GF145" s="61"/>
      <c r="GG145" s="61"/>
      <c r="GH145" s="61"/>
      <c r="GI145" s="61"/>
      <c r="GJ145" s="61"/>
    </row>
    <row r="146" customFormat="1" ht="16.8" spans="1:192">
      <c r="A146" s="61"/>
      <c r="B146" s="61"/>
      <c r="C146" s="61"/>
      <c r="D146" s="61"/>
      <c r="E146" s="61"/>
      <c r="F146" s="61"/>
      <c r="G146" s="61"/>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c r="AE146" s="61"/>
      <c r="AF146" s="61"/>
      <c r="AG146" s="61"/>
      <c r="AH146" s="61"/>
      <c r="AI146" s="61"/>
      <c r="AJ146" s="61"/>
      <c r="AK146" s="61"/>
      <c r="AL146" s="61"/>
      <c r="AM146" s="61"/>
      <c r="AN146" s="61"/>
      <c r="AO146" s="61"/>
      <c r="AP146" s="61"/>
      <c r="AQ146" s="61"/>
      <c r="AR146" s="61"/>
      <c r="AS146" s="61"/>
      <c r="AT146" s="61"/>
      <c r="AU146" s="61"/>
      <c r="AV146" s="61"/>
      <c r="AW146" s="61"/>
      <c r="AX146" s="61"/>
      <c r="AY146" s="61"/>
      <c r="AZ146" s="61"/>
      <c r="BA146" s="61"/>
      <c r="BB146" s="61"/>
      <c r="BC146" s="61"/>
      <c r="BD146" s="61"/>
      <c r="BE146" s="61"/>
      <c r="BF146" s="61"/>
      <c r="BG146" s="61"/>
      <c r="BH146" s="61"/>
      <c r="BI146" s="61"/>
      <c r="BJ146" s="61"/>
      <c r="BK146" s="61"/>
      <c r="BL146" s="61"/>
      <c r="BM146" s="61"/>
      <c r="BN146" s="61"/>
      <c r="BO146" s="61"/>
      <c r="BP146" s="61"/>
      <c r="BQ146" s="61"/>
      <c r="BR146" s="61"/>
      <c r="BS146" s="61"/>
      <c r="BT146" s="61"/>
      <c r="BU146" s="61"/>
      <c r="BV146" s="61"/>
      <c r="BW146" s="61"/>
      <c r="BX146" s="61"/>
      <c r="BY146" s="61"/>
      <c r="BZ146" s="61"/>
      <c r="CA146" s="61"/>
      <c r="CB146" s="61"/>
      <c r="CC146" s="61"/>
      <c r="CD146" s="61"/>
      <c r="CE146" s="61"/>
      <c r="CF146" s="61"/>
      <c r="CG146" s="61"/>
      <c r="CH146" s="61"/>
      <c r="CI146" s="61"/>
      <c r="CJ146" s="61"/>
      <c r="CK146" s="61"/>
      <c r="CL146" s="61"/>
      <c r="CM146" s="61"/>
      <c r="CN146" s="61"/>
      <c r="CO146" s="61"/>
      <c r="CP146" s="61"/>
      <c r="CQ146" s="61"/>
      <c r="CR146" s="61"/>
      <c r="CS146" s="61"/>
      <c r="CT146" s="61"/>
      <c r="CU146" s="61"/>
      <c r="CV146" s="61"/>
      <c r="CW146" s="61"/>
      <c r="CX146" s="61"/>
      <c r="CY146" s="61"/>
      <c r="CZ146" s="61"/>
      <c r="DA146" s="61"/>
      <c r="DB146" s="61"/>
      <c r="DC146" s="61"/>
      <c r="DD146" s="61"/>
      <c r="DE146" s="61"/>
      <c r="DF146" s="61"/>
      <c r="DG146" s="61"/>
      <c r="DH146" s="61"/>
      <c r="DI146" s="61"/>
      <c r="DJ146" s="61"/>
      <c r="DK146" s="61"/>
      <c r="DL146" s="61"/>
      <c r="DM146" s="61"/>
      <c r="DN146" s="61"/>
      <c r="DO146" s="61"/>
      <c r="DP146" s="61"/>
      <c r="DQ146" s="61"/>
      <c r="DR146" s="61"/>
      <c r="DS146" s="61"/>
      <c r="DT146" s="61"/>
      <c r="DU146" s="61"/>
      <c r="DV146" s="61"/>
      <c r="DW146" s="61"/>
      <c r="DX146" s="61"/>
      <c r="DY146" s="61"/>
      <c r="DZ146" s="61"/>
      <c r="EA146" s="61"/>
      <c r="EB146" s="61"/>
      <c r="EC146" s="61"/>
      <c r="ED146" s="61"/>
      <c r="EE146" s="61"/>
      <c r="EF146" s="61"/>
      <c r="EG146" s="61"/>
      <c r="EH146" s="61"/>
      <c r="EI146" s="61"/>
      <c r="EJ146" s="61"/>
      <c r="EK146" s="61"/>
      <c r="EL146" s="61"/>
      <c r="EM146" s="61"/>
      <c r="EN146" s="61"/>
      <c r="EO146" s="61"/>
      <c r="EP146" s="61"/>
      <c r="EQ146" s="61"/>
      <c r="ER146" s="61"/>
      <c r="ES146" s="61"/>
      <c r="ET146" s="61"/>
      <c r="EU146" s="61"/>
      <c r="EV146" s="61"/>
      <c r="EW146" s="61"/>
      <c r="EX146" s="61"/>
      <c r="EY146" s="61"/>
      <c r="EZ146" s="61"/>
      <c r="FA146" s="61"/>
      <c r="FB146" s="61"/>
      <c r="FC146" s="61"/>
      <c r="FD146" s="61"/>
      <c r="FE146" s="61"/>
      <c r="FF146" s="61"/>
      <c r="FG146" s="61"/>
      <c r="FH146" s="61"/>
      <c r="FI146" s="61"/>
      <c r="FJ146" s="61"/>
      <c r="FK146" s="61"/>
      <c r="FL146" s="61"/>
      <c r="FM146" s="61"/>
      <c r="FN146" s="61"/>
      <c r="FO146" s="61"/>
      <c r="FP146" s="61"/>
      <c r="FQ146" s="61"/>
      <c r="FR146" s="61"/>
      <c r="FS146" s="61"/>
      <c r="FT146" s="61"/>
      <c r="FU146" s="61"/>
      <c r="FV146" s="61"/>
      <c r="FW146" s="61"/>
      <c r="FX146" s="61"/>
      <c r="FY146" s="61"/>
      <c r="FZ146" s="61"/>
      <c r="GA146" s="61"/>
      <c r="GB146" s="61"/>
      <c r="GC146" s="61"/>
      <c r="GD146" s="61"/>
      <c r="GE146" s="61"/>
      <c r="GF146" s="61"/>
      <c r="GG146" s="61"/>
      <c r="GH146" s="61"/>
      <c r="GI146" s="61"/>
      <c r="GJ146" s="61"/>
    </row>
    <row r="147" customFormat="1" ht="16.8" spans="1:192">
      <c r="A147" s="61"/>
      <c r="B147" s="61"/>
      <c r="C147" s="61"/>
      <c r="D147" s="61"/>
      <c r="E147" s="61"/>
      <c r="F147" s="61"/>
      <c r="G147" s="61"/>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c r="AE147" s="61"/>
      <c r="AF147" s="61"/>
      <c r="AG147" s="61"/>
      <c r="AH147" s="61"/>
      <c r="AI147" s="61"/>
      <c r="AJ147" s="61"/>
      <c r="AK147" s="61"/>
      <c r="AL147" s="61"/>
      <c r="AM147" s="61"/>
      <c r="AN147" s="61"/>
      <c r="AO147" s="61"/>
      <c r="AP147" s="61"/>
      <c r="AQ147" s="61"/>
      <c r="AR147" s="61"/>
      <c r="AS147" s="61"/>
      <c r="AT147" s="61"/>
      <c r="AU147" s="61"/>
      <c r="AV147" s="61"/>
      <c r="AW147" s="61"/>
      <c r="AX147" s="61"/>
      <c r="AY147" s="61"/>
      <c r="AZ147" s="61"/>
      <c r="BA147" s="61"/>
      <c r="BB147" s="61"/>
      <c r="BC147" s="61"/>
      <c r="BD147" s="61"/>
      <c r="BE147" s="61"/>
      <c r="BF147" s="61"/>
      <c r="BG147" s="61"/>
      <c r="BH147" s="61"/>
      <c r="BI147" s="61"/>
      <c r="BJ147" s="61"/>
      <c r="BK147" s="61"/>
      <c r="BL147" s="61"/>
      <c r="BM147" s="61"/>
      <c r="BN147" s="61"/>
      <c r="BO147" s="61"/>
      <c r="BP147" s="61"/>
      <c r="BQ147" s="61"/>
      <c r="BR147" s="61"/>
      <c r="BS147" s="61"/>
      <c r="BT147" s="61"/>
      <c r="BU147" s="61"/>
      <c r="BV147" s="61"/>
      <c r="BW147" s="61"/>
      <c r="BX147" s="61"/>
      <c r="BY147" s="61"/>
      <c r="BZ147" s="61"/>
      <c r="CA147" s="61"/>
      <c r="CB147" s="61"/>
      <c r="CC147" s="61"/>
      <c r="CD147" s="61"/>
      <c r="CE147" s="61"/>
      <c r="CF147" s="61"/>
      <c r="CG147" s="61"/>
      <c r="CH147" s="61"/>
      <c r="CI147" s="61"/>
      <c r="CJ147" s="61"/>
      <c r="CK147" s="61"/>
      <c r="CL147" s="61"/>
      <c r="CM147" s="61"/>
      <c r="CN147" s="61"/>
      <c r="CO147" s="61"/>
      <c r="CP147" s="61"/>
      <c r="CQ147" s="61"/>
      <c r="CR147" s="61"/>
      <c r="CS147" s="61"/>
      <c r="CT147" s="61"/>
      <c r="CU147" s="61"/>
      <c r="CV147" s="61"/>
      <c r="CW147" s="61"/>
      <c r="CX147" s="61"/>
      <c r="CY147" s="61"/>
      <c r="CZ147" s="61"/>
      <c r="DA147" s="61"/>
      <c r="DB147" s="61"/>
      <c r="DC147" s="61"/>
      <c r="DD147" s="61"/>
      <c r="DE147" s="61"/>
      <c r="DF147" s="61"/>
      <c r="DG147" s="61"/>
      <c r="DH147" s="61"/>
      <c r="DI147" s="61"/>
      <c r="DJ147" s="61"/>
      <c r="DK147" s="61"/>
      <c r="DL147" s="61"/>
      <c r="DM147" s="61"/>
      <c r="DN147" s="61"/>
      <c r="DO147" s="61"/>
      <c r="DP147" s="61"/>
      <c r="DQ147" s="61"/>
      <c r="DR147" s="61"/>
      <c r="DS147" s="61"/>
      <c r="DT147" s="61"/>
      <c r="DU147" s="61"/>
      <c r="DV147" s="61"/>
      <c r="DW147" s="61"/>
      <c r="DX147" s="61"/>
      <c r="DY147" s="61"/>
      <c r="DZ147" s="61"/>
      <c r="EA147" s="61"/>
      <c r="EB147" s="61"/>
      <c r="EC147" s="61"/>
      <c r="ED147" s="61"/>
      <c r="EE147" s="61"/>
      <c r="EF147" s="61"/>
      <c r="EG147" s="61"/>
      <c r="EH147" s="61"/>
      <c r="EI147" s="61"/>
      <c r="EJ147" s="61"/>
      <c r="EK147" s="61"/>
      <c r="EL147" s="61"/>
      <c r="EM147" s="61"/>
      <c r="EN147" s="61"/>
      <c r="EO147" s="61"/>
      <c r="EP147" s="61"/>
      <c r="EQ147" s="61"/>
      <c r="ER147" s="61"/>
      <c r="ES147" s="61"/>
      <c r="ET147" s="61"/>
      <c r="EU147" s="61"/>
      <c r="EV147" s="61"/>
      <c r="EW147" s="61"/>
      <c r="EX147" s="61"/>
      <c r="EY147" s="61"/>
      <c r="EZ147" s="61"/>
      <c r="FA147" s="61"/>
      <c r="FB147" s="61"/>
      <c r="FC147" s="61"/>
      <c r="FD147" s="61"/>
      <c r="FE147" s="61"/>
      <c r="FF147" s="61"/>
      <c r="FG147" s="61"/>
      <c r="FH147" s="61"/>
      <c r="FI147" s="61"/>
      <c r="FJ147" s="61"/>
      <c r="FK147" s="61"/>
      <c r="FL147" s="61"/>
      <c r="FM147" s="61"/>
      <c r="FN147" s="61"/>
      <c r="FO147" s="61"/>
      <c r="FP147" s="61"/>
      <c r="FQ147" s="61"/>
      <c r="FR147" s="61"/>
      <c r="FS147" s="61"/>
      <c r="FT147" s="61"/>
      <c r="FU147" s="61"/>
      <c r="FV147" s="61"/>
      <c r="FW147" s="61"/>
      <c r="FX147" s="61"/>
      <c r="FY147" s="61"/>
      <c r="FZ147" s="61"/>
      <c r="GA147" s="61"/>
      <c r="GB147" s="61"/>
      <c r="GC147" s="61"/>
      <c r="GD147" s="61"/>
      <c r="GE147" s="61"/>
      <c r="GF147" s="61"/>
      <c r="GG147" s="61"/>
      <c r="GH147" s="61"/>
      <c r="GI147" s="61"/>
      <c r="GJ147" s="61"/>
    </row>
    <row r="148" customFormat="1" ht="16.8" spans="1:192">
      <c r="A148" s="61"/>
      <c r="B148" s="61"/>
      <c r="C148" s="61"/>
      <c r="D148" s="61"/>
      <c r="E148" s="61"/>
      <c r="F148" s="61"/>
      <c r="G148" s="61"/>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c r="AE148" s="61"/>
      <c r="AF148" s="61"/>
      <c r="AG148" s="61"/>
      <c r="AH148" s="61"/>
      <c r="AI148" s="61"/>
      <c r="AJ148" s="61"/>
      <c r="AK148" s="61"/>
      <c r="AL148" s="61"/>
      <c r="AM148" s="61"/>
      <c r="AN148" s="61"/>
      <c r="AO148" s="61"/>
      <c r="AP148" s="61"/>
      <c r="AQ148" s="61"/>
      <c r="AR148" s="61"/>
      <c r="AS148" s="61"/>
      <c r="AT148" s="61"/>
      <c r="AU148" s="61"/>
      <c r="AV148" s="61"/>
      <c r="AW148" s="61"/>
      <c r="AX148" s="61"/>
      <c r="AY148" s="61"/>
      <c r="AZ148" s="61"/>
      <c r="BA148" s="61"/>
      <c r="BB148" s="61"/>
      <c r="BC148" s="61"/>
      <c r="BD148" s="61"/>
      <c r="BE148" s="61"/>
      <c r="BF148" s="61"/>
      <c r="BG148" s="61"/>
      <c r="BH148" s="61"/>
      <c r="BI148" s="61"/>
      <c r="BJ148" s="61"/>
      <c r="BK148" s="61"/>
      <c r="BL148" s="61"/>
      <c r="BM148" s="61"/>
      <c r="BN148" s="61"/>
      <c r="BO148" s="61"/>
      <c r="BP148" s="61"/>
      <c r="BQ148" s="61"/>
      <c r="BR148" s="61"/>
      <c r="BS148" s="61"/>
      <c r="BT148" s="61"/>
      <c r="BU148" s="61"/>
      <c r="BV148" s="61"/>
      <c r="BW148" s="61"/>
      <c r="BX148" s="61"/>
      <c r="BY148" s="61"/>
      <c r="BZ148" s="61"/>
      <c r="CA148" s="61"/>
      <c r="CB148" s="61"/>
      <c r="CC148" s="61"/>
      <c r="CD148" s="61"/>
      <c r="CE148" s="61"/>
      <c r="CF148" s="61"/>
      <c r="CG148" s="61"/>
      <c r="CH148" s="61"/>
      <c r="CI148" s="61"/>
      <c r="CJ148" s="61"/>
      <c r="CK148" s="61"/>
      <c r="CL148" s="61"/>
      <c r="CM148" s="61"/>
      <c r="CN148" s="61"/>
      <c r="CO148" s="61"/>
      <c r="CP148" s="61"/>
      <c r="CQ148" s="61"/>
      <c r="CR148" s="61"/>
      <c r="CS148" s="61"/>
      <c r="CT148" s="61"/>
      <c r="CU148" s="61"/>
      <c r="CV148" s="61"/>
      <c r="CW148" s="61"/>
      <c r="CX148" s="61"/>
      <c r="CY148" s="61"/>
      <c r="CZ148" s="61"/>
      <c r="DA148" s="61"/>
      <c r="DB148" s="61"/>
      <c r="DC148" s="61"/>
      <c r="DD148" s="61"/>
      <c r="DE148" s="61"/>
      <c r="DF148" s="61"/>
      <c r="DG148" s="61"/>
      <c r="DH148" s="61"/>
      <c r="DI148" s="61"/>
      <c r="DJ148" s="61"/>
      <c r="DK148" s="61"/>
      <c r="DL148" s="61"/>
      <c r="DM148" s="61"/>
      <c r="DN148" s="61"/>
      <c r="DO148" s="61"/>
      <c r="DP148" s="61"/>
      <c r="DQ148" s="61"/>
      <c r="DR148" s="61"/>
      <c r="DS148" s="61"/>
      <c r="DT148" s="61"/>
      <c r="DU148" s="61"/>
      <c r="DV148" s="61"/>
      <c r="DW148" s="61"/>
      <c r="DX148" s="61"/>
      <c r="DY148" s="61"/>
      <c r="DZ148" s="61"/>
      <c r="EA148" s="61"/>
      <c r="EB148" s="61"/>
      <c r="EC148" s="61"/>
      <c r="ED148" s="61"/>
      <c r="EE148" s="61"/>
      <c r="EF148" s="61"/>
      <c r="EG148" s="61"/>
      <c r="EH148" s="61"/>
      <c r="EI148" s="61"/>
      <c r="EJ148" s="61"/>
      <c r="EK148" s="61"/>
      <c r="EL148" s="61"/>
      <c r="EM148" s="61"/>
      <c r="EN148" s="61"/>
      <c r="EO148" s="61"/>
      <c r="EP148" s="61"/>
      <c r="EQ148" s="61"/>
      <c r="ER148" s="61"/>
      <c r="ES148" s="61"/>
      <c r="ET148" s="61"/>
      <c r="EU148" s="61"/>
      <c r="EV148" s="61"/>
      <c r="EW148" s="61"/>
      <c r="EX148" s="61"/>
      <c r="EY148" s="61"/>
      <c r="EZ148" s="61"/>
      <c r="FA148" s="61"/>
      <c r="FB148" s="61"/>
      <c r="FC148" s="61"/>
      <c r="FD148" s="61"/>
      <c r="FE148" s="61"/>
      <c r="FF148" s="61"/>
      <c r="FG148" s="61"/>
      <c r="FH148" s="61"/>
      <c r="FI148" s="61"/>
      <c r="FJ148" s="61"/>
      <c r="FK148" s="61"/>
      <c r="FL148" s="61"/>
      <c r="FM148" s="61"/>
      <c r="FN148" s="61"/>
      <c r="FO148" s="61"/>
      <c r="FP148" s="61"/>
      <c r="FQ148" s="61"/>
      <c r="FR148" s="61"/>
      <c r="FS148" s="61"/>
      <c r="FT148" s="61"/>
      <c r="FU148" s="61"/>
      <c r="FV148" s="61"/>
      <c r="FW148" s="61"/>
      <c r="FX148" s="61"/>
      <c r="FY148" s="61"/>
      <c r="FZ148" s="61"/>
      <c r="GA148" s="61"/>
      <c r="GB148" s="61"/>
      <c r="GC148" s="61"/>
      <c r="GD148" s="61"/>
      <c r="GE148" s="61"/>
      <c r="GF148" s="61"/>
      <c r="GG148" s="61"/>
      <c r="GH148" s="61"/>
      <c r="GI148" s="61"/>
      <c r="GJ148" s="61"/>
    </row>
    <row r="149" customFormat="1" ht="16.8" spans="1:192">
      <c r="A149" s="61"/>
      <c r="B149" s="61"/>
      <c r="C149" s="61"/>
      <c r="D149" s="61"/>
      <c r="E149" s="61"/>
      <c r="F149" s="61"/>
      <c r="G149" s="61"/>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c r="AE149" s="61"/>
      <c r="AF149" s="61"/>
      <c r="AG149" s="61"/>
      <c r="AH149" s="61"/>
      <c r="AI149" s="61"/>
      <c r="AJ149" s="61"/>
      <c r="AK149" s="61"/>
      <c r="AL149" s="61"/>
      <c r="AM149" s="61"/>
      <c r="AN149" s="61"/>
      <c r="AO149" s="61"/>
      <c r="AP149" s="61"/>
      <c r="AQ149" s="61"/>
      <c r="AR149" s="61"/>
      <c r="AS149" s="61"/>
      <c r="AT149" s="61"/>
      <c r="AU149" s="61"/>
      <c r="AV149" s="61"/>
      <c r="AW149" s="61"/>
      <c r="AX149" s="61"/>
      <c r="AY149" s="61"/>
      <c r="AZ149" s="61"/>
      <c r="BA149" s="61"/>
      <c r="BB149" s="61"/>
      <c r="BC149" s="61"/>
      <c r="BD149" s="61"/>
      <c r="BE149" s="61"/>
      <c r="BF149" s="61"/>
      <c r="BG149" s="61"/>
      <c r="BH149" s="61"/>
      <c r="BI149" s="61"/>
      <c r="BJ149" s="61"/>
      <c r="BK149" s="61"/>
      <c r="BL149" s="61"/>
      <c r="BM149" s="61"/>
      <c r="BN149" s="61"/>
      <c r="BO149" s="61"/>
      <c r="BP149" s="61"/>
      <c r="BQ149" s="61"/>
      <c r="BR149" s="61"/>
      <c r="BS149" s="61"/>
      <c r="BT149" s="61"/>
      <c r="BU149" s="61"/>
      <c r="BV149" s="61"/>
      <c r="BW149" s="61"/>
      <c r="BX149" s="61"/>
      <c r="BY149" s="61"/>
      <c r="BZ149" s="61"/>
      <c r="CA149" s="61"/>
      <c r="CB149" s="61"/>
      <c r="CC149" s="61"/>
      <c r="CD149" s="61"/>
      <c r="CE149" s="61"/>
      <c r="CF149" s="61"/>
      <c r="CG149" s="61"/>
      <c r="CH149" s="61"/>
      <c r="CI149" s="61"/>
      <c r="CJ149" s="61"/>
      <c r="CK149" s="61"/>
      <c r="CL149" s="61"/>
      <c r="CM149" s="61"/>
      <c r="CN149" s="61"/>
      <c r="CO149" s="61"/>
      <c r="CP149" s="61"/>
      <c r="CQ149" s="61"/>
      <c r="CR149" s="61"/>
      <c r="CS149" s="61"/>
      <c r="CT149" s="61"/>
      <c r="CU149" s="61"/>
      <c r="CV149" s="61"/>
      <c r="CW149" s="61"/>
      <c r="CX149" s="61"/>
      <c r="CY149" s="61"/>
      <c r="CZ149" s="61"/>
      <c r="DA149" s="61"/>
      <c r="DB149" s="61"/>
      <c r="DC149" s="61"/>
      <c r="DD149" s="61"/>
      <c r="DE149" s="61"/>
      <c r="DF149" s="61"/>
      <c r="DG149" s="61"/>
      <c r="DH149" s="61"/>
      <c r="DI149" s="61"/>
      <c r="DJ149" s="61"/>
      <c r="DK149" s="61"/>
      <c r="DL149" s="61"/>
      <c r="DM149" s="61"/>
      <c r="DN149" s="61"/>
      <c r="DO149" s="61"/>
      <c r="DP149" s="61"/>
      <c r="DQ149" s="61"/>
      <c r="DR149" s="61"/>
      <c r="DS149" s="61"/>
      <c r="DT149" s="61"/>
      <c r="DU149" s="61"/>
      <c r="DV149" s="61"/>
      <c r="DW149" s="61"/>
      <c r="DX149" s="61"/>
      <c r="DY149" s="61"/>
      <c r="DZ149" s="61"/>
      <c r="EA149" s="61"/>
      <c r="EB149" s="61"/>
      <c r="EC149" s="61"/>
      <c r="ED149" s="61"/>
      <c r="EE149" s="61"/>
      <c r="EF149" s="61"/>
      <c r="EG149" s="61"/>
      <c r="EH149" s="61"/>
      <c r="EI149" s="61"/>
      <c r="EJ149" s="61"/>
      <c r="EK149" s="61"/>
      <c r="EL149" s="61"/>
      <c r="EM149" s="61"/>
      <c r="EN149" s="61"/>
      <c r="EO149" s="61"/>
      <c r="EP149" s="61"/>
      <c r="EQ149" s="61"/>
      <c r="ER149" s="61"/>
      <c r="ES149" s="61"/>
      <c r="ET149" s="61"/>
      <c r="EU149" s="61"/>
      <c r="EV149" s="61"/>
      <c r="EW149" s="61"/>
      <c r="EX149" s="61"/>
      <c r="EY149" s="61"/>
      <c r="EZ149" s="61"/>
      <c r="FA149" s="61"/>
      <c r="FB149" s="61"/>
      <c r="FC149" s="61"/>
      <c r="FD149" s="61"/>
      <c r="FE149" s="61"/>
      <c r="FF149" s="61"/>
      <c r="FG149" s="61"/>
      <c r="FH149" s="61"/>
      <c r="FI149" s="61"/>
      <c r="FJ149" s="61"/>
      <c r="FK149" s="61"/>
      <c r="FL149" s="61"/>
      <c r="FM149" s="61"/>
      <c r="FN149" s="61"/>
      <c r="FO149" s="61"/>
      <c r="FP149" s="61"/>
      <c r="FQ149" s="61"/>
      <c r="FR149" s="61"/>
      <c r="FS149" s="61"/>
      <c r="FT149" s="61"/>
      <c r="FU149" s="61"/>
      <c r="FV149" s="61"/>
      <c r="FW149" s="61"/>
      <c r="FX149" s="61"/>
      <c r="FY149" s="61"/>
      <c r="FZ149" s="61"/>
      <c r="GA149" s="61"/>
      <c r="GB149" s="61"/>
      <c r="GC149" s="61"/>
      <c r="GD149" s="61"/>
      <c r="GE149" s="61"/>
      <c r="GF149" s="61"/>
      <c r="GG149" s="61"/>
      <c r="GH149" s="61"/>
      <c r="GI149" s="61"/>
      <c r="GJ149" s="61"/>
    </row>
    <row r="150" customFormat="1" ht="16.8" spans="1:192">
      <c r="A150" s="61"/>
      <c r="B150" s="61"/>
      <c r="C150" s="61"/>
      <c r="D150" s="61"/>
      <c r="E150" s="61"/>
      <c r="F150" s="61"/>
      <c r="G150" s="61"/>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c r="AE150" s="61"/>
      <c r="AF150" s="61"/>
      <c r="AG150" s="61"/>
      <c r="AH150" s="61"/>
      <c r="AI150" s="61"/>
      <c r="AJ150" s="61"/>
      <c r="AK150" s="61"/>
      <c r="AL150" s="61"/>
      <c r="AM150" s="61"/>
      <c r="AN150" s="61"/>
      <c r="AO150" s="61"/>
      <c r="AP150" s="61"/>
      <c r="AQ150" s="61"/>
      <c r="AR150" s="61"/>
      <c r="AS150" s="61"/>
      <c r="AT150" s="61"/>
      <c r="AU150" s="61"/>
      <c r="AV150" s="61"/>
      <c r="AW150" s="61"/>
      <c r="AX150" s="61"/>
      <c r="AY150" s="61"/>
      <c r="AZ150" s="61"/>
      <c r="BA150" s="61"/>
      <c r="BB150" s="61"/>
      <c r="BC150" s="61"/>
      <c r="BD150" s="61"/>
      <c r="BE150" s="61"/>
      <c r="BF150" s="61"/>
      <c r="BG150" s="61"/>
      <c r="BH150" s="61"/>
      <c r="BI150" s="61"/>
      <c r="BJ150" s="61"/>
      <c r="BK150" s="61"/>
      <c r="BL150" s="61"/>
      <c r="BM150" s="61"/>
      <c r="BN150" s="61"/>
      <c r="BO150" s="61"/>
      <c r="BP150" s="61"/>
      <c r="BQ150" s="61"/>
      <c r="BR150" s="61"/>
      <c r="BS150" s="61"/>
      <c r="BT150" s="61"/>
      <c r="BU150" s="61"/>
      <c r="BV150" s="61"/>
      <c r="BW150" s="61"/>
      <c r="BX150" s="61"/>
      <c r="BY150" s="61"/>
      <c r="BZ150" s="61"/>
      <c r="CA150" s="61"/>
      <c r="CB150" s="61"/>
      <c r="CC150" s="61"/>
      <c r="CD150" s="61"/>
      <c r="CE150" s="61"/>
      <c r="CF150" s="61"/>
      <c r="CG150" s="61"/>
      <c r="CH150" s="61"/>
      <c r="CI150" s="61"/>
      <c r="CJ150" s="61"/>
      <c r="CK150" s="61"/>
      <c r="CL150" s="61"/>
      <c r="CM150" s="61"/>
      <c r="CN150" s="61"/>
      <c r="CO150" s="61"/>
      <c r="CP150" s="61"/>
      <c r="CQ150" s="61"/>
      <c r="CR150" s="61"/>
      <c r="CS150" s="61"/>
      <c r="CT150" s="61"/>
      <c r="CU150" s="61"/>
      <c r="CV150" s="61"/>
      <c r="CW150" s="61"/>
      <c r="CX150" s="61"/>
      <c r="CY150" s="61"/>
      <c r="CZ150" s="61"/>
      <c r="DA150" s="61"/>
      <c r="DB150" s="61"/>
      <c r="DC150" s="61"/>
      <c r="DD150" s="61"/>
      <c r="DE150" s="61"/>
      <c r="DF150" s="61"/>
      <c r="DG150" s="61"/>
      <c r="DH150" s="61"/>
      <c r="DI150" s="61"/>
      <c r="DJ150" s="61"/>
      <c r="DK150" s="61"/>
      <c r="DL150" s="61"/>
      <c r="DM150" s="61"/>
      <c r="DN150" s="61"/>
      <c r="DO150" s="61"/>
      <c r="DP150" s="61"/>
      <c r="DQ150" s="61"/>
      <c r="DR150" s="61"/>
      <c r="DS150" s="61"/>
      <c r="DT150" s="61"/>
      <c r="DU150" s="61"/>
      <c r="DV150" s="61"/>
      <c r="DW150" s="61"/>
      <c r="DX150" s="61"/>
      <c r="DY150" s="61"/>
      <c r="DZ150" s="61"/>
      <c r="EA150" s="61"/>
      <c r="EB150" s="61"/>
      <c r="EC150" s="61"/>
      <c r="ED150" s="61"/>
      <c r="EE150" s="61"/>
      <c r="EF150" s="61"/>
      <c r="EG150" s="61"/>
      <c r="EH150" s="61"/>
      <c r="EI150" s="61"/>
      <c r="EJ150" s="61"/>
      <c r="EK150" s="61"/>
      <c r="EL150" s="61"/>
      <c r="EM150" s="61"/>
      <c r="EN150" s="61"/>
      <c r="EO150" s="61"/>
      <c r="EP150" s="61"/>
      <c r="EQ150" s="61"/>
      <c r="ER150" s="61"/>
      <c r="ES150" s="61"/>
      <c r="ET150" s="61"/>
      <c r="EU150" s="61"/>
      <c r="EV150" s="61"/>
      <c r="EW150" s="61"/>
      <c r="EX150" s="61"/>
      <c r="EY150" s="61"/>
      <c r="EZ150" s="61"/>
      <c r="FA150" s="61"/>
      <c r="FB150" s="61"/>
      <c r="FC150" s="61"/>
      <c r="FD150" s="61"/>
      <c r="FE150" s="61"/>
      <c r="FF150" s="61"/>
      <c r="FG150" s="61"/>
      <c r="FH150" s="61"/>
      <c r="FI150" s="61"/>
      <c r="FJ150" s="61"/>
      <c r="FK150" s="61"/>
      <c r="FL150" s="61"/>
      <c r="FM150" s="61"/>
      <c r="FN150" s="61"/>
      <c r="FO150" s="61"/>
      <c r="FP150" s="61"/>
      <c r="FQ150" s="61"/>
      <c r="FR150" s="61"/>
      <c r="FS150" s="61"/>
      <c r="FT150" s="61"/>
      <c r="FU150" s="61"/>
      <c r="FV150" s="61"/>
      <c r="FW150" s="61"/>
      <c r="FX150" s="61"/>
      <c r="FY150" s="61"/>
      <c r="FZ150" s="61"/>
      <c r="GA150" s="61"/>
      <c r="GB150" s="61"/>
      <c r="GC150" s="61"/>
      <c r="GD150" s="61"/>
      <c r="GE150" s="61"/>
      <c r="GF150" s="61"/>
      <c r="GG150" s="61"/>
      <c r="GH150" s="61"/>
      <c r="GI150" s="61"/>
      <c r="GJ150" s="61"/>
    </row>
    <row r="151" customFormat="1" ht="16.8" spans="1:192">
      <c r="A151" s="61"/>
      <c r="B151" s="61"/>
      <c r="C151" s="61"/>
      <c r="D151" s="61"/>
      <c r="E151" s="61"/>
      <c r="F151" s="61"/>
      <c r="G151" s="61"/>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c r="AE151" s="61"/>
      <c r="AF151" s="61"/>
      <c r="AG151" s="61"/>
      <c r="AH151" s="61"/>
      <c r="AI151" s="61"/>
      <c r="AJ151" s="61"/>
      <c r="AK151" s="61"/>
      <c r="AL151" s="61"/>
      <c r="AM151" s="61"/>
      <c r="AN151" s="61"/>
      <c r="AO151" s="61"/>
      <c r="AP151" s="61"/>
      <c r="AQ151" s="61"/>
      <c r="AR151" s="61"/>
      <c r="AS151" s="61"/>
      <c r="AT151" s="61"/>
      <c r="AU151" s="61"/>
      <c r="AV151" s="61"/>
      <c r="AW151" s="61"/>
      <c r="AX151" s="61"/>
      <c r="AY151" s="61"/>
      <c r="AZ151" s="61"/>
      <c r="BA151" s="61"/>
      <c r="BB151" s="61"/>
      <c r="BC151" s="61"/>
      <c r="BD151" s="61"/>
      <c r="BE151" s="61"/>
      <c r="BF151" s="61"/>
      <c r="BG151" s="61"/>
      <c r="BH151" s="61"/>
      <c r="BI151" s="61"/>
      <c r="BJ151" s="61"/>
      <c r="BK151" s="61"/>
      <c r="BL151" s="61"/>
      <c r="BM151" s="61"/>
      <c r="BN151" s="61"/>
      <c r="BO151" s="61"/>
      <c r="BP151" s="61"/>
      <c r="BQ151" s="61"/>
      <c r="BR151" s="61"/>
      <c r="BS151" s="61"/>
      <c r="BT151" s="61"/>
      <c r="BU151" s="61"/>
      <c r="BV151" s="61"/>
      <c r="BW151" s="61"/>
      <c r="BX151" s="61"/>
      <c r="BY151" s="61"/>
      <c r="BZ151" s="61"/>
      <c r="CA151" s="61"/>
      <c r="CB151" s="61"/>
      <c r="CC151" s="61"/>
      <c r="CD151" s="61"/>
      <c r="CE151" s="61"/>
      <c r="CF151" s="61"/>
      <c r="CG151" s="61"/>
      <c r="CH151" s="61"/>
      <c r="CI151" s="61"/>
      <c r="CJ151" s="61"/>
      <c r="CK151" s="61"/>
      <c r="CL151" s="61"/>
      <c r="CM151" s="61"/>
      <c r="CN151" s="61"/>
      <c r="CO151" s="61"/>
      <c r="CP151" s="61"/>
      <c r="CQ151" s="61"/>
      <c r="CR151" s="61"/>
      <c r="CS151" s="61"/>
      <c r="CT151" s="61"/>
      <c r="CU151" s="61"/>
      <c r="CV151" s="61"/>
      <c r="CW151" s="61"/>
      <c r="CX151" s="61"/>
      <c r="CY151" s="61"/>
      <c r="CZ151" s="61"/>
      <c r="DA151" s="61"/>
      <c r="DB151" s="61"/>
      <c r="DC151" s="61"/>
      <c r="DD151" s="61"/>
      <c r="DE151" s="61"/>
      <c r="DF151" s="61"/>
      <c r="DG151" s="61"/>
      <c r="DH151" s="61"/>
      <c r="DI151" s="61"/>
      <c r="DJ151" s="61"/>
      <c r="DK151" s="61"/>
      <c r="DL151" s="61"/>
      <c r="DM151" s="61"/>
      <c r="DN151" s="61"/>
      <c r="DO151" s="61"/>
      <c r="DP151" s="61"/>
      <c r="DQ151" s="61"/>
      <c r="DR151" s="61"/>
      <c r="DS151" s="61"/>
      <c r="DT151" s="61"/>
      <c r="DU151" s="61"/>
      <c r="DV151" s="61"/>
      <c r="DW151" s="61"/>
      <c r="DX151" s="61"/>
      <c r="DY151" s="61"/>
      <c r="DZ151" s="61"/>
      <c r="EA151" s="61"/>
      <c r="EB151" s="61"/>
      <c r="EC151" s="61"/>
      <c r="ED151" s="61"/>
      <c r="EE151" s="61"/>
      <c r="EF151" s="61"/>
      <c r="EG151" s="61"/>
      <c r="EH151" s="61"/>
      <c r="EI151" s="61"/>
      <c r="EJ151" s="61"/>
      <c r="EK151" s="61"/>
      <c r="EL151" s="61"/>
      <c r="EM151" s="61"/>
      <c r="EN151" s="61"/>
      <c r="EO151" s="61"/>
      <c r="EP151" s="61"/>
      <c r="EQ151" s="61"/>
      <c r="ER151" s="61"/>
      <c r="ES151" s="61"/>
      <c r="ET151" s="61"/>
      <c r="EU151" s="61"/>
      <c r="EV151" s="61"/>
      <c r="EW151" s="61"/>
      <c r="EX151" s="61"/>
      <c r="EY151" s="61"/>
      <c r="EZ151" s="61"/>
      <c r="FA151" s="61"/>
      <c r="FB151" s="61"/>
      <c r="FC151" s="61"/>
      <c r="FD151" s="61"/>
      <c r="FE151" s="61"/>
      <c r="FF151" s="61"/>
      <c r="FG151" s="61"/>
      <c r="FH151" s="61"/>
      <c r="FI151" s="61"/>
      <c r="FJ151" s="61"/>
      <c r="FK151" s="61"/>
      <c r="FL151" s="61"/>
      <c r="FM151" s="61"/>
      <c r="FN151" s="61"/>
      <c r="FO151" s="61"/>
      <c r="FP151" s="61"/>
      <c r="FQ151" s="61"/>
      <c r="FR151" s="61"/>
      <c r="FS151" s="61"/>
      <c r="FT151" s="61"/>
      <c r="FU151" s="61"/>
      <c r="FV151" s="61"/>
      <c r="FW151" s="61"/>
      <c r="FX151" s="61"/>
      <c r="FY151" s="61"/>
      <c r="FZ151" s="61"/>
      <c r="GA151" s="61"/>
      <c r="GB151" s="61"/>
      <c r="GC151" s="61"/>
      <c r="GD151" s="61"/>
      <c r="GE151" s="61"/>
      <c r="GF151" s="61"/>
      <c r="GG151" s="61"/>
      <c r="GH151" s="61"/>
      <c r="GI151" s="61"/>
      <c r="GJ151" s="61"/>
    </row>
    <row r="152" customFormat="1" ht="16.8" spans="1:192">
      <c r="A152" s="61"/>
      <c r="B152" s="61"/>
      <c r="C152" s="61"/>
      <c r="D152" s="61"/>
      <c r="E152" s="61"/>
      <c r="F152" s="61"/>
      <c r="G152" s="61"/>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c r="AE152" s="61"/>
      <c r="AF152" s="61"/>
      <c r="AG152" s="61"/>
      <c r="AH152" s="61"/>
      <c r="AI152" s="61"/>
      <c r="AJ152" s="61"/>
      <c r="AK152" s="61"/>
      <c r="AL152" s="61"/>
      <c r="AM152" s="61"/>
      <c r="AN152" s="61"/>
      <c r="AO152" s="61"/>
      <c r="AP152" s="61"/>
      <c r="AQ152" s="61"/>
      <c r="AR152" s="61"/>
      <c r="AS152" s="61"/>
      <c r="AT152" s="61"/>
      <c r="AU152" s="61"/>
      <c r="AV152" s="61"/>
      <c r="AW152" s="61"/>
      <c r="AX152" s="61"/>
      <c r="AY152" s="61"/>
      <c r="AZ152" s="61"/>
      <c r="BA152" s="61"/>
      <c r="BB152" s="61"/>
      <c r="BC152" s="61"/>
      <c r="BD152" s="61"/>
      <c r="BE152" s="61"/>
      <c r="BF152" s="61"/>
      <c r="BG152" s="61"/>
      <c r="BH152" s="61"/>
      <c r="BI152" s="61"/>
      <c r="BJ152" s="61"/>
      <c r="BK152" s="61"/>
      <c r="BL152" s="61"/>
      <c r="BM152" s="61"/>
      <c r="BN152" s="61"/>
      <c r="BO152" s="61"/>
      <c r="BP152" s="61"/>
      <c r="BQ152" s="61"/>
      <c r="BR152" s="61"/>
      <c r="BS152" s="61"/>
      <c r="BT152" s="61"/>
      <c r="BU152" s="61"/>
      <c r="BV152" s="61"/>
      <c r="BW152" s="61"/>
      <c r="BX152" s="61"/>
      <c r="BY152" s="61"/>
      <c r="BZ152" s="61"/>
      <c r="CA152" s="61"/>
      <c r="CB152" s="61"/>
      <c r="CC152" s="61"/>
      <c r="CD152" s="61"/>
      <c r="CE152" s="61"/>
      <c r="CF152" s="61"/>
      <c r="CG152" s="61"/>
      <c r="CH152" s="61"/>
      <c r="CI152" s="61"/>
      <c r="CJ152" s="61"/>
      <c r="CK152" s="61"/>
      <c r="CL152" s="61"/>
      <c r="CM152" s="61"/>
      <c r="CN152" s="61"/>
      <c r="CO152" s="61"/>
      <c r="CP152" s="61"/>
      <c r="CQ152" s="61"/>
      <c r="CR152" s="61"/>
      <c r="CS152" s="61"/>
      <c r="CT152" s="61"/>
      <c r="CU152" s="61"/>
      <c r="CV152" s="61"/>
      <c r="CW152" s="61"/>
      <c r="CX152" s="61"/>
      <c r="CY152" s="61"/>
      <c r="CZ152" s="61"/>
      <c r="DA152" s="61"/>
      <c r="DB152" s="61"/>
      <c r="DC152" s="61"/>
      <c r="DD152" s="61"/>
      <c r="DE152" s="61"/>
      <c r="DF152" s="61"/>
      <c r="DG152" s="61"/>
      <c r="DH152" s="61"/>
      <c r="DI152" s="61"/>
      <c r="DJ152" s="61"/>
      <c r="DK152" s="61"/>
      <c r="DL152" s="61"/>
      <c r="DM152" s="61"/>
      <c r="DN152" s="61"/>
      <c r="DO152" s="61"/>
      <c r="DP152" s="61"/>
      <c r="DQ152" s="61"/>
      <c r="DR152" s="61"/>
      <c r="DS152" s="61"/>
      <c r="DT152" s="61"/>
      <c r="DU152" s="61"/>
      <c r="DV152" s="61"/>
      <c r="DW152" s="61"/>
      <c r="DX152" s="61"/>
      <c r="DY152" s="61"/>
      <c r="DZ152" s="61"/>
      <c r="EA152" s="61"/>
      <c r="EB152" s="61"/>
      <c r="EC152" s="61"/>
      <c r="ED152" s="61"/>
      <c r="EE152" s="61"/>
      <c r="EF152" s="61"/>
      <c r="EG152" s="61"/>
      <c r="EH152" s="61"/>
      <c r="EI152" s="61"/>
      <c r="EJ152" s="61"/>
      <c r="EK152" s="61"/>
      <c r="EL152" s="61"/>
      <c r="EM152" s="61"/>
      <c r="EN152" s="61"/>
      <c r="EO152" s="61"/>
      <c r="EP152" s="61"/>
      <c r="EQ152" s="61"/>
      <c r="ER152" s="61"/>
      <c r="ES152" s="61"/>
      <c r="ET152" s="61"/>
      <c r="EU152" s="61"/>
      <c r="EV152" s="61"/>
      <c r="EW152" s="61"/>
      <c r="EX152" s="61"/>
      <c r="EY152" s="61"/>
      <c r="EZ152" s="61"/>
      <c r="FA152" s="61"/>
      <c r="FB152" s="61"/>
      <c r="FC152" s="61"/>
      <c r="FD152" s="61"/>
      <c r="FE152" s="61"/>
      <c r="FF152" s="61"/>
      <c r="FG152" s="61"/>
      <c r="FH152" s="61"/>
      <c r="FI152" s="61"/>
      <c r="FJ152" s="61"/>
      <c r="FK152" s="61"/>
      <c r="FL152" s="61"/>
      <c r="FM152" s="61"/>
      <c r="FN152" s="61"/>
      <c r="FO152" s="61"/>
      <c r="FP152" s="61"/>
      <c r="FQ152" s="61"/>
      <c r="FR152" s="61"/>
      <c r="FS152" s="61"/>
      <c r="FT152" s="61"/>
      <c r="FU152" s="61"/>
      <c r="FV152" s="61"/>
      <c r="FW152" s="61"/>
      <c r="FX152" s="61"/>
      <c r="FY152" s="61"/>
      <c r="FZ152" s="61"/>
      <c r="GA152" s="61"/>
      <c r="GB152" s="61"/>
      <c r="GC152" s="61"/>
      <c r="GD152" s="61"/>
      <c r="GE152" s="61"/>
      <c r="GF152" s="61"/>
      <c r="GG152" s="61"/>
      <c r="GH152" s="61"/>
      <c r="GI152" s="61"/>
      <c r="GJ152" s="61"/>
    </row>
    <row r="153" customFormat="1" ht="16.8" spans="1:192">
      <c r="A153" s="61"/>
      <c r="B153" s="61"/>
      <c r="C153" s="61"/>
      <c r="D153" s="61"/>
      <c r="E153" s="61"/>
      <c r="F153" s="61"/>
      <c r="G153" s="61"/>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c r="AE153" s="61"/>
      <c r="AF153" s="61"/>
      <c r="AG153" s="61"/>
      <c r="AH153" s="61"/>
      <c r="AI153" s="61"/>
      <c r="AJ153" s="61"/>
      <c r="AK153" s="61"/>
      <c r="AL153" s="61"/>
      <c r="AM153" s="61"/>
      <c r="AN153" s="61"/>
      <c r="AO153" s="61"/>
      <c r="AP153" s="61"/>
      <c r="AQ153" s="61"/>
      <c r="AR153" s="61"/>
      <c r="AS153" s="61"/>
      <c r="AT153" s="61"/>
      <c r="AU153" s="61"/>
      <c r="AV153" s="61"/>
      <c r="AW153" s="61"/>
      <c r="AX153" s="61"/>
      <c r="AY153" s="61"/>
      <c r="AZ153" s="61"/>
      <c r="BA153" s="61"/>
      <c r="BB153" s="61"/>
      <c r="BC153" s="61"/>
      <c r="BD153" s="61"/>
      <c r="BE153" s="61"/>
      <c r="BF153" s="61"/>
      <c r="BG153" s="61"/>
      <c r="BH153" s="61"/>
      <c r="BI153" s="61"/>
      <c r="BJ153" s="61"/>
      <c r="BK153" s="61"/>
      <c r="BL153" s="61"/>
      <c r="BM153" s="61"/>
      <c r="BN153" s="61"/>
      <c r="BO153" s="61"/>
      <c r="BP153" s="61"/>
      <c r="BQ153" s="61"/>
      <c r="BR153" s="61"/>
      <c r="BS153" s="61"/>
      <c r="BT153" s="61"/>
      <c r="BU153" s="61"/>
      <c r="BV153" s="61"/>
      <c r="BW153" s="61"/>
      <c r="BX153" s="61"/>
      <c r="BY153" s="61"/>
      <c r="BZ153" s="61"/>
      <c r="CA153" s="61"/>
      <c r="CB153" s="61"/>
      <c r="CC153" s="61"/>
      <c r="CD153" s="61"/>
      <c r="CE153" s="61"/>
      <c r="CF153" s="61"/>
      <c r="CG153" s="61"/>
      <c r="CH153" s="61"/>
      <c r="CI153" s="61"/>
      <c r="CJ153" s="61"/>
      <c r="CK153" s="61"/>
      <c r="CL153" s="61"/>
      <c r="CM153" s="61"/>
      <c r="CN153" s="61"/>
      <c r="CO153" s="61"/>
      <c r="CP153" s="61"/>
      <c r="CQ153" s="61"/>
      <c r="CR153" s="61"/>
      <c r="CS153" s="61"/>
      <c r="CT153" s="61"/>
      <c r="CU153" s="61"/>
      <c r="CV153" s="61"/>
      <c r="CW153" s="61"/>
      <c r="CX153" s="61"/>
      <c r="CY153" s="61"/>
      <c r="CZ153" s="61"/>
      <c r="DA153" s="61"/>
      <c r="DB153" s="61"/>
      <c r="DC153" s="61"/>
      <c r="DD153" s="61"/>
      <c r="DE153" s="61"/>
      <c r="DF153" s="61"/>
      <c r="DG153" s="61"/>
      <c r="DH153" s="61"/>
      <c r="DI153" s="61"/>
      <c r="DJ153" s="61"/>
      <c r="DK153" s="61"/>
      <c r="DL153" s="61"/>
      <c r="DM153" s="61"/>
      <c r="DN153" s="61"/>
      <c r="DO153" s="61"/>
      <c r="DP153" s="61"/>
      <c r="DQ153" s="61"/>
      <c r="DR153" s="61"/>
      <c r="DS153" s="61"/>
      <c r="DT153" s="61"/>
      <c r="DU153" s="61"/>
      <c r="DV153" s="61"/>
      <c r="DW153" s="61"/>
      <c r="DX153" s="61"/>
      <c r="DY153" s="61"/>
      <c r="DZ153" s="61"/>
      <c r="EA153" s="61"/>
      <c r="EB153" s="61"/>
      <c r="EC153" s="61"/>
      <c r="ED153" s="61"/>
      <c r="EE153" s="61"/>
      <c r="EF153" s="61"/>
      <c r="EG153" s="61"/>
      <c r="EH153" s="61"/>
      <c r="EI153" s="61"/>
      <c r="EJ153" s="61"/>
      <c r="EK153" s="61"/>
      <c r="EL153" s="61"/>
      <c r="EM153" s="61"/>
      <c r="EN153" s="61"/>
      <c r="EO153" s="61"/>
      <c r="EP153" s="61"/>
      <c r="EQ153" s="61"/>
      <c r="ER153" s="61"/>
      <c r="ES153" s="61"/>
      <c r="ET153" s="61"/>
      <c r="EU153" s="61"/>
      <c r="EV153" s="61"/>
      <c r="EW153" s="61"/>
      <c r="EX153" s="61"/>
      <c r="EY153" s="61"/>
      <c r="EZ153" s="61"/>
      <c r="FA153" s="61"/>
      <c r="FB153" s="61"/>
      <c r="FC153" s="61"/>
      <c r="FD153" s="61"/>
      <c r="FE153" s="61"/>
      <c r="FF153" s="61"/>
      <c r="FG153" s="61"/>
      <c r="FH153" s="61"/>
      <c r="FI153" s="61"/>
      <c r="FJ153" s="61"/>
      <c r="FK153" s="61"/>
      <c r="FL153" s="61"/>
      <c r="FM153" s="61"/>
      <c r="FN153" s="61"/>
      <c r="FO153" s="61"/>
      <c r="FP153" s="61"/>
      <c r="FQ153" s="61"/>
      <c r="FR153" s="61"/>
      <c r="FS153" s="61"/>
      <c r="FT153" s="61"/>
      <c r="FU153" s="61"/>
      <c r="FV153" s="61"/>
      <c r="FW153" s="61"/>
      <c r="FX153" s="61"/>
      <c r="FY153" s="61"/>
      <c r="FZ153" s="61"/>
      <c r="GA153" s="61"/>
      <c r="GB153" s="61"/>
      <c r="GC153" s="61"/>
      <c r="GD153" s="61"/>
      <c r="GE153" s="61"/>
      <c r="GF153" s="61"/>
      <c r="GG153" s="61"/>
      <c r="GH153" s="61"/>
      <c r="GI153" s="61"/>
      <c r="GJ153" s="61"/>
    </row>
    <row r="154" customFormat="1" ht="16.8" spans="1:192">
      <c r="A154" s="61"/>
      <c r="B154" s="61"/>
      <c r="C154" s="61"/>
      <c r="D154" s="61"/>
      <c r="E154" s="61"/>
      <c r="F154" s="61"/>
      <c r="G154" s="61"/>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c r="AE154" s="61"/>
      <c r="AF154" s="61"/>
      <c r="AG154" s="61"/>
      <c r="AH154" s="61"/>
      <c r="AI154" s="61"/>
      <c r="AJ154" s="61"/>
      <c r="AK154" s="61"/>
      <c r="AL154" s="61"/>
      <c r="AM154" s="61"/>
      <c r="AN154" s="61"/>
      <c r="AO154" s="61"/>
      <c r="AP154" s="61"/>
      <c r="AQ154" s="61"/>
      <c r="AR154" s="61"/>
      <c r="AS154" s="61"/>
      <c r="AT154" s="61"/>
      <c r="AU154" s="61"/>
      <c r="AV154" s="61"/>
      <c r="AW154" s="61"/>
      <c r="AX154" s="61"/>
      <c r="AY154" s="61"/>
      <c r="AZ154" s="61"/>
      <c r="BA154" s="61"/>
      <c r="BB154" s="61"/>
      <c r="BC154" s="61"/>
      <c r="BD154" s="61"/>
      <c r="BE154" s="61"/>
      <c r="BF154" s="61"/>
      <c r="BG154" s="61"/>
      <c r="BH154" s="61"/>
      <c r="BI154" s="61"/>
      <c r="BJ154" s="61"/>
      <c r="BK154" s="61"/>
      <c r="BL154" s="61"/>
      <c r="BM154" s="61"/>
      <c r="BN154" s="61"/>
      <c r="BO154" s="61"/>
      <c r="BP154" s="61"/>
      <c r="BQ154" s="61"/>
      <c r="BR154" s="61"/>
      <c r="BS154" s="61"/>
      <c r="BT154" s="61"/>
      <c r="BU154" s="61"/>
      <c r="BV154" s="61"/>
      <c r="BW154" s="61"/>
      <c r="BX154" s="61"/>
      <c r="BY154" s="61"/>
      <c r="BZ154" s="61"/>
      <c r="CA154" s="61"/>
      <c r="CB154" s="61"/>
      <c r="CC154" s="61"/>
      <c r="CD154" s="61"/>
      <c r="CE154" s="61"/>
      <c r="CF154" s="61"/>
      <c r="CG154" s="61"/>
      <c r="CH154" s="61"/>
      <c r="CI154" s="61"/>
      <c r="CJ154" s="61"/>
      <c r="CK154" s="61"/>
      <c r="CL154" s="61"/>
      <c r="CM154" s="61"/>
      <c r="CN154" s="61"/>
      <c r="CO154" s="61"/>
      <c r="CP154" s="61"/>
      <c r="CQ154" s="61"/>
      <c r="CR154" s="61"/>
      <c r="CS154" s="61"/>
      <c r="CT154" s="61"/>
      <c r="CU154" s="61"/>
      <c r="CV154" s="61"/>
      <c r="CW154" s="61"/>
      <c r="CX154" s="61"/>
      <c r="CY154" s="61"/>
      <c r="CZ154" s="61"/>
      <c r="DA154" s="61"/>
      <c r="DB154" s="61"/>
      <c r="DC154" s="61"/>
      <c r="DD154" s="61"/>
      <c r="DE154" s="61"/>
      <c r="DF154" s="61"/>
      <c r="DG154" s="61"/>
      <c r="DH154" s="61"/>
      <c r="DI154" s="61"/>
      <c r="DJ154" s="61"/>
      <c r="DK154" s="61"/>
      <c r="DL154" s="61"/>
      <c r="DM154" s="61"/>
      <c r="DN154" s="61"/>
      <c r="DO154" s="61"/>
      <c r="DP154" s="61"/>
      <c r="DQ154" s="61"/>
      <c r="DR154" s="61"/>
      <c r="DS154" s="61"/>
      <c r="DT154" s="61"/>
      <c r="DU154" s="61"/>
      <c r="DV154" s="61"/>
      <c r="DW154" s="61"/>
      <c r="DX154" s="61"/>
      <c r="DY154" s="61"/>
      <c r="DZ154" s="61"/>
      <c r="EA154" s="61"/>
      <c r="EB154" s="61"/>
      <c r="EC154" s="61"/>
      <c r="ED154" s="61"/>
      <c r="EE154" s="61"/>
      <c r="EF154" s="61"/>
      <c r="EG154" s="61"/>
      <c r="EH154" s="61"/>
      <c r="EI154" s="61"/>
      <c r="EJ154" s="61"/>
      <c r="EK154" s="61"/>
      <c r="EL154" s="61"/>
      <c r="EM154" s="61"/>
      <c r="EN154" s="61"/>
      <c r="EO154" s="61"/>
      <c r="EP154" s="61"/>
      <c r="EQ154" s="61"/>
      <c r="ER154" s="61"/>
      <c r="ES154" s="61"/>
      <c r="ET154" s="61"/>
      <c r="EU154" s="61"/>
      <c r="EV154" s="61"/>
      <c r="EW154" s="61"/>
      <c r="EX154" s="61"/>
      <c r="EY154" s="61"/>
      <c r="EZ154" s="61"/>
      <c r="FA154" s="61"/>
      <c r="FB154" s="61"/>
      <c r="FC154" s="61"/>
      <c r="FD154" s="61"/>
      <c r="FE154" s="61"/>
      <c r="FF154" s="61"/>
      <c r="FG154" s="61"/>
      <c r="FH154" s="61"/>
      <c r="FI154" s="61"/>
      <c r="FJ154" s="61"/>
      <c r="FK154" s="61"/>
      <c r="FL154" s="61"/>
      <c r="FM154" s="61"/>
      <c r="FN154" s="61"/>
      <c r="FO154" s="61"/>
      <c r="FP154" s="61"/>
      <c r="FQ154" s="61"/>
      <c r="FR154" s="61"/>
      <c r="FS154" s="61"/>
      <c r="FT154" s="61"/>
      <c r="FU154" s="61"/>
      <c r="FV154" s="61"/>
      <c r="FW154" s="61"/>
      <c r="FX154" s="61"/>
      <c r="FY154" s="61"/>
      <c r="FZ154" s="61"/>
      <c r="GA154" s="61"/>
      <c r="GB154" s="61"/>
      <c r="GC154" s="61"/>
      <c r="GD154" s="61"/>
      <c r="GE154" s="61"/>
      <c r="GF154" s="61"/>
      <c r="GG154" s="61"/>
      <c r="GH154" s="61"/>
      <c r="GI154" s="61"/>
      <c r="GJ154" s="61"/>
    </row>
    <row r="155" customFormat="1" ht="16.8" spans="1:192">
      <c r="A155" s="61"/>
      <c r="B155" s="61"/>
      <c r="C155" s="61"/>
      <c r="D155" s="61"/>
      <c r="E155" s="61"/>
      <c r="F155" s="61"/>
      <c r="G155" s="61"/>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c r="AE155" s="61"/>
      <c r="AF155" s="61"/>
      <c r="AG155" s="61"/>
      <c r="AH155" s="61"/>
      <c r="AI155" s="61"/>
      <c r="AJ155" s="61"/>
      <c r="AK155" s="61"/>
      <c r="AL155" s="61"/>
      <c r="AM155" s="61"/>
      <c r="AN155" s="61"/>
      <c r="AO155" s="61"/>
      <c r="AP155" s="61"/>
      <c r="AQ155" s="61"/>
      <c r="AR155" s="61"/>
      <c r="AS155" s="61"/>
      <c r="AT155" s="61"/>
      <c r="AU155" s="61"/>
      <c r="AV155" s="61"/>
      <c r="AW155" s="61"/>
      <c r="AX155" s="61"/>
      <c r="AY155" s="61"/>
      <c r="AZ155" s="61"/>
      <c r="BA155" s="61"/>
      <c r="BB155" s="61"/>
      <c r="BC155" s="61"/>
      <c r="BD155" s="61"/>
      <c r="BE155" s="61"/>
      <c r="BF155" s="61"/>
      <c r="BG155" s="61"/>
      <c r="BH155" s="61"/>
      <c r="BI155" s="61"/>
      <c r="BJ155" s="61"/>
      <c r="BK155" s="61"/>
      <c r="BL155" s="61"/>
      <c r="BM155" s="61"/>
      <c r="BN155" s="61"/>
      <c r="BO155" s="61"/>
      <c r="BP155" s="61"/>
      <c r="BQ155" s="61"/>
      <c r="BR155" s="61"/>
      <c r="BS155" s="61"/>
      <c r="BT155" s="61"/>
      <c r="BU155" s="61"/>
      <c r="BV155" s="61"/>
      <c r="BW155" s="61"/>
      <c r="BX155" s="61"/>
      <c r="BY155" s="61"/>
      <c r="BZ155" s="61"/>
      <c r="CA155" s="61"/>
      <c r="CB155" s="61"/>
      <c r="CC155" s="61"/>
      <c r="CD155" s="61"/>
      <c r="CE155" s="61"/>
      <c r="CF155" s="61"/>
      <c r="CG155" s="61"/>
      <c r="CH155" s="61"/>
      <c r="CI155" s="61"/>
      <c r="CJ155" s="61"/>
      <c r="CK155" s="61"/>
      <c r="CL155" s="61"/>
      <c r="CM155" s="61"/>
      <c r="CN155" s="61"/>
      <c r="CO155" s="61"/>
      <c r="CP155" s="61"/>
      <c r="CQ155" s="61"/>
      <c r="CR155" s="61"/>
      <c r="CS155" s="61"/>
      <c r="CT155" s="61"/>
      <c r="CU155" s="61"/>
      <c r="CV155" s="61"/>
      <c r="CW155" s="61"/>
      <c r="CX155" s="61"/>
      <c r="CY155" s="61"/>
      <c r="CZ155" s="61"/>
      <c r="DA155" s="61"/>
      <c r="DB155" s="61"/>
      <c r="DC155" s="61"/>
      <c r="DD155" s="61"/>
      <c r="DE155" s="61"/>
      <c r="DF155" s="61"/>
      <c r="DG155" s="61"/>
      <c r="DH155" s="61"/>
      <c r="DI155" s="61"/>
      <c r="DJ155" s="61"/>
      <c r="DK155" s="61"/>
      <c r="DL155" s="61"/>
      <c r="DM155" s="61"/>
      <c r="DN155" s="61"/>
      <c r="DO155" s="61"/>
      <c r="DP155" s="61"/>
      <c r="DQ155" s="61"/>
      <c r="DR155" s="61"/>
      <c r="DS155" s="61"/>
      <c r="DT155" s="61"/>
      <c r="DU155" s="61"/>
      <c r="DV155" s="61"/>
      <c r="DW155" s="61"/>
      <c r="DX155" s="61"/>
      <c r="DY155" s="61"/>
      <c r="DZ155" s="61"/>
      <c r="EA155" s="61"/>
      <c r="EB155" s="61"/>
      <c r="EC155" s="61"/>
      <c r="ED155" s="61"/>
      <c r="EE155" s="61"/>
      <c r="EF155" s="61"/>
      <c r="EG155" s="61"/>
      <c r="EH155" s="61"/>
      <c r="EI155" s="61"/>
      <c r="EJ155" s="61"/>
      <c r="EK155" s="61"/>
      <c r="EL155" s="61"/>
      <c r="EM155" s="61"/>
      <c r="EN155" s="61"/>
      <c r="EO155" s="61"/>
      <c r="EP155" s="61"/>
      <c r="EQ155" s="61"/>
      <c r="ER155" s="61"/>
      <c r="ES155" s="61"/>
      <c r="ET155" s="61"/>
      <c r="EU155" s="61"/>
      <c r="EV155" s="61"/>
      <c r="EW155" s="61"/>
      <c r="EX155" s="61"/>
      <c r="EY155" s="61"/>
      <c r="EZ155" s="61"/>
      <c r="FA155" s="61"/>
      <c r="FB155" s="61"/>
      <c r="FC155" s="61"/>
      <c r="FD155" s="61"/>
      <c r="FE155" s="61"/>
      <c r="FF155" s="61"/>
      <c r="FG155" s="61"/>
      <c r="FH155" s="61"/>
      <c r="FI155" s="61"/>
      <c r="FJ155" s="61"/>
      <c r="FK155" s="61"/>
      <c r="FL155" s="61"/>
      <c r="FM155" s="61"/>
      <c r="FN155" s="61"/>
      <c r="FO155" s="61"/>
      <c r="FP155" s="61"/>
      <c r="FQ155" s="61"/>
      <c r="FR155" s="61"/>
      <c r="FS155" s="61"/>
      <c r="FT155" s="61"/>
      <c r="FU155" s="61"/>
      <c r="FV155" s="61"/>
      <c r="FW155" s="61"/>
      <c r="FX155" s="61"/>
      <c r="FY155" s="61"/>
      <c r="FZ155" s="61"/>
      <c r="GA155" s="61"/>
      <c r="GB155" s="61"/>
      <c r="GC155" s="61"/>
      <c r="GD155" s="61"/>
      <c r="GE155" s="61"/>
      <c r="GF155" s="61"/>
      <c r="GG155" s="61"/>
      <c r="GH155" s="61"/>
      <c r="GI155" s="61"/>
      <c r="GJ155" s="61"/>
    </row>
    <row r="156" spans="1:192">
      <c r="BB156" s="88"/>
    </row>
    <row r="157" spans="1:192">
      <c r="BB157" s="88"/>
    </row>
    <row r="158" spans="1:192">
      <c r="BB158" s="88"/>
    </row>
    <row r="159" spans="1:192">
      <c r="BB159" s="88"/>
    </row>
    <row r="160" spans="1:192">
      <c r="BB160" s="88"/>
    </row>
    <row r="161" spans="54:54">
      <c r="BB161" s="88"/>
    </row>
    <row r="162" spans="54:54">
      <c r="BB162" s="88"/>
    </row>
    <row r="163" spans="54:54">
      <c r="BB163" s="88"/>
    </row>
    <row r="164" spans="54:54">
      <c r="BB164" s="88"/>
    </row>
    <row r="165" spans="54:54">
      <c r="BB165" s="88"/>
    </row>
    <row r="166" spans="54:54">
      <c r="BB166" s="88"/>
    </row>
    <row r="167" spans="54:54">
      <c r="BB167" s="88"/>
    </row>
    <row r="168" spans="54:54">
      <c r="BB168" s="88"/>
    </row>
    <row r="169" spans="54:54">
      <c r="BB169" s="88"/>
    </row>
    <row r="170" spans="54:54">
      <c r="BB170" s="88"/>
    </row>
    <row r="171" spans="54:54">
      <c r="BB171" s="88"/>
    </row>
    <row r="172" spans="54:54">
      <c r="BB172" s="88"/>
    </row>
    <row r="173" spans="54:54">
      <c r="BB173" s="88"/>
    </row>
    <row r="174" spans="54:54">
      <c r="BB174" s="88"/>
    </row>
    <row r="175" spans="54:54">
      <c r="BB175" s="88"/>
    </row>
    <row r="176" spans="54:54">
      <c r="BB176" s="88"/>
    </row>
    <row r="177" spans="54:54">
      <c r="BB177" s="88"/>
    </row>
    <row r="178" spans="54:54">
      <c r="BB178" s="88"/>
    </row>
    <row r="179" spans="54:54">
      <c r="BB179" s="88"/>
    </row>
    <row r="180" spans="54:54">
      <c r="BB180" s="88"/>
    </row>
    <row r="181" spans="54:54">
      <c r="BB181" s="88"/>
    </row>
    <row r="182" spans="54:54">
      <c r="BB182" s="88"/>
    </row>
    <row r="183" spans="54:54">
      <c r="BB183" s="88"/>
    </row>
    <row r="184" spans="54:54">
      <c r="BB184" s="88"/>
    </row>
    <row r="185" spans="54:54">
      <c r="BB185" s="88"/>
    </row>
    <row r="186" spans="54:54">
      <c r="BB186" s="88"/>
    </row>
    <row r="187" spans="54:54">
      <c r="BB187" s="88"/>
    </row>
    <row r="188" spans="54:54">
      <c r="BB188" s="88"/>
    </row>
    <row r="189" spans="54:54">
      <c r="BB189" s="88"/>
    </row>
    <row r="190" spans="54:54">
      <c r="BB190" s="88"/>
    </row>
    <row r="191" spans="54:54">
      <c r="BB191" s="88"/>
    </row>
    <row r="192" spans="54:54">
      <c r="BB192" s="88"/>
    </row>
    <row r="193" spans="54:54">
      <c r="BB193" s="88"/>
    </row>
    <row r="194" spans="54:54">
      <c r="BB194" s="88"/>
    </row>
    <row r="195" spans="54:54">
      <c r="BB195" s="88"/>
    </row>
    <row r="196" spans="54:54">
      <c r="BB196" s="88"/>
    </row>
    <row r="197" spans="54:54">
      <c r="BB197" s="88"/>
    </row>
    <row r="198" spans="54:54">
      <c r="BB198" s="88"/>
    </row>
    <row r="199" spans="54:54">
      <c r="BB199" s="88"/>
    </row>
    <row r="200" spans="54:54">
      <c r="BB200" s="88"/>
    </row>
    <row r="201" spans="54:54">
      <c r="BB201" s="88"/>
    </row>
    <row r="202" spans="54:54">
      <c r="BB202" s="88"/>
    </row>
    <row r="203" spans="54:54">
      <c r="BB203" s="88"/>
    </row>
    <row r="204" spans="54:54">
      <c r="BB204" s="88"/>
    </row>
    <row r="205" spans="54:54">
      <c r="BB205" s="88"/>
    </row>
    <row r="206" spans="54:54">
      <c r="BB206" s="88"/>
    </row>
    <row r="207" spans="54:54">
      <c r="BB207" s="88"/>
    </row>
    <row r="208" spans="54:54">
      <c r="BB208" s="88"/>
    </row>
    <row r="209" spans="54:54">
      <c r="BB209" s="88"/>
    </row>
    <row r="210" spans="54:54">
      <c r="BB210" s="88"/>
    </row>
    <row r="211" spans="54:54">
      <c r="BB211" s="88"/>
    </row>
    <row r="212" spans="54:54">
      <c r="BB212" s="88"/>
    </row>
    <row r="213" spans="54:54">
      <c r="BB213" s="88"/>
    </row>
    <row r="214" spans="54:54">
      <c r="BB214" s="88"/>
    </row>
    <row r="215" spans="54:54">
      <c r="BB215" s="88"/>
    </row>
    <row r="216" spans="54:54">
      <c r="BB216" s="88"/>
    </row>
    <row r="217" spans="54:54">
      <c r="BB217" s="88"/>
    </row>
    <row r="218" spans="54:54">
      <c r="BB218" s="88"/>
    </row>
    <row r="219" spans="54:54">
      <c r="BB219" s="88"/>
    </row>
    <row r="220" spans="54:54">
      <c r="BB220" s="88"/>
    </row>
    <row r="221" spans="54:54">
      <c r="BB221" s="88"/>
    </row>
    <row r="222" spans="54:54">
      <c r="BB222" s="88"/>
    </row>
    <row r="223" spans="54:54">
      <c r="BB223" s="88"/>
    </row>
    <row r="224" spans="54:54">
      <c r="BB224" s="88"/>
    </row>
    <row r="225" spans="54:54">
      <c r="BB225" s="88"/>
    </row>
    <row r="226" spans="54:54">
      <c r="BB226" s="88"/>
    </row>
    <row r="227" spans="54:54">
      <c r="BB227" s="88"/>
    </row>
    <row r="228" spans="54:54">
      <c r="BB228" s="88"/>
    </row>
    <row r="229" spans="54:54">
      <c r="BB229" s="88"/>
    </row>
    <row r="230" spans="54:54">
      <c r="BB230" s="88"/>
    </row>
    <row r="231" spans="54:54">
      <c r="BB231" s="88"/>
    </row>
    <row r="232" spans="54:54">
      <c r="BB232" s="88"/>
    </row>
    <row r="233" spans="54:54">
      <c r="BB233" s="88"/>
    </row>
    <row r="234" spans="54:54">
      <c r="BB234" s="88"/>
    </row>
    <row r="235" spans="54:54">
      <c r="BB235" s="88"/>
    </row>
    <row r="236" spans="54:54">
      <c r="BB236" s="88"/>
    </row>
    <row r="237" spans="54:54">
      <c r="BB237" s="88"/>
    </row>
    <row r="238" spans="54:54">
      <c r="BB238" s="88"/>
    </row>
    <row r="239" spans="54:54">
      <c r="BB239" s="88"/>
    </row>
    <row r="240" spans="54:54">
      <c r="BB240" s="88"/>
    </row>
    <row r="241" spans="54:54">
      <c r="BB241" s="88"/>
    </row>
    <row r="242" spans="54:54">
      <c r="BB242" s="88"/>
    </row>
    <row r="243" spans="54:54">
      <c r="BB243" s="88"/>
    </row>
    <row r="244" spans="54:54">
      <c r="BB244" s="88"/>
    </row>
    <row r="245" spans="54:54">
      <c r="BB245" s="88"/>
    </row>
    <row r="246" spans="54:54">
      <c r="BB246" s="88"/>
    </row>
    <row r="247" spans="54:54">
      <c r="BB247" s="88"/>
    </row>
    <row r="248" spans="54:54">
      <c r="BB248" s="88"/>
    </row>
    <row r="249" spans="54:54">
      <c r="BB249" s="88"/>
    </row>
    <row r="250" spans="54:54">
      <c r="BB250" s="88"/>
    </row>
    <row r="251" spans="54:54">
      <c r="BB251" s="88"/>
    </row>
    <row r="252" spans="54:54">
      <c r="BB252" s="88"/>
    </row>
    <row r="253" spans="54:54">
      <c r="BB253" s="88"/>
    </row>
    <row r="254" spans="54:54">
      <c r="BB254" s="88"/>
    </row>
    <row r="255" spans="54:54">
      <c r="BB255" s="88"/>
    </row>
    <row r="256" spans="54:54">
      <c r="BB256" s="88"/>
    </row>
    <row r="257" spans="54:54">
      <c r="BB257" s="88"/>
    </row>
    <row r="258" spans="54:54">
      <c r="BB258" s="88"/>
    </row>
    <row r="259" spans="54:54">
      <c r="BB259" s="88"/>
    </row>
  </sheetData>
  <conditionalFormatting sqref="FD3">
    <cfRule type="expression" dxfId="0" priority="5"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fRule type="expression" dxfId="1" priority="4" stopIfTrue="1">
      <formula>IF(VLOOKUP($FC$3,preferredAttributePTDMap,MATCH($A4,attributeMapFeedProductType,0)+1,FALSE)&gt;0,1,0)</formula>
    </cfRule>
    <cfRule type="expression" dxfId="2" priority="3" stopIfTrue="1">
      <formula>IF(VLOOKUP($FC$3,optionalAttributePTDMap,MATCH($A4,attributeMapFeedProductType,0)+1,FALSE)&gt;0,1,0)</formula>
    </cfRule>
    <cfRule type="expression" dxfId="3" priority="2" stopIfTrue="1">
      <formula>IF(VLOOKUP($FC$3,requiredAttributePTDMap,MATCH($A4,attributeMapFeedProductType,0)+1,FALSE)&gt;0,1,0)</formula>
    </cfRule>
    <cfRule type="expression" dxfId="4" priority="1" stopIfTrue="1">
      <formula>IF(LEN(FD3)&gt;0,1,0)</formula>
    </cfRule>
  </conditionalFormatting>
  <conditionalFormatting sqref="AE4">
    <cfRule type="expression" dxfId="4" priority="1095" stopIfTrue="1">
      <formula>IF(LEN(AE4)&gt;0,1,0)</formula>
    </cfRule>
    <cfRule type="expression" dxfId="3" priority="1096" stopIfTrue="1">
      <formula>IF(VLOOKUP($AD$3,requiredAttributePTDMap,MATCH($A4,attributeMapFeedProductType,0)+1,FALSE)&gt;0,1,0)</formula>
    </cfRule>
    <cfRule type="expression" dxfId="2" priority="1097" stopIfTrue="1">
      <formula>IF(VLOOKUP($AD$3,optionalAttributePTDMap,MATCH($A4,attributeMapFeedProductType,0)+1,FALSE)&gt;0,1,0)</formula>
    </cfRule>
    <cfRule type="expression" dxfId="1" priority="1098" stopIfTrue="1">
      <formula>IF(VLOOKUP($AD$3,preferredAttributePTDMap,MATCH($A4,attributeMapFeedProductType,0)+1,FALSE)&gt;0,1,0)</formula>
    </cfRule>
    <cfRule type="expression" dxfId="0" priority="1099"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C5">
    <cfRule type="expression" dxfId="4" priority="2339" stopIfTrue="1">
      <formula>IF(LEN(AC5)&gt;0,1,0)</formula>
    </cfRule>
    <cfRule type="expression" dxfId="3" priority="2340" stopIfTrue="1">
      <formula>IF(VLOOKUP($AC$3,requiredAttributePTDMap,MATCH($A4,attributeMapFeedProductType,0)+1,FALSE)&gt;0,1,0)</formula>
    </cfRule>
    <cfRule type="expression" dxfId="2" priority="2341" stopIfTrue="1">
      <formula>IF(VLOOKUP($AC$3,optionalAttributePTDMap,MATCH($A4,attributeMapFeedProductType,0)+1,FALSE)&gt;0,1,0)</formula>
    </cfRule>
    <cfRule type="expression" dxfId="1" priority="2342" stopIfTrue="1">
      <formula>IF(VLOOKUP($AC$3,preferredAttributePTDMap,MATCH($A4,attributeMapFeedProductType,0)+1,FALSE)&gt;0,1,0)</formula>
    </cfRule>
    <cfRule type="expression" dxfId="0" priority="234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C9">
    <cfRule type="expression" dxfId="4" priority="186" stopIfTrue="1">
      <formula>IF(LEN(C9)&gt;0,1,0)</formula>
    </cfRule>
    <cfRule type="expression" dxfId="3" priority="187" stopIfTrue="1">
      <formula>IF(VLOOKUP($C$3,requiredAttributePTDMap,MATCH($A9,attributeMapFeedProductType,0)+1,FALSE)&gt;0,1,0)</formula>
    </cfRule>
    <cfRule type="expression" dxfId="2" priority="188" stopIfTrue="1">
      <formula>IF(VLOOKUP($C$3,optionalAttributePTDMap,MATCH($A9,attributeMapFeedProductType,0)+1,FALSE)&gt;0,1,0)</formula>
    </cfRule>
    <cfRule type="expression" dxfId="1" priority="189" stopIfTrue="1">
      <formula>IF(VLOOKUP($C$3,preferredAttributePTDMap,MATCH($A9,attributeMapFeedProductType,0)+1,FALSE)&gt;0,1,0)</formula>
    </cfRule>
    <cfRule type="expression" dxfId="0" priority="190" stopIfTrue="1">
      <formula>AND(IF(IFERROR(VLOOKUP($C$3,requiredAttributePTDMap,MATCH($A9,attributeMapFeedProductType,0)+1,FALSE),0)&gt;0,0,1),IF(IFERROR(VLOOKUP($C$3,optionalAttributePTDMap,MATCH($A9,attributeMapFeedProductType,0)+1,FALSE),0)&gt;0,0,1),IF(IFERROR(VLOOKUP($C$3,preferredAttributePTDMap,MATCH($A9,attributeMapFeedProductType,0)+1,FALSE),0)&gt;0,0,1),IF(IFERROR(MATCH($A9,attributeMapFeedProductType,0),0)&gt;0,1,0))</formula>
    </cfRule>
  </conditionalFormatting>
  <conditionalFormatting sqref="G9">
    <cfRule type="expression" dxfId="4" priority="110" stopIfTrue="1">
      <formula>IF(LEN(G9)&gt;0,1,0)</formula>
    </cfRule>
    <cfRule type="expression" dxfId="3" priority="111" stopIfTrue="1">
      <formula>IF(VLOOKUP($G$3,requiredAttributePTDMap,MATCH($A9,attributeMapFeedProductType,0)+1,FALSE)&gt;0,1,0)</formula>
    </cfRule>
    <cfRule type="expression" dxfId="2" priority="112" stopIfTrue="1">
      <formula>IF(VLOOKUP($G$3,optionalAttributePTDMap,MATCH($A9,attributeMapFeedProductType,0)+1,FALSE)&gt;0,1,0)</formula>
    </cfRule>
    <cfRule type="expression" dxfId="1" priority="113" stopIfTrue="1">
      <formula>IF(VLOOKUP($G$3,preferredAttributePTDMap,MATCH($A9,attributeMapFeedProductType,0)+1,FALSE)&gt;0,1,0)</formula>
    </cfRule>
    <cfRule type="expression" dxfId="0" priority="114" stopIfTrue="1">
      <formula>AND(IF(IFERROR(VLOOKUP($G$3,requiredAttributePTDMap,MATCH($A9,attributeMapFeedProductType,0)+1,FALSE),0)&gt;0,0,1),IF(IFERROR(VLOOKUP($G$3,optionalAttributePTDMap,MATCH($A9,attributeMapFeedProductType,0)+1,FALSE),0)&gt;0,0,1),IF(IFERROR(VLOOKUP($G$3,preferredAttributePTDMap,MATCH($A9,attributeMapFeedProductType,0)+1,FALSE),0)&gt;0,0,1),IF(IFERROR(MATCH($A9,attributeMapFeedProductType,0),0)&gt;0,1,0))</formula>
    </cfRule>
  </conditionalFormatting>
  <conditionalFormatting sqref="H9">
    <cfRule type="expression" dxfId="4" priority="80" stopIfTrue="1">
      <formula>IF(LEN(H9)&gt;0,1,0)</formula>
    </cfRule>
    <cfRule type="expression" dxfId="3" priority="81" stopIfTrue="1">
      <formula>IF(VLOOKUP($H$3,requiredAttributePTDMap,MATCH($A9,attributeMapFeedProductType,0)+1,FALSE)&gt;0,1,0)</formula>
    </cfRule>
    <cfRule type="expression" dxfId="2" priority="82" stopIfTrue="1">
      <formula>IF(VLOOKUP($H$3,optionalAttributePTDMap,MATCH($A9,attributeMapFeedProductType,0)+1,FALSE)&gt;0,1,0)</formula>
    </cfRule>
    <cfRule type="expression" dxfId="1" priority="83" stopIfTrue="1">
      <formula>IF(VLOOKUP($H$3,preferredAttributePTDMap,MATCH($A9,attributeMapFeedProductType,0)+1,FALSE)&gt;0,1,0)</formula>
    </cfRule>
    <cfRule type="expression" dxfId="0" priority="84" stopIfTrue="1">
      <formula>AND(IF(IFERROR(VLOOKUP($H$3,requiredAttributePTDMap,MATCH($A9,attributeMapFeedProductType,0)+1,FALSE),0)&gt;0,0,1),IF(IFERROR(VLOOKUP($H$3,optionalAttributePTDMap,MATCH($A9,attributeMapFeedProductType,0)+1,FALSE),0)&gt;0,0,1),IF(IFERROR(VLOOKUP($H$3,preferredAttributePTDMap,MATCH($A9,attributeMapFeedProductType,0)+1,FALSE),0)&gt;0,0,1),IF(IFERROR(MATCH($A9,attributeMapFeedProductType,0),0)&gt;0,1,0))</formula>
    </cfRule>
  </conditionalFormatting>
  <conditionalFormatting sqref="I9">
    <cfRule type="expression" dxfId="4" priority="201" stopIfTrue="1">
      <formula>IF(LEN(I9)&gt;0,1,0)</formula>
    </cfRule>
    <cfRule type="expression" dxfId="3" priority="202" stopIfTrue="1">
      <formula>IF(VLOOKUP($I$3,requiredAttributePTDMap,MATCH($A9,attributeMapFeedProductType,0)+1,FALSE)&gt;0,1,0)</formula>
    </cfRule>
    <cfRule type="expression" dxfId="2" priority="203" stopIfTrue="1">
      <formula>IF(VLOOKUP($I$3,optionalAttributePTDMap,MATCH($A9,attributeMapFeedProductType,0)+1,FALSE)&gt;0,1,0)</formula>
    </cfRule>
    <cfRule type="expression" dxfId="1" priority="204" stopIfTrue="1">
      <formula>IF(VLOOKUP($I$3,preferredAttributePTDMap,MATCH($A9,attributeMapFeedProductType,0)+1,FALSE)&gt;0,1,0)</formula>
    </cfRule>
    <cfRule type="expression" dxfId="0" priority="205" stopIfTrue="1">
      <formula>AND(IF(IFERROR(VLOOKUP($I$3,requiredAttributePTDMap,MATCH($A9,attributeMapFeedProductType,0)+1,FALSE),0)&gt;0,0,1),IF(IFERROR(VLOOKUP($I$3,optionalAttributePTDMap,MATCH($A9,attributeMapFeedProductType,0)+1,FALSE),0)&gt;0,0,1),IF(IFERROR(VLOOKUP($I$3,preferredAttributePTDMap,MATCH($A9,attributeMapFeedProductType,0)+1,FALSE),0)&gt;0,0,1),IF(IFERROR(MATCH($A9,attributeMapFeedProductType,0),0)&gt;0,1,0))</formula>
    </cfRule>
  </conditionalFormatting>
  <conditionalFormatting sqref="J9">
    <cfRule type="expression" dxfId="4" priority="206" stopIfTrue="1">
      <formula>IF(LEN(J9)&gt;0,1,0)</formula>
    </cfRule>
    <cfRule type="expression" dxfId="3" priority="207" stopIfTrue="1">
      <formula>IF(VLOOKUP($J$3,requiredAttributePTDMap,MATCH($A9,attributeMapFeedProductType,0)+1,FALSE)&gt;0,1,0)</formula>
    </cfRule>
    <cfRule type="expression" dxfId="2" priority="208" stopIfTrue="1">
      <formula>IF(VLOOKUP($J$3,optionalAttributePTDMap,MATCH($A9,attributeMapFeedProductType,0)+1,FALSE)&gt;0,1,0)</formula>
    </cfRule>
    <cfRule type="expression" dxfId="1" priority="209" stopIfTrue="1">
      <formula>IF(VLOOKUP($J$3,preferredAttributePTDMap,MATCH($A9,attributeMapFeedProductType,0)+1,FALSE)&gt;0,1,0)</formula>
    </cfRule>
    <cfRule type="expression" dxfId="0" priority="210" stopIfTrue="1">
      <formula>AND(IF(IFERROR(VLOOKUP($J$3,requiredAttributePTDMap,MATCH($A9,attributeMapFeedProductType,0)+1,FALSE),0)&gt;0,0,1),IF(IFERROR(VLOOKUP($J$3,optionalAttributePTDMap,MATCH($A9,attributeMapFeedProductType,0)+1,FALSE),0)&gt;0,0,1),IF(IFERROR(VLOOKUP($J$3,preferredAttributePTDMap,MATCH($A9,attributeMapFeedProductType,0)+1,FALSE),0)&gt;0,0,1),IF(IFERROR(MATCH($A9,attributeMapFeedProductType,0),0)&gt;0,1,0))</formula>
    </cfRule>
  </conditionalFormatting>
  <conditionalFormatting sqref="K9">
    <cfRule type="expression" dxfId="4" priority="211" stopIfTrue="1">
      <formula>IF(LEN(K9)&gt;0,1,0)</formula>
    </cfRule>
    <cfRule type="expression" dxfId="3" priority="212" stopIfTrue="1">
      <formula>IF(VLOOKUP($K$3,requiredAttributePTDMap,MATCH($A9,attributeMapFeedProductType,0)+1,FALSE)&gt;0,1,0)</formula>
    </cfRule>
    <cfRule type="expression" dxfId="2" priority="213" stopIfTrue="1">
      <formula>IF(VLOOKUP($K$3,optionalAttributePTDMap,MATCH($A9,attributeMapFeedProductType,0)+1,FALSE)&gt;0,1,0)</formula>
    </cfRule>
    <cfRule type="expression" dxfId="1" priority="214" stopIfTrue="1">
      <formula>IF(VLOOKUP($K$3,preferredAttributePTDMap,MATCH($A9,attributeMapFeedProductType,0)+1,FALSE)&gt;0,1,0)</formula>
    </cfRule>
    <cfRule type="expression" dxfId="0" priority="215" stopIfTrue="1">
      <formula>AND(IF(IFERROR(VLOOKUP($K$3,requiredAttributePTDMap,MATCH($A9,attributeMapFeedProductType,0)+1,FALSE),0)&gt;0,0,1),IF(IFERROR(VLOOKUP($K$3,optionalAttributePTDMap,MATCH($A9,attributeMapFeedProductType,0)+1,FALSE),0)&gt;0,0,1),IF(IFERROR(VLOOKUP($K$3,preferredAttributePTDMap,MATCH($A9,attributeMapFeedProductType,0)+1,FALSE),0)&gt;0,0,1),IF(IFERROR(MATCH($A9,attributeMapFeedProductType,0),0)&gt;0,1,0))</formula>
    </cfRule>
  </conditionalFormatting>
  <conditionalFormatting sqref="L9">
    <cfRule type="expression" dxfId="4" priority="105" stopIfTrue="1">
      <formula>IF(LEN(L9)&gt;0,1,0)</formula>
    </cfRule>
    <cfRule type="expression" dxfId="3" priority="106" stopIfTrue="1">
      <formula>IF(VLOOKUP($BC$3,requiredAttributePTDMap,MATCH($A9,attributeMapFeedProductType,0)+1,FALSE)&gt;0,1,0)</formula>
    </cfRule>
    <cfRule type="expression" dxfId="2" priority="107" stopIfTrue="1">
      <formula>IF(VLOOKUP($BC$3,optionalAttributePTDMap,MATCH($A9,attributeMapFeedProductType,0)+1,FALSE)&gt;0,1,0)</formula>
    </cfRule>
    <cfRule type="expression" dxfId="1" priority="108" stopIfTrue="1">
      <formula>IF(VLOOKUP($BC$3,preferredAttributePTDMap,MATCH($A9,attributeMapFeedProductType,0)+1,FALSE)&gt;0,1,0)</formula>
    </cfRule>
    <cfRule type="expression" dxfId="0" priority="109" stopIfTrue="1">
      <formula>AND(IF(IFERROR(VLOOKUP($BC$3,requiredAttributePTDMap,MATCH($A9,attributeMapFeedProductType,0)+1,FALSE),0)&gt;0,0,1),IF(IFERROR(VLOOKUP($BC$3,optionalAttributePTDMap,MATCH($A9,attributeMapFeedProductType,0)+1,FALSE),0)&gt;0,0,1),IF(IFERROR(VLOOKUP($BC$3,preferredAttributePTDMap,MATCH($A9,attributeMapFeedProductType,0)+1,FALSE),0)&gt;0,0,1),IF(IFERROR(MATCH($A9,attributeMapFeedProductType,0),0)&gt;0,1,0))</formula>
    </cfRule>
  </conditionalFormatting>
  <conditionalFormatting sqref="M9">
    <cfRule type="expression" dxfId="4" priority="216" stopIfTrue="1">
      <formula>IF(LEN(M9)&gt;0,1,0)</formula>
    </cfRule>
    <cfRule type="expression" dxfId="3" priority="217" stopIfTrue="1">
      <formula>IF(VLOOKUP($M$3,requiredAttributePTDMap,MATCH($A9,attributeMapFeedProductType,0)+1,FALSE)&gt;0,1,0)</formula>
    </cfRule>
    <cfRule type="expression" dxfId="2" priority="218" stopIfTrue="1">
      <formula>IF(VLOOKUP($M$3,optionalAttributePTDMap,MATCH($A9,attributeMapFeedProductType,0)+1,FALSE)&gt;0,1,0)</formula>
    </cfRule>
    <cfRule type="expression" dxfId="1" priority="219" stopIfTrue="1">
      <formula>IF(VLOOKUP($M$3,preferredAttributePTDMap,MATCH($A9,attributeMapFeedProductType,0)+1,FALSE)&gt;0,1,0)</formula>
    </cfRule>
    <cfRule type="expression" dxfId="0" priority="220" stopIfTrue="1">
      <formula>AND(IF(IFERROR(VLOOKUP($M$3,requiredAttributePTDMap,MATCH($A9,attributeMapFeedProductType,0)+1,FALSE),0)&gt;0,0,1),IF(IFERROR(VLOOKUP($M$3,optionalAttributePTDMap,MATCH($A9,attributeMapFeedProductType,0)+1,FALSE),0)&gt;0,0,1),IF(IFERROR(VLOOKUP($M$3,preferredAttributePTDMap,MATCH($A9,attributeMapFeedProductType,0)+1,FALSE),0)&gt;0,0,1),IF(IFERROR(MATCH($A9,attributeMapFeedProductType,0),0)&gt;0,1,0))</formula>
    </cfRule>
  </conditionalFormatting>
  <conditionalFormatting sqref="N9">
    <cfRule type="expression" dxfId="4" priority="221" stopIfTrue="1">
      <formula>IF(LEN(N9)&gt;0,1,0)</formula>
    </cfRule>
    <cfRule type="expression" dxfId="3" priority="222" stopIfTrue="1">
      <formula>IF(VLOOKUP($N$3,requiredAttributePTDMap,MATCH($A9,attributeMapFeedProductType,0)+1,FALSE)&gt;0,1,0)</formula>
    </cfRule>
    <cfRule type="expression" dxfId="2" priority="223" stopIfTrue="1">
      <formula>IF(VLOOKUP($N$3,optionalAttributePTDMap,MATCH($A9,attributeMapFeedProductType,0)+1,FALSE)&gt;0,1,0)</formula>
    </cfRule>
    <cfRule type="expression" dxfId="1" priority="224" stopIfTrue="1">
      <formula>IF(VLOOKUP($N$3,preferredAttributePTDMap,MATCH($A9,attributeMapFeedProductType,0)+1,FALSE)&gt;0,1,0)</formula>
    </cfRule>
    <cfRule type="expression" dxfId="0" priority="225" stopIfTrue="1">
      <formula>AND(IF(IFERROR(VLOOKUP($N$3,requiredAttributePTDMap,MATCH($A9,attributeMapFeedProductType,0)+1,FALSE),0)&gt;0,0,1),IF(IFERROR(VLOOKUP($N$3,optionalAttributePTDMap,MATCH($A9,attributeMapFeedProductType,0)+1,FALSE),0)&gt;0,0,1),IF(IFERROR(VLOOKUP($N$3,preferredAttributePTDMap,MATCH($A9,attributeMapFeedProductType,0)+1,FALSE),0)&gt;0,0,1),IF(IFERROR(MATCH($A9,attributeMapFeedProductType,0),0)&gt;0,1,0))</formula>
    </cfRule>
  </conditionalFormatting>
  <conditionalFormatting sqref="O9">
    <cfRule type="expression" dxfId="4" priority="226" stopIfTrue="1">
      <formula>IF(LEN(O9)&gt;0,1,0)</formula>
    </cfRule>
    <cfRule type="expression" dxfId="3" priority="227" stopIfTrue="1">
      <formula>IF(VLOOKUP($O$3,requiredAttributePTDMap,MATCH($A9,attributeMapFeedProductType,0)+1,FALSE)&gt;0,1,0)</formula>
    </cfRule>
    <cfRule type="expression" dxfId="2" priority="228" stopIfTrue="1">
      <formula>IF(VLOOKUP($O$3,optionalAttributePTDMap,MATCH($A9,attributeMapFeedProductType,0)+1,FALSE)&gt;0,1,0)</formula>
    </cfRule>
    <cfRule type="expression" dxfId="1" priority="229" stopIfTrue="1">
      <formula>IF(VLOOKUP($O$3,preferredAttributePTDMap,MATCH($A9,attributeMapFeedProductType,0)+1,FALSE)&gt;0,1,0)</formula>
    </cfRule>
    <cfRule type="expression" dxfId="0" priority="230" stopIfTrue="1">
      <formula>AND(IF(IFERROR(VLOOKUP($O$3,requiredAttributePTDMap,MATCH($A9,attributeMapFeedProductType,0)+1,FALSE),0)&gt;0,0,1),IF(IFERROR(VLOOKUP($O$3,optionalAttributePTDMap,MATCH($A9,attributeMapFeedProductType,0)+1,FALSE),0)&gt;0,0,1),IF(IFERROR(VLOOKUP($O$3,preferredAttributePTDMap,MATCH($A9,attributeMapFeedProductType,0)+1,FALSE),0)&gt;0,0,1),IF(IFERROR(MATCH($A9,attributeMapFeedProductType,0),0)&gt;0,1,0))</formula>
    </cfRule>
  </conditionalFormatting>
  <conditionalFormatting sqref="P9">
    <cfRule type="expression" dxfId="4" priority="231" stopIfTrue="1">
      <formula>IF(LEN(P9)&gt;0,1,0)</formula>
    </cfRule>
    <cfRule type="expression" dxfId="3" priority="232" stopIfTrue="1">
      <formula>IF(VLOOKUP($P$3,requiredAttributePTDMap,MATCH($A9,attributeMapFeedProductType,0)+1,FALSE)&gt;0,1,0)</formula>
    </cfRule>
    <cfRule type="expression" dxfId="2" priority="233" stopIfTrue="1">
      <formula>IF(VLOOKUP($P$3,optionalAttributePTDMap,MATCH($A9,attributeMapFeedProductType,0)+1,FALSE)&gt;0,1,0)</formula>
    </cfRule>
    <cfRule type="expression" dxfId="1" priority="234" stopIfTrue="1">
      <formula>IF(VLOOKUP($P$3,preferredAttributePTDMap,MATCH($A9,attributeMapFeedProductType,0)+1,FALSE)&gt;0,1,0)</formula>
    </cfRule>
    <cfRule type="expression" dxfId="0" priority="235" stopIfTrue="1">
      <formula>AND(IF(IFERROR(VLOOKUP($P$3,requiredAttributePTDMap,MATCH($A9,attributeMapFeedProductType,0)+1,FALSE),0)&gt;0,0,1),IF(IFERROR(VLOOKUP($P$3,optionalAttributePTDMap,MATCH($A9,attributeMapFeedProductType,0)+1,FALSE),0)&gt;0,0,1),IF(IFERROR(VLOOKUP($P$3,preferredAttributePTDMap,MATCH($A9,attributeMapFeedProductType,0)+1,FALSE),0)&gt;0,0,1),IF(IFERROR(MATCH($A9,attributeMapFeedProductType,0),0)&gt;0,1,0))</formula>
    </cfRule>
  </conditionalFormatting>
  <conditionalFormatting sqref="Q9">
    <cfRule type="expression" dxfId="4" priority="236" stopIfTrue="1">
      <formula>IF(LEN(Q9)&gt;0,1,0)</formula>
    </cfRule>
    <cfRule type="expression" dxfId="3" priority="237" stopIfTrue="1">
      <formula>IF(VLOOKUP($Q$3,requiredAttributePTDMap,MATCH($A9,attributeMapFeedProductType,0)+1,FALSE)&gt;0,1,0)</formula>
    </cfRule>
    <cfRule type="expression" dxfId="2" priority="238" stopIfTrue="1">
      <formula>IF(VLOOKUP($Q$3,optionalAttributePTDMap,MATCH($A9,attributeMapFeedProductType,0)+1,FALSE)&gt;0,1,0)</formula>
    </cfRule>
    <cfRule type="expression" dxfId="1" priority="239" stopIfTrue="1">
      <formula>IF(VLOOKUP($Q$3,preferredAttributePTDMap,MATCH($A9,attributeMapFeedProductType,0)+1,FALSE)&gt;0,1,0)</formula>
    </cfRule>
    <cfRule type="expression" dxfId="0" priority="240" stopIfTrue="1">
      <formula>AND(IF(IFERROR(VLOOKUP($Q$3,requiredAttributePTDMap,MATCH($A9,attributeMapFeedProductType,0)+1,FALSE),0)&gt;0,0,1),IF(IFERROR(VLOOKUP($Q$3,optionalAttributePTDMap,MATCH($A9,attributeMapFeedProductType,0)+1,FALSE),0)&gt;0,0,1),IF(IFERROR(VLOOKUP($Q$3,preferredAttributePTDMap,MATCH($A9,attributeMapFeedProductType,0)+1,FALSE),0)&gt;0,0,1),IF(IFERROR(MATCH($A9,attributeMapFeedProductType,0),0)&gt;0,1,0))</formula>
    </cfRule>
  </conditionalFormatting>
  <conditionalFormatting sqref="R9">
    <cfRule type="expression" dxfId="4" priority="241" stopIfTrue="1">
      <formula>IF(LEN(R9)&gt;0,1,0)</formula>
    </cfRule>
    <cfRule type="expression" dxfId="3" priority="242" stopIfTrue="1">
      <formula>IF(VLOOKUP($R$3,requiredAttributePTDMap,MATCH($A9,attributeMapFeedProductType,0)+1,FALSE)&gt;0,1,0)</formula>
    </cfRule>
    <cfRule type="expression" dxfId="2" priority="243" stopIfTrue="1">
      <formula>IF(VLOOKUP($R$3,optionalAttributePTDMap,MATCH($A9,attributeMapFeedProductType,0)+1,FALSE)&gt;0,1,0)</formula>
    </cfRule>
    <cfRule type="expression" dxfId="1" priority="244" stopIfTrue="1">
      <formula>IF(VLOOKUP($R$3,preferredAttributePTDMap,MATCH($A9,attributeMapFeedProductType,0)+1,FALSE)&gt;0,1,0)</formula>
    </cfRule>
    <cfRule type="expression" dxfId="0" priority="245" stopIfTrue="1">
      <formula>AND(IF(IFERROR(VLOOKUP($R$3,requiredAttributePTDMap,MATCH($A9,attributeMapFeedProductType,0)+1,FALSE),0)&gt;0,0,1),IF(IFERROR(VLOOKUP($R$3,optionalAttributePTDMap,MATCH($A9,attributeMapFeedProductType,0)+1,FALSE),0)&gt;0,0,1),IF(IFERROR(VLOOKUP($R$3,preferredAttributePTDMap,MATCH($A9,attributeMapFeedProductType,0)+1,FALSE),0)&gt;0,0,1),IF(IFERROR(MATCH($A9,attributeMapFeedProductType,0),0)&gt;0,1,0))</formula>
    </cfRule>
  </conditionalFormatting>
  <conditionalFormatting sqref="S9">
    <cfRule type="expression" dxfId="4" priority="246" stopIfTrue="1">
      <formula>IF(LEN(S9)&gt;0,1,0)</formula>
    </cfRule>
    <cfRule type="expression" dxfId="3" priority="247" stopIfTrue="1">
      <formula>IF(VLOOKUP($S$3,requiredAttributePTDMap,MATCH($A9,attributeMapFeedProductType,0)+1,FALSE)&gt;0,1,0)</formula>
    </cfRule>
    <cfRule type="expression" dxfId="2" priority="248" stopIfTrue="1">
      <formula>IF(VLOOKUP($S$3,optionalAttributePTDMap,MATCH($A9,attributeMapFeedProductType,0)+1,FALSE)&gt;0,1,0)</formula>
    </cfRule>
    <cfRule type="expression" dxfId="1" priority="249" stopIfTrue="1">
      <formula>IF(VLOOKUP($S$3,preferredAttributePTDMap,MATCH($A9,attributeMapFeedProductType,0)+1,FALSE)&gt;0,1,0)</formula>
    </cfRule>
    <cfRule type="expression" dxfId="0" priority="250" stopIfTrue="1">
      <formula>AND(IF(IFERROR(VLOOKUP($S$3,requiredAttributePTDMap,MATCH($A9,attributeMapFeedProductType,0)+1,FALSE),0)&gt;0,0,1),IF(IFERROR(VLOOKUP($S$3,optionalAttributePTDMap,MATCH($A9,attributeMapFeedProductType,0)+1,FALSE),0)&gt;0,0,1),IF(IFERROR(VLOOKUP($S$3,preferredAttributePTDMap,MATCH($A9,attributeMapFeedProductType,0)+1,FALSE),0)&gt;0,0,1),IF(IFERROR(MATCH($A9,attributeMapFeedProductType,0),0)&gt;0,1,0))</formula>
    </cfRule>
  </conditionalFormatting>
  <conditionalFormatting sqref="T9">
    <cfRule type="expression" dxfId="4" priority="251" stopIfTrue="1">
      <formula>IF(LEN(T9)&gt;0,1,0)</formula>
    </cfRule>
    <cfRule type="expression" dxfId="3" priority="252" stopIfTrue="1">
      <formula>IF(VLOOKUP($T$3,requiredAttributePTDMap,MATCH($A9,attributeMapFeedProductType,0)+1,FALSE)&gt;0,1,0)</formula>
    </cfRule>
    <cfRule type="expression" dxfId="2" priority="253" stopIfTrue="1">
      <formula>IF(VLOOKUP($T$3,optionalAttributePTDMap,MATCH($A9,attributeMapFeedProductType,0)+1,FALSE)&gt;0,1,0)</formula>
    </cfRule>
    <cfRule type="expression" dxfId="1" priority="254" stopIfTrue="1">
      <formula>IF(VLOOKUP($T$3,preferredAttributePTDMap,MATCH($A9,attributeMapFeedProductType,0)+1,FALSE)&gt;0,1,0)</formula>
    </cfRule>
    <cfRule type="expression" dxfId="0" priority="255" stopIfTrue="1">
      <formula>AND(IF(IFERROR(VLOOKUP($T$3,requiredAttributePTDMap,MATCH($A9,attributeMapFeedProductType,0)+1,FALSE),0)&gt;0,0,1),IF(IFERROR(VLOOKUP($T$3,optionalAttributePTDMap,MATCH($A9,attributeMapFeedProductType,0)+1,FALSE),0)&gt;0,0,1),IF(IFERROR(VLOOKUP($T$3,preferredAttributePTDMap,MATCH($A9,attributeMapFeedProductType,0)+1,FALSE),0)&gt;0,0,1),IF(IFERROR(MATCH($A9,attributeMapFeedProductType,0),0)&gt;0,1,0))</formula>
    </cfRule>
  </conditionalFormatting>
  <conditionalFormatting sqref="U9">
    <cfRule type="expression" dxfId="4" priority="256" stopIfTrue="1">
      <formula>IF(LEN(U9)&gt;0,1,0)</formula>
    </cfRule>
    <cfRule type="expression" dxfId="3" priority="257" stopIfTrue="1">
      <formula>IF(VLOOKUP($U$3,requiredAttributePTDMap,MATCH($A9,attributeMapFeedProductType,0)+1,FALSE)&gt;0,1,0)</formula>
    </cfRule>
    <cfRule type="expression" dxfId="2" priority="258" stopIfTrue="1">
      <formula>IF(VLOOKUP($U$3,optionalAttributePTDMap,MATCH($A9,attributeMapFeedProductType,0)+1,FALSE)&gt;0,1,0)</formula>
    </cfRule>
    <cfRule type="expression" dxfId="1" priority="259" stopIfTrue="1">
      <formula>IF(VLOOKUP($U$3,preferredAttributePTDMap,MATCH($A9,attributeMapFeedProductType,0)+1,FALSE)&gt;0,1,0)</formula>
    </cfRule>
    <cfRule type="expression" dxfId="0" priority="260" stopIfTrue="1">
      <formula>AND(IF(IFERROR(VLOOKUP($U$3,requiredAttributePTDMap,MATCH($A9,attributeMapFeedProductType,0)+1,FALSE),0)&gt;0,0,1),IF(IFERROR(VLOOKUP($U$3,optionalAttributePTDMap,MATCH($A9,attributeMapFeedProductType,0)+1,FALSE),0)&gt;0,0,1),IF(IFERROR(VLOOKUP($U$3,preferredAttributePTDMap,MATCH($A9,attributeMapFeedProductType,0)+1,FALSE),0)&gt;0,0,1),IF(IFERROR(MATCH($A9,attributeMapFeedProductType,0),0)&gt;0,1,0))</formula>
    </cfRule>
  </conditionalFormatting>
  <conditionalFormatting sqref="W9">
    <cfRule type="expression" dxfId="4" priority="266" stopIfTrue="1">
      <formula>IF(LEN(W9)&gt;0,1,0)</formula>
    </cfRule>
    <cfRule type="expression" dxfId="3" priority="267" stopIfTrue="1">
      <formula>IF(VLOOKUP($W$3,requiredAttributePTDMap,MATCH($A9,attributeMapFeedProductType,0)+1,FALSE)&gt;0,1,0)</formula>
    </cfRule>
    <cfRule type="expression" dxfId="2" priority="268" stopIfTrue="1">
      <formula>IF(VLOOKUP($W$3,optionalAttributePTDMap,MATCH($A9,attributeMapFeedProductType,0)+1,FALSE)&gt;0,1,0)</formula>
    </cfRule>
    <cfRule type="expression" dxfId="1" priority="269" stopIfTrue="1">
      <formula>IF(VLOOKUP($W$3,preferredAttributePTDMap,MATCH($A9,attributeMapFeedProductType,0)+1,FALSE)&gt;0,1,0)</formula>
    </cfRule>
    <cfRule type="expression" dxfId="0" priority="270" stopIfTrue="1">
      <formula>AND(IF(IFERROR(VLOOKUP($W$3,requiredAttributePTDMap,MATCH($A9,attributeMapFeedProductType,0)+1,FALSE),0)&gt;0,0,1),IF(IFERROR(VLOOKUP($W$3,optionalAttributePTDMap,MATCH($A9,attributeMapFeedProductType,0)+1,FALSE),0)&gt;0,0,1),IF(IFERROR(VLOOKUP($W$3,preferredAttributePTDMap,MATCH($A9,attributeMapFeedProductType,0)+1,FALSE),0)&gt;0,0,1),IF(IFERROR(MATCH($A9,attributeMapFeedProductType,0),0)&gt;0,1,0))</formula>
    </cfRule>
  </conditionalFormatting>
  <conditionalFormatting sqref="X9">
    <cfRule type="expression" dxfId="4" priority="271" stopIfTrue="1">
      <formula>IF(LEN(X9)&gt;0,1,0)</formula>
    </cfRule>
    <cfRule type="expression" dxfId="3" priority="272" stopIfTrue="1">
      <formula>IF(VLOOKUP($X$3,requiredAttributePTDMap,MATCH($A9,attributeMapFeedProductType,0)+1,FALSE)&gt;0,1,0)</formula>
    </cfRule>
    <cfRule type="expression" dxfId="2" priority="273" stopIfTrue="1">
      <formula>IF(VLOOKUP($X$3,optionalAttributePTDMap,MATCH($A9,attributeMapFeedProductType,0)+1,FALSE)&gt;0,1,0)</formula>
    </cfRule>
    <cfRule type="expression" dxfId="1" priority="274" stopIfTrue="1">
      <formula>IF(VLOOKUP($X$3,preferredAttributePTDMap,MATCH($A9,attributeMapFeedProductType,0)+1,FALSE)&gt;0,1,0)</formula>
    </cfRule>
    <cfRule type="expression" dxfId="0" priority="275" stopIfTrue="1">
      <formula>AND(IF(IFERROR(VLOOKUP($X$3,requiredAttributePTDMap,MATCH($A9,attributeMapFeedProductType,0)+1,FALSE),0)&gt;0,0,1),IF(IFERROR(VLOOKUP($X$3,optionalAttributePTDMap,MATCH($A9,attributeMapFeedProductType,0)+1,FALSE),0)&gt;0,0,1),IF(IFERROR(VLOOKUP($X$3,preferredAttributePTDMap,MATCH($A9,attributeMapFeedProductType,0)+1,FALSE),0)&gt;0,0,1),IF(IFERROR(MATCH($A9,attributeMapFeedProductType,0),0)&gt;0,1,0))</formula>
    </cfRule>
  </conditionalFormatting>
  <conditionalFormatting sqref="Y9">
    <cfRule type="expression" dxfId="4" priority="276" stopIfTrue="1">
      <formula>IF(LEN(Y9)&gt;0,1,0)</formula>
    </cfRule>
    <cfRule type="expression" dxfId="3" priority="277" stopIfTrue="1">
      <formula>IF(VLOOKUP($Y$3,requiredAttributePTDMap,MATCH($A9,attributeMapFeedProductType,0)+1,FALSE)&gt;0,1,0)</formula>
    </cfRule>
    <cfRule type="expression" dxfId="2" priority="278" stopIfTrue="1">
      <formula>IF(VLOOKUP($Y$3,optionalAttributePTDMap,MATCH($A9,attributeMapFeedProductType,0)+1,FALSE)&gt;0,1,0)</formula>
    </cfRule>
    <cfRule type="expression" dxfId="1" priority="279" stopIfTrue="1">
      <formula>IF(VLOOKUP($Y$3,preferredAttributePTDMap,MATCH($A9,attributeMapFeedProductType,0)+1,FALSE)&gt;0,1,0)</formula>
    </cfRule>
    <cfRule type="expression" dxfId="0" priority="280" stopIfTrue="1">
      <formula>AND(IF(IFERROR(VLOOKUP($Y$3,requiredAttributePTDMap,MATCH($A9,attributeMapFeedProductType,0)+1,FALSE),0)&gt;0,0,1),IF(IFERROR(VLOOKUP($Y$3,optionalAttributePTDMap,MATCH($A9,attributeMapFeedProductType,0)+1,FALSE),0)&gt;0,0,1),IF(IFERROR(VLOOKUP($Y$3,preferredAttributePTDMap,MATCH($A9,attributeMapFeedProductType,0)+1,FALSE),0)&gt;0,0,1),IF(IFERROR(MATCH($A9,attributeMapFeedProductType,0),0)&gt;0,1,0))</formula>
    </cfRule>
  </conditionalFormatting>
  <conditionalFormatting sqref="Z9">
    <cfRule type="expression" dxfId="4" priority="281" stopIfTrue="1">
      <formula>IF(LEN(Z9)&gt;0,1,0)</formula>
    </cfRule>
    <cfRule type="expression" dxfId="3" priority="282" stopIfTrue="1">
      <formula>IF(VLOOKUP($Z$3,requiredAttributePTDMap,MATCH($A9,attributeMapFeedProductType,0)+1,FALSE)&gt;0,1,0)</formula>
    </cfRule>
    <cfRule type="expression" dxfId="2" priority="283" stopIfTrue="1">
      <formula>IF(VLOOKUP($Z$3,optionalAttributePTDMap,MATCH($A9,attributeMapFeedProductType,0)+1,FALSE)&gt;0,1,0)</formula>
    </cfRule>
    <cfRule type="expression" dxfId="1" priority="284" stopIfTrue="1">
      <formula>IF(VLOOKUP($Z$3,preferredAttributePTDMap,MATCH($A9,attributeMapFeedProductType,0)+1,FALSE)&gt;0,1,0)</formula>
    </cfRule>
    <cfRule type="expression" dxfId="0" priority="285" stopIfTrue="1">
      <formula>AND(IF(IFERROR(VLOOKUP($Z$3,requiredAttributePTDMap,MATCH($A9,attributeMapFeedProductType,0)+1,FALSE),0)&gt;0,0,1),IF(IFERROR(VLOOKUP($Z$3,optionalAttributePTDMap,MATCH($A9,attributeMapFeedProductType,0)+1,FALSE),0)&gt;0,0,1),IF(IFERROR(VLOOKUP($Z$3,preferredAttributePTDMap,MATCH($A9,attributeMapFeedProductType,0)+1,FALSE),0)&gt;0,0,1),IF(IFERROR(MATCH($A9,attributeMapFeedProductType,0),0)&gt;0,1,0))</formula>
    </cfRule>
  </conditionalFormatting>
  <conditionalFormatting sqref="AA9">
    <cfRule type="expression" dxfId="4" priority="286" stopIfTrue="1">
      <formula>IF(LEN(AA9)&gt;0,1,0)</formula>
    </cfRule>
    <cfRule type="expression" dxfId="3" priority="287" stopIfTrue="1">
      <formula>IF(VLOOKUP($AA$3,requiredAttributePTDMap,MATCH($A9,attributeMapFeedProductType,0)+1,FALSE)&gt;0,1,0)</formula>
    </cfRule>
    <cfRule type="expression" dxfId="2" priority="288" stopIfTrue="1">
      <formula>IF(VLOOKUP($AA$3,optionalAttributePTDMap,MATCH($A9,attributeMapFeedProductType,0)+1,FALSE)&gt;0,1,0)</formula>
    </cfRule>
    <cfRule type="expression" dxfId="1" priority="289" stopIfTrue="1">
      <formula>IF(VLOOKUP($AA$3,preferredAttributePTDMap,MATCH($A9,attributeMapFeedProductType,0)+1,FALSE)&gt;0,1,0)</formula>
    </cfRule>
    <cfRule type="expression" dxfId="0" priority="290" stopIfTrue="1">
      <formula>AND(IF(IFERROR(VLOOKUP($AA$3,requiredAttributePTDMap,MATCH($A9,attributeMapFeedProductType,0)+1,FALSE),0)&gt;0,0,1),IF(IFERROR(VLOOKUP($AA$3,optionalAttributePTDMap,MATCH($A9,attributeMapFeedProductType,0)+1,FALSE),0)&gt;0,0,1),IF(IFERROR(VLOOKUP($AA$3,preferredAttributePTDMap,MATCH($A9,attributeMapFeedProductType,0)+1,FALSE),0)&gt;0,0,1),IF(IFERROR(MATCH($A9,attributeMapFeedProductType,0),0)&gt;0,1,0))</formula>
    </cfRule>
  </conditionalFormatting>
  <conditionalFormatting sqref="AB9">
    <cfRule type="expression" dxfId="4" priority="170" stopIfTrue="1">
      <formula>IF(LEN(AB9)&gt;0,1,0)</formula>
    </cfRule>
    <cfRule type="expression" dxfId="3" priority="171" stopIfTrue="1">
      <formula>IF(VLOOKUP($J$3,requiredAttributePTDMap,MATCH($A9,attributeMapFeedProductType,0)+1,FALSE)&gt;0,1,0)</formula>
    </cfRule>
    <cfRule type="expression" dxfId="2" priority="172" stopIfTrue="1">
      <formula>IF(VLOOKUP($J$3,optionalAttributePTDMap,MATCH($A9,attributeMapFeedProductType,0)+1,FALSE)&gt;0,1,0)</formula>
    </cfRule>
    <cfRule type="expression" dxfId="1" priority="173" stopIfTrue="1">
      <formula>IF(VLOOKUP($J$3,preferredAttributePTDMap,MATCH($A9,attributeMapFeedProductType,0)+1,FALSE)&gt;0,1,0)</formula>
    </cfRule>
    <cfRule type="expression" dxfId="0" priority="174" stopIfTrue="1">
      <formula>AND(IF(IFERROR(VLOOKUP($J$3,requiredAttributePTDMap,MATCH($A9,attributeMapFeedProductType,0)+1,FALSE),0)&gt;0,0,1),IF(IFERROR(VLOOKUP($J$3,optionalAttributePTDMap,MATCH($A9,attributeMapFeedProductType,0)+1,FALSE),0)&gt;0,0,1),IF(IFERROR(VLOOKUP($J$3,preferredAttributePTDMap,MATCH($A9,attributeMapFeedProductType,0)+1,FALSE),0)&gt;0,0,1),IF(IFERROR(MATCH($A9,attributeMapFeedProductType,0),0)&gt;0,1,0))</formula>
    </cfRule>
  </conditionalFormatting>
  <conditionalFormatting sqref="AC9">
    <cfRule type="expression" dxfId="4" priority="291" stopIfTrue="1">
      <formula>IF(LEN(AC9)&gt;0,1,0)</formula>
    </cfRule>
    <cfRule type="expression" dxfId="3" priority="292" stopIfTrue="1">
      <formula>IF(VLOOKUP($AC$3,requiredAttributePTDMap,MATCH($A9,attributeMapFeedProductType,0)+1,FALSE)&gt;0,1,0)</formula>
    </cfRule>
    <cfRule type="expression" dxfId="2" priority="293" stopIfTrue="1">
      <formula>IF(VLOOKUP($AC$3,optionalAttributePTDMap,MATCH($A9,attributeMapFeedProductType,0)+1,FALSE)&gt;0,1,0)</formula>
    </cfRule>
    <cfRule type="expression" dxfId="1" priority="294" stopIfTrue="1">
      <formula>IF(VLOOKUP($AC$3,preferredAttributePTDMap,MATCH($A9,attributeMapFeedProductType,0)+1,FALSE)&gt;0,1,0)</formula>
    </cfRule>
    <cfRule type="expression" dxfId="0" priority="295" stopIfTrue="1">
      <formula>AND(IF(IFERROR(VLOOKUP($AC$3,requiredAttributePTDMap,MATCH($A9,attributeMapFeedProductType,0)+1,FALSE),0)&gt;0,0,1),IF(IFERROR(VLOOKUP($AC$3,optionalAttributePTDMap,MATCH($A9,attributeMapFeedProductType,0)+1,FALSE),0)&gt;0,0,1),IF(IFERROR(VLOOKUP($AC$3,preferredAttributePTDMap,MATCH($A9,attributeMapFeedProductType,0)+1,FALSE),0)&gt;0,0,1),IF(IFERROR(MATCH($A9,attributeMapFeedProductType,0),0)&gt;0,1,0))</formula>
    </cfRule>
  </conditionalFormatting>
  <conditionalFormatting sqref="AD9">
    <cfRule type="expression" dxfId="4" priority="296" stopIfTrue="1">
      <formula>IF(LEN(AD9)&gt;0,1,0)</formula>
    </cfRule>
    <cfRule type="expression" dxfId="3" priority="297" stopIfTrue="1">
      <formula>IF(VLOOKUP($AD$3,requiredAttributePTDMap,MATCH($A9,attributeMapFeedProductType,0)+1,FALSE)&gt;0,1,0)</formula>
    </cfRule>
    <cfRule type="expression" dxfId="2" priority="298" stopIfTrue="1">
      <formula>IF(VLOOKUP($AD$3,optionalAttributePTDMap,MATCH($A9,attributeMapFeedProductType,0)+1,FALSE)&gt;0,1,0)</formula>
    </cfRule>
    <cfRule type="expression" dxfId="1" priority="299" stopIfTrue="1">
      <formula>IF(VLOOKUP($AD$3,preferredAttributePTDMap,MATCH($A9,attributeMapFeedProductType,0)+1,FALSE)&gt;0,1,0)</formula>
    </cfRule>
    <cfRule type="expression" dxfId="0" priority="300" stopIfTrue="1">
      <formula>AND(IF(IFERROR(VLOOKUP($AD$3,requiredAttributePTDMap,MATCH($A9,attributeMapFeedProductType,0)+1,FALSE),0)&gt;0,0,1),IF(IFERROR(VLOOKUP($AD$3,optionalAttributePTDMap,MATCH($A9,attributeMapFeedProductType,0)+1,FALSE),0)&gt;0,0,1),IF(IFERROR(VLOOKUP($AD$3,preferredAttributePTDMap,MATCH($A9,attributeMapFeedProductType,0)+1,FALSE),0)&gt;0,0,1),IF(IFERROR(MATCH($A9,attributeMapFeedProductType,0),0)&gt;0,1,0))</formula>
    </cfRule>
  </conditionalFormatting>
  <conditionalFormatting sqref="AE9">
    <cfRule type="expression" dxfId="4" priority="301" stopIfTrue="1">
      <formula>IF(LEN(AE9)&gt;0,1,0)</formula>
    </cfRule>
    <cfRule type="expression" dxfId="3" priority="302" stopIfTrue="1">
      <formula>IF(VLOOKUP($AE$3,requiredAttributePTDMap,MATCH($A9,attributeMapFeedProductType,0)+1,FALSE)&gt;0,1,0)</formula>
    </cfRule>
    <cfRule type="expression" dxfId="2" priority="303" stopIfTrue="1">
      <formula>IF(VLOOKUP($AE$3,optionalAttributePTDMap,MATCH($A9,attributeMapFeedProductType,0)+1,FALSE)&gt;0,1,0)</formula>
    </cfRule>
    <cfRule type="expression" dxfId="1" priority="304" stopIfTrue="1">
      <formula>IF(VLOOKUP($AE$3,preferredAttributePTDMap,MATCH($A9,attributeMapFeedProductType,0)+1,FALSE)&gt;0,1,0)</formula>
    </cfRule>
    <cfRule type="expression" dxfId="0" priority="305" stopIfTrue="1">
      <formula>AND(IF(IFERROR(VLOOKUP($AE$3,requiredAttributePTDMap,MATCH($A9,attributeMapFeedProductType,0)+1,FALSE),0)&gt;0,0,1),IF(IFERROR(VLOOKUP($AE$3,optionalAttributePTDMap,MATCH($A9,attributeMapFeedProductType,0)+1,FALSE),0)&gt;0,0,1),IF(IFERROR(VLOOKUP($AE$3,preferredAttributePTDMap,MATCH($A9,attributeMapFeedProductType,0)+1,FALSE),0)&gt;0,0,1),IF(IFERROR(MATCH($A9,attributeMapFeedProductType,0),0)&gt;0,1,0))</formula>
    </cfRule>
  </conditionalFormatting>
  <conditionalFormatting sqref="AL9">
    <cfRule type="expression" dxfId="4" priority="331" stopIfTrue="1">
      <formula>IF(LEN(AL9)&gt;0,1,0)</formula>
    </cfRule>
    <cfRule type="expression" dxfId="3" priority="332" stopIfTrue="1">
      <formula>IF(VLOOKUP($AL$3,requiredAttributePTDMap,MATCH($A9,attributeMapFeedProductType,0)+1,FALSE)&gt;0,1,0)</formula>
    </cfRule>
    <cfRule type="expression" dxfId="2" priority="333" stopIfTrue="1">
      <formula>IF(VLOOKUP($AL$3,optionalAttributePTDMap,MATCH($A9,attributeMapFeedProductType,0)+1,FALSE)&gt;0,1,0)</formula>
    </cfRule>
    <cfRule type="expression" dxfId="1" priority="334" stopIfTrue="1">
      <formula>IF(VLOOKUP($AL$3,preferredAttributePTDMap,MATCH($A9,attributeMapFeedProductType,0)+1,FALSE)&gt;0,1,0)</formula>
    </cfRule>
    <cfRule type="expression" dxfId="0" priority="335" stopIfTrue="1">
      <formula>AND(IF(IFERROR(VLOOKUP($AL$3,requiredAttributePTDMap,MATCH($A9,attributeMapFeedProductType,0)+1,FALSE),0)&gt;0,0,1),IF(IFERROR(VLOOKUP($AL$3,optionalAttributePTDMap,MATCH($A9,attributeMapFeedProductType,0)+1,FALSE),0)&gt;0,0,1),IF(IFERROR(VLOOKUP($AL$3,preferredAttributePTDMap,MATCH($A9,attributeMapFeedProductType,0)+1,FALSE),0)&gt;0,0,1),IF(IFERROR(MATCH($A9,attributeMapFeedProductType,0),0)&gt;0,1,0))</formula>
    </cfRule>
  </conditionalFormatting>
  <conditionalFormatting sqref="AM9">
    <cfRule type="expression" dxfId="4" priority="336" stopIfTrue="1">
      <formula>IF(LEN(AM9)&gt;0,1,0)</formula>
    </cfRule>
    <cfRule type="expression" dxfId="3" priority="337" stopIfTrue="1">
      <formula>IF(VLOOKUP($AM$3,requiredAttributePTDMap,MATCH($A9,attributeMapFeedProductType,0)+1,FALSE)&gt;0,1,0)</formula>
    </cfRule>
    <cfRule type="expression" dxfId="2" priority="338" stopIfTrue="1">
      <formula>IF(VLOOKUP($AM$3,optionalAttributePTDMap,MATCH($A9,attributeMapFeedProductType,0)+1,FALSE)&gt;0,1,0)</formula>
    </cfRule>
    <cfRule type="expression" dxfId="1" priority="339" stopIfTrue="1">
      <formula>IF(VLOOKUP($AM$3,preferredAttributePTDMap,MATCH($A9,attributeMapFeedProductType,0)+1,FALSE)&gt;0,1,0)</formula>
    </cfRule>
    <cfRule type="expression" dxfId="0" priority="340" stopIfTrue="1">
      <formula>AND(IF(IFERROR(VLOOKUP($AM$3,requiredAttributePTDMap,MATCH($A9,attributeMapFeedProductType,0)+1,FALSE),0)&gt;0,0,1),IF(IFERROR(VLOOKUP($AM$3,optionalAttributePTDMap,MATCH($A9,attributeMapFeedProductType,0)+1,FALSE),0)&gt;0,0,1),IF(IFERROR(VLOOKUP($AM$3,preferredAttributePTDMap,MATCH($A9,attributeMapFeedProductType,0)+1,FALSE),0)&gt;0,0,1),IF(IFERROR(MATCH($A9,attributeMapFeedProductType,0),0)&gt;0,1,0))</formula>
    </cfRule>
  </conditionalFormatting>
  <conditionalFormatting sqref="AN9">
    <cfRule type="expression" dxfId="4" priority="341" stopIfTrue="1">
      <formula>IF(LEN(AN9)&gt;0,1,0)</formula>
    </cfRule>
    <cfRule type="expression" dxfId="3" priority="342" stopIfTrue="1">
      <formula>IF(VLOOKUP($AN$3,requiredAttributePTDMap,MATCH($A9,attributeMapFeedProductType,0)+1,FALSE)&gt;0,1,0)</formula>
    </cfRule>
    <cfRule type="expression" dxfId="2" priority="343" stopIfTrue="1">
      <formula>IF(VLOOKUP($AN$3,optionalAttributePTDMap,MATCH($A9,attributeMapFeedProductType,0)+1,FALSE)&gt;0,1,0)</formula>
    </cfRule>
    <cfRule type="expression" dxfId="1" priority="344" stopIfTrue="1">
      <formula>IF(VLOOKUP($AN$3,preferredAttributePTDMap,MATCH($A9,attributeMapFeedProductType,0)+1,FALSE)&gt;0,1,0)</formula>
    </cfRule>
    <cfRule type="expression" dxfId="0" priority="345" stopIfTrue="1">
      <formula>AND(IF(IFERROR(VLOOKUP($AN$3,requiredAttributePTDMap,MATCH($A9,attributeMapFeedProductType,0)+1,FALSE),0)&gt;0,0,1),IF(IFERROR(VLOOKUP($AN$3,optionalAttributePTDMap,MATCH($A9,attributeMapFeedProductType,0)+1,FALSE),0)&gt;0,0,1),IF(IFERROR(VLOOKUP($AN$3,preferredAttributePTDMap,MATCH($A9,attributeMapFeedProductType,0)+1,FALSE),0)&gt;0,0,1),IF(IFERROR(MATCH($A9,attributeMapFeedProductType,0),0)&gt;0,1,0))</formula>
    </cfRule>
  </conditionalFormatting>
  <conditionalFormatting sqref="AO9">
    <cfRule type="expression" dxfId="4" priority="346" stopIfTrue="1">
      <formula>IF(LEN(AO9)&gt;0,1,0)</formula>
    </cfRule>
    <cfRule type="expression" dxfId="3" priority="347" stopIfTrue="1">
      <formula>IF(VLOOKUP($AO$3,requiredAttributePTDMap,MATCH($A9,attributeMapFeedProductType,0)+1,FALSE)&gt;0,1,0)</formula>
    </cfRule>
    <cfRule type="expression" dxfId="2" priority="348" stopIfTrue="1">
      <formula>IF(VLOOKUP($AO$3,optionalAttributePTDMap,MATCH($A9,attributeMapFeedProductType,0)+1,FALSE)&gt;0,1,0)</formula>
    </cfRule>
    <cfRule type="expression" dxfId="1" priority="349" stopIfTrue="1">
      <formula>IF(VLOOKUP($AO$3,preferredAttributePTDMap,MATCH($A9,attributeMapFeedProductType,0)+1,FALSE)&gt;0,1,0)</formula>
    </cfRule>
    <cfRule type="expression" dxfId="0" priority="350" stopIfTrue="1">
      <formula>AND(IF(IFERROR(VLOOKUP($AO$3,requiredAttributePTDMap,MATCH($A9,attributeMapFeedProductType,0)+1,FALSE),0)&gt;0,0,1),IF(IFERROR(VLOOKUP($AO$3,optionalAttributePTDMap,MATCH($A9,attributeMapFeedProductType,0)+1,FALSE),0)&gt;0,0,1),IF(IFERROR(VLOOKUP($AO$3,preferredAttributePTDMap,MATCH($A9,attributeMapFeedProductType,0)+1,FALSE),0)&gt;0,0,1),IF(IFERROR(MATCH($A9,attributeMapFeedProductType,0),0)&gt;0,1,0))</formula>
    </cfRule>
  </conditionalFormatting>
  <conditionalFormatting sqref="AP9">
    <cfRule type="expression" dxfId="4" priority="351" stopIfTrue="1">
      <formula>IF(LEN(AP9)&gt;0,1,0)</formula>
    </cfRule>
    <cfRule type="expression" dxfId="3" priority="352" stopIfTrue="1">
      <formula>IF(VLOOKUP($AP$3,requiredAttributePTDMap,MATCH($A9,attributeMapFeedProductType,0)+1,FALSE)&gt;0,1,0)</formula>
    </cfRule>
    <cfRule type="expression" dxfId="2" priority="353" stopIfTrue="1">
      <formula>IF(VLOOKUP($AP$3,optionalAttributePTDMap,MATCH($A9,attributeMapFeedProductType,0)+1,FALSE)&gt;0,1,0)</formula>
    </cfRule>
    <cfRule type="expression" dxfId="1" priority="354" stopIfTrue="1">
      <formula>IF(VLOOKUP($AP$3,preferredAttributePTDMap,MATCH($A9,attributeMapFeedProductType,0)+1,FALSE)&gt;0,1,0)</formula>
    </cfRule>
    <cfRule type="expression" dxfId="0" priority="355" stopIfTrue="1">
      <formula>AND(IF(IFERROR(VLOOKUP($AP$3,requiredAttributePTDMap,MATCH($A9,attributeMapFeedProductType,0)+1,FALSE),0)&gt;0,0,1),IF(IFERROR(VLOOKUP($AP$3,optionalAttributePTDMap,MATCH($A9,attributeMapFeedProductType,0)+1,FALSE),0)&gt;0,0,1),IF(IFERROR(VLOOKUP($AP$3,preferredAttributePTDMap,MATCH($A9,attributeMapFeedProductType,0)+1,FALSE),0)&gt;0,0,1),IF(IFERROR(MATCH($A9,attributeMapFeedProductType,0),0)&gt;0,1,0))</formula>
    </cfRule>
  </conditionalFormatting>
  <conditionalFormatting sqref="AQ9">
    <cfRule type="expression" dxfId="4" priority="356" stopIfTrue="1">
      <formula>IF(LEN(AQ9)&gt;0,1,0)</formula>
    </cfRule>
    <cfRule type="expression" dxfId="3" priority="357" stopIfTrue="1">
      <formula>IF(VLOOKUP($AQ$3,requiredAttributePTDMap,MATCH($A9,attributeMapFeedProductType,0)+1,FALSE)&gt;0,1,0)</formula>
    </cfRule>
    <cfRule type="expression" dxfId="2" priority="358" stopIfTrue="1">
      <formula>IF(VLOOKUP($AQ$3,optionalAttributePTDMap,MATCH($A9,attributeMapFeedProductType,0)+1,FALSE)&gt;0,1,0)</formula>
    </cfRule>
    <cfRule type="expression" dxfId="1" priority="359" stopIfTrue="1">
      <formula>IF(VLOOKUP($AQ$3,preferredAttributePTDMap,MATCH($A9,attributeMapFeedProductType,0)+1,FALSE)&gt;0,1,0)</formula>
    </cfRule>
    <cfRule type="expression" dxfId="0" priority="360" stopIfTrue="1">
      <formula>AND(IF(IFERROR(VLOOKUP($AQ$3,requiredAttributePTDMap,MATCH($A9,attributeMapFeedProductType,0)+1,FALSE),0)&gt;0,0,1),IF(IFERROR(VLOOKUP($AQ$3,optionalAttributePTDMap,MATCH($A9,attributeMapFeedProductType,0)+1,FALSE),0)&gt;0,0,1),IF(IFERROR(VLOOKUP($AQ$3,preferredAttributePTDMap,MATCH($A9,attributeMapFeedProductType,0)+1,FALSE),0)&gt;0,0,1),IF(IFERROR(MATCH($A9,attributeMapFeedProductType,0),0)&gt;0,1,0))</formula>
    </cfRule>
  </conditionalFormatting>
  <conditionalFormatting sqref="AR9">
    <cfRule type="expression" dxfId="4" priority="361" stopIfTrue="1">
      <formula>IF(LEN(AR9)&gt;0,1,0)</formula>
    </cfRule>
    <cfRule type="expression" dxfId="3" priority="362" stopIfTrue="1">
      <formula>IF(VLOOKUP($AR$3,requiredAttributePTDMap,MATCH($A9,attributeMapFeedProductType,0)+1,FALSE)&gt;0,1,0)</formula>
    </cfRule>
    <cfRule type="expression" dxfId="2" priority="363" stopIfTrue="1">
      <formula>IF(VLOOKUP($AR$3,optionalAttributePTDMap,MATCH($A9,attributeMapFeedProductType,0)+1,FALSE)&gt;0,1,0)</formula>
    </cfRule>
    <cfRule type="expression" dxfId="1" priority="364" stopIfTrue="1">
      <formula>IF(VLOOKUP($AR$3,preferredAttributePTDMap,MATCH($A9,attributeMapFeedProductType,0)+1,FALSE)&gt;0,1,0)</formula>
    </cfRule>
    <cfRule type="expression" dxfId="0" priority="365" stopIfTrue="1">
      <formula>AND(IF(IFERROR(VLOOKUP($AR$3,requiredAttributePTDMap,MATCH($A9,attributeMapFeedProductType,0)+1,FALSE),0)&gt;0,0,1),IF(IFERROR(VLOOKUP($AR$3,optionalAttributePTDMap,MATCH($A9,attributeMapFeedProductType,0)+1,FALSE),0)&gt;0,0,1),IF(IFERROR(VLOOKUP($AR$3,preferredAttributePTDMap,MATCH($A9,attributeMapFeedProductType,0)+1,FALSE),0)&gt;0,0,1),IF(IFERROR(MATCH($A9,attributeMapFeedProductType,0),0)&gt;0,1,0))</formula>
    </cfRule>
  </conditionalFormatting>
  <conditionalFormatting sqref="AS9">
    <cfRule type="expression" dxfId="4" priority="366" stopIfTrue="1">
      <formula>IF(LEN(AS9)&gt;0,1,0)</formula>
    </cfRule>
    <cfRule type="expression" dxfId="3" priority="367" stopIfTrue="1">
      <formula>IF(VLOOKUP($AS$3,requiredAttributePTDMap,MATCH($A9,attributeMapFeedProductType,0)+1,FALSE)&gt;0,1,0)</formula>
    </cfRule>
    <cfRule type="expression" dxfId="2" priority="368" stopIfTrue="1">
      <formula>IF(VLOOKUP($AS$3,optionalAttributePTDMap,MATCH($A9,attributeMapFeedProductType,0)+1,FALSE)&gt;0,1,0)</formula>
    </cfRule>
    <cfRule type="expression" dxfId="1" priority="369" stopIfTrue="1">
      <formula>IF(VLOOKUP($AS$3,preferredAttributePTDMap,MATCH($A9,attributeMapFeedProductType,0)+1,FALSE)&gt;0,1,0)</formula>
    </cfRule>
    <cfRule type="expression" dxfId="0" priority="370" stopIfTrue="1">
      <formula>AND(IF(IFERROR(VLOOKUP($AS$3,requiredAttributePTDMap,MATCH($A9,attributeMapFeedProductType,0)+1,FALSE),0)&gt;0,0,1),IF(IFERROR(VLOOKUP($AS$3,optionalAttributePTDMap,MATCH($A9,attributeMapFeedProductType,0)+1,FALSE),0)&gt;0,0,1),IF(IFERROR(VLOOKUP($AS$3,preferredAttributePTDMap,MATCH($A9,attributeMapFeedProductType,0)+1,FALSE),0)&gt;0,0,1),IF(IFERROR(MATCH($A9,attributeMapFeedProductType,0),0)&gt;0,1,0))</formula>
    </cfRule>
  </conditionalFormatting>
  <conditionalFormatting sqref="AT9">
    <cfRule type="expression" dxfId="4" priority="371" stopIfTrue="1">
      <formula>IF(LEN(AT9)&gt;0,1,0)</formula>
    </cfRule>
    <cfRule type="expression" dxfId="3" priority="372" stopIfTrue="1">
      <formula>IF(VLOOKUP($AT$3,requiredAttributePTDMap,MATCH($A9,attributeMapFeedProductType,0)+1,FALSE)&gt;0,1,0)</formula>
    </cfRule>
    <cfRule type="expression" dxfId="2" priority="373" stopIfTrue="1">
      <formula>IF(VLOOKUP($AT$3,optionalAttributePTDMap,MATCH($A9,attributeMapFeedProductType,0)+1,FALSE)&gt;0,1,0)</formula>
    </cfRule>
    <cfRule type="expression" dxfId="1" priority="374" stopIfTrue="1">
      <formula>IF(VLOOKUP($AT$3,preferredAttributePTDMap,MATCH($A9,attributeMapFeedProductType,0)+1,FALSE)&gt;0,1,0)</formula>
    </cfRule>
    <cfRule type="expression" dxfId="0" priority="375" stopIfTrue="1">
      <formula>AND(IF(IFERROR(VLOOKUP($AT$3,requiredAttributePTDMap,MATCH($A9,attributeMapFeedProductType,0)+1,FALSE),0)&gt;0,0,1),IF(IFERROR(VLOOKUP($AT$3,optionalAttributePTDMap,MATCH($A9,attributeMapFeedProductType,0)+1,FALSE),0)&gt;0,0,1),IF(IFERROR(VLOOKUP($AT$3,preferredAttributePTDMap,MATCH($A9,attributeMapFeedProductType,0)+1,FALSE),0)&gt;0,0,1),IF(IFERROR(MATCH($A9,attributeMapFeedProductType,0),0)&gt;0,1,0))</formula>
    </cfRule>
  </conditionalFormatting>
  <conditionalFormatting sqref="AU9">
    <cfRule type="expression" dxfId="4" priority="376" stopIfTrue="1">
      <formula>IF(LEN(AU9)&gt;0,1,0)</formula>
    </cfRule>
    <cfRule type="expression" dxfId="3" priority="377" stopIfTrue="1">
      <formula>IF(VLOOKUP($AU$3,requiredAttributePTDMap,MATCH($A9,attributeMapFeedProductType,0)+1,FALSE)&gt;0,1,0)</formula>
    </cfRule>
    <cfRule type="expression" dxfId="2" priority="378" stopIfTrue="1">
      <formula>IF(VLOOKUP($AU$3,optionalAttributePTDMap,MATCH($A9,attributeMapFeedProductType,0)+1,FALSE)&gt;0,1,0)</formula>
    </cfRule>
    <cfRule type="expression" dxfId="1" priority="379" stopIfTrue="1">
      <formula>IF(VLOOKUP($AU$3,preferredAttributePTDMap,MATCH($A9,attributeMapFeedProductType,0)+1,FALSE)&gt;0,1,0)</formula>
    </cfRule>
    <cfRule type="expression" dxfId="0" priority="380" stopIfTrue="1">
      <formula>AND(IF(IFERROR(VLOOKUP($AU$3,requiredAttributePTDMap,MATCH($A9,attributeMapFeedProductType,0)+1,FALSE),0)&gt;0,0,1),IF(IFERROR(VLOOKUP($AU$3,optionalAttributePTDMap,MATCH($A9,attributeMapFeedProductType,0)+1,FALSE),0)&gt;0,0,1),IF(IFERROR(VLOOKUP($AU$3,preferredAttributePTDMap,MATCH($A9,attributeMapFeedProductType,0)+1,FALSE),0)&gt;0,0,1),IF(IFERROR(MATCH($A9,attributeMapFeedProductType,0),0)&gt;0,1,0))</formula>
    </cfRule>
  </conditionalFormatting>
  <conditionalFormatting sqref="AW9">
    <cfRule type="expression" dxfId="4" priority="381" stopIfTrue="1">
      <formula>IF(LEN(AW9)&gt;0,1,0)</formula>
    </cfRule>
    <cfRule type="expression" dxfId="3" priority="382" stopIfTrue="1">
      <formula>IF(VLOOKUP($AW$3,requiredAttributePTDMap,MATCH($A9,attributeMapFeedProductType,0)+1,FALSE)&gt;0,1,0)</formula>
    </cfRule>
    <cfRule type="expression" dxfId="2" priority="383" stopIfTrue="1">
      <formula>IF(VLOOKUP($AW$3,optionalAttributePTDMap,MATCH($A9,attributeMapFeedProductType,0)+1,FALSE)&gt;0,1,0)</formula>
    </cfRule>
    <cfRule type="expression" dxfId="1" priority="384" stopIfTrue="1">
      <formula>IF(VLOOKUP($AW$3,preferredAttributePTDMap,MATCH($A9,attributeMapFeedProductType,0)+1,FALSE)&gt;0,1,0)</formula>
    </cfRule>
    <cfRule type="expression" dxfId="0" priority="385" stopIfTrue="1">
      <formula>AND(IF(IFERROR(VLOOKUP($AW$3,requiredAttributePTDMap,MATCH($A9,attributeMapFeedProductType,0)+1,FALSE),0)&gt;0,0,1),IF(IFERROR(VLOOKUP($AW$3,optionalAttributePTDMap,MATCH($A9,attributeMapFeedProductType,0)+1,FALSE),0)&gt;0,0,1),IF(IFERROR(VLOOKUP($AW$3,preferredAttributePTDMap,MATCH($A9,attributeMapFeedProductType,0)+1,FALSE),0)&gt;0,0,1),IF(IFERROR(MATCH($A9,attributeMapFeedProductType,0),0)&gt;0,1,0))</formula>
    </cfRule>
  </conditionalFormatting>
  <conditionalFormatting sqref="AX9">
    <cfRule type="expression" dxfId="4" priority="386" stopIfTrue="1">
      <formula>IF(LEN(AX9)&gt;0,1,0)</formula>
    </cfRule>
    <cfRule type="expression" dxfId="3" priority="387" stopIfTrue="1">
      <formula>IF(VLOOKUP($AX$3,requiredAttributePTDMap,MATCH($A9,attributeMapFeedProductType,0)+1,FALSE)&gt;0,1,0)</formula>
    </cfRule>
    <cfRule type="expression" dxfId="2" priority="388" stopIfTrue="1">
      <formula>IF(VLOOKUP($AX$3,optionalAttributePTDMap,MATCH($A9,attributeMapFeedProductType,0)+1,FALSE)&gt;0,1,0)</formula>
    </cfRule>
    <cfRule type="expression" dxfId="1" priority="389" stopIfTrue="1">
      <formula>IF(VLOOKUP($AX$3,preferredAttributePTDMap,MATCH($A9,attributeMapFeedProductType,0)+1,FALSE)&gt;0,1,0)</formula>
    </cfRule>
    <cfRule type="expression" dxfId="0" priority="390" stopIfTrue="1">
      <formula>AND(IF(IFERROR(VLOOKUP($AX$3,requiredAttributePTDMap,MATCH($A9,attributeMapFeedProductType,0)+1,FALSE),0)&gt;0,0,1),IF(IFERROR(VLOOKUP($AX$3,optionalAttributePTDMap,MATCH($A9,attributeMapFeedProductType,0)+1,FALSE),0)&gt;0,0,1),IF(IFERROR(VLOOKUP($AX$3,preferredAttributePTDMap,MATCH($A9,attributeMapFeedProductType,0)+1,FALSE),0)&gt;0,0,1),IF(IFERROR(MATCH($A9,attributeMapFeedProductType,0),0)&gt;0,1,0))</formula>
    </cfRule>
  </conditionalFormatting>
  <conditionalFormatting sqref="AY9">
    <cfRule type="expression" dxfId="4" priority="391" stopIfTrue="1">
      <formula>IF(LEN(AY9)&gt;0,1,0)</formula>
    </cfRule>
    <cfRule type="expression" dxfId="3" priority="392" stopIfTrue="1">
      <formula>IF(VLOOKUP($AY$3,requiredAttributePTDMap,MATCH($A9,attributeMapFeedProductType,0)+1,FALSE)&gt;0,1,0)</formula>
    </cfRule>
    <cfRule type="expression" dxfId="2" priority="393" stopIfTrue="1">
      <formula>IF(VLOOKUP($AY$3,optionalAttributePTDMap,MATCH($A9,attributeMapFeedProductType,0)+1,FALSE)&gt;0,1,0)</formula>
    </cfRule>
    <cfRule type="expression" dxfId="1" priority="394" stopIfTrue="1">
      <formula>IF(VLOOKUP($AY$3,preferredAttributePTDMap,MATCH($A9,attributeMapFeedProductType,0)+1,FALSE)&gt;0,1,0)</formula>
    </cfRule>
    <cfRule type="expression" dxfId="0" priority="395" stopIfTrue="1">
      <formula>AND(IF(IFERROR(VLOOKUP($AY$3,requiredAttributePTDMap,MATCH($A9,attributeMapFeedProductType,0)+1,FALSE),0)&gt;0,0,1),IF(IFERROR(VLOOKUP($AY$3,optionalAttributePTDMap,MATCH($A9,attributeMapFeedProductType,0)+1,FALSE),0)&gt;0,0,1),IF(IFERROR(VLOOKUP($AY$3,preferredAttributePTDMap,MATCH($A9,attributeMapFeedProductType,0)+1,FALSE),0)&gt;0,0,1),IF(IFERROR(MATCH($A9,attributeMapFeedProductType,0),0)&gt;0,1,0))</formula>
    </cfRule>
  </conditionalFormatting>
  <conditionalFormatting sqref="BA9">
    <cfRule type="expression" dxfId="4" priority="175" stopIfTrue="1">
      <formula>IF(LEN(BA9)&gt;0,1,0)</formula>
    </cfRule>
    <cfRule type="expression" dxfId="3" priority="176" stopIfTrue="1">
      <formula>IF(VLOOKUP($H$3,requiredAttributePTDMap,MATCH($A9,attributeMapFeedProductType,0)+1,FALSE)&gt;0,1,0)</formula>
    </cfRule>
    <cfRule type="expression" dxfId="2" priority="177" stopIfTrue="1">
      <formula>IF(VLOOKUP($H$3,optionalAttributePTDMap,MATCH($A9,attributeMapFeedProductType,0)+1,FALSE)&gt;0,1,0)</formula>
    </cfRule>
    <cfRule type="expression" dxfId="1" priority="178" stopIfTrue="1">
      <formula>IF(VLOOKUP($H$3,preferredAttributePTDMap,MATCH($A9,attributeMapFeedProductType,0)+1,FALSE)&gt;0,1,0)</formula>
    </cfRule>
    <cfRule type="expression" dxfId="0" priority="179" stopIfTrue="1">
      <formula>AND(IF(IFERROR(VLOOKUP($H$3,requiredAttributePTDMap,MATCH($A9,attributeMapFeedProductType,0)+1,FALSE),0)&gt;0,0,1),IF(IFERROR(VLOOKUP($H$3,optionalAttributePTDMap,MATCH($A9,attributeMapFeedProductType,0)+1,FALSE),0)&gt;0,0,1),IF(IFERROR(VLOOKUP($H$3,preferredAttributePTDMap,MATCH($A9,attributeMapFeedProductType,0)+1,FALSE),0)&gt;0,0,1),IF(IFERROR(MATCH($A9,attributeMapFeedProductType,0),0)&gt;0,1,0))</formula>
    </cfRule>
  </conditionalFormatting>
  <conditionalFormatting sqref="BB9">
    <cfRule type="expression" dxfId="4" priority="165" stopIfTrue="1">
      <formula>IF(LEN(BB9)&gt;0,1,0)</formula>
    </cfRule>
    <cfRule type="expression" dxfId="3" priority="166" stopIfTrue="1">
      <formula>IF(VLOOKUP($J$3,requiredAttributePTDMap,MATCH($A9,attributeMapFeedProductType,0)+1,FALSE)&gt;0,1,0)</formula>
    </cfRule>
    <cfRule type="expression" dxfId="2" priority="167" stopIfTrue="1">
      <formula>IF(VLOOKUP($J$3,optionalAttributePTDMap,MATCH($A9,attributeMapFeedProductType,0)+1,FALSE)&gt;0,1,0)</formula>
    </cfRule>
    <cfRule type="expression" dxfId="1" priority="168" stopIfTrue="1">
      <formula>IF(VLOOKUP($J$3,preferredAttributePTDMap,MATCH($A9,attributeMapFeedProductType,0)+1,FALSE)&gt;0,1,0)</formula>
    </cfRule>
    <cfRule type="expression" dxfId="0" priority="169" stopIfTrue="1">
      <formula>AND(IF(IFERROR(VLOOKUP($J$3,requiredAttributePTDMap,MATCH($A9,attributeMapFeedProductType,0)+1,FALSE),0)&gt;0,0,1),IF(IFERROR(VLOOKUP($J$3,optionalAttributePTDMap,MATCH($A9,attributeMapFeedProductType,0)+1,FALSE),0)&gt;0,0,1),IF(IFERROR(VLOOKUP($J$3,preferredAttributePTDMap,MATCH($A9,attributeMapFeedProductType,0)+1,FALSE),0)&gt;0,0,1),IF(IFERROR(MATCH($A9,attributeMapFeedProductType,0),0)&gt;0,1,0))</formula>
    </cfRule>
  </conditionalFormatting>
  <conditionalFormatting sqref="BD9">
    <cfRule type="expression" dxfId="4" priority="396" stopIfTrue="1">
      <formula>IF(LEN(BD9)&gt;0,1,0)</formula>
    </cfRule>
    <cfRule type="expression" dxfId="3" priority="397" stopIfTrue="1">
      <formula>IF(VLOOKUP($BD$3,requiredAttributePTDMap,MATCH($A9,attributeMapFeedProductType,0)+1,FALSE)&gt;0,1,0)</formula>
    </cfRule>
    <cfRule type="expression" dxfId="2" priority="398" stopIfTrue="1">
      <formula>IF(VLOOKUP($BD$3,optionalAttributePTDMap,MATCH($A9,attributeMapFeedProductType,0)+1,FALSE)&gt;0,1,0)</formula>
    </cfRule>
    <cfRule type="expression" dxfId="1" priority="399" stopIfTrue="1">
      <formula>IF(VLOOKUP($BD$3,preferredAttributePTDMap,MATCH($A9,attributeMapFeedProductType,0)+1,FALSE)&gt;0,1,0)</formula>
    </cfRule>
    <cfRule type="expression" dxfId="0" priority="400" stopIfTrue="1">
      <formula>AND(IF(IFERROR(VLOOKUP($BD$3,requiredAttributePTDMap,MATCH($A9,attributeMapFeedProductType,0)+1,FALSE),0)&gt;0,0,1),IF(IFERROR(VLOOKUP($BD$3,optionalAttributePTDMap,MATCH($A9,attributeMapFeedProductType,0)+1,FALSE),0)&gt;0,0,1),IF(IFERROR(VLOOKUP($BD$3,preferredAttributePTDMap,MATCH($A9,attributeMapFeedProductType,0)+1,FALSE),0)&gt;0,0,1),IF(IFERROR(MATCH($A9,attributeMapFeedProductType,0),0)&gt;0,1,0))</formula>
    </cfRule>
  </conditionalFormatting>
  <conditionalFormatting sqref="BE9">
    <cfRule type="expression" dxfId="4" priority="401" stopIfTrue="1">
      <formula>IF(LEN(BE9)&gt;0,1,0)</formula>
    </cfRule>
    <cfRule type="expression" dxfId="3" priority="402" stopIfTrue="1">
      <formula>IF(VLOOKUP($BE$3,requiredAttributePTDMap,MATCH($A9,attributeMapFeedProductType,0)+1,FALSE)&gt;0,1,0)</formula>
    </cfRule>
    <cfRule type="expression" dxfId="2" priority="403" stopIfTrue="1">
      <formula>IF(VLOOKUP($BE$3,optionalAttributePTDMap,MATCH($A9,attributeMapFeedProductType,0)+1,FALSE)&gt;0,1,0)</formula>
    </cfRule>
    <cfRule type="expression" dxfId="1" priority="404" stopIfTrue="1">
      <formula>IF(VLOOKUP($BE$3,preferredAttributePTDMap,MATCH($A9,attributeMapFeedProductType,0)+1,FALSE)&gt;0,1,0)</formula>
    </cfRule>
    <cfRule type="expression" dxfId="0" priority="405" stopIfTrue="1">
      <formula>AND(IF(IFERROR(VLOOKUP($BE$3,requiredAttributePTDMap,MATCH($A9,attributeMapFeedProductType,0)+1,FALSE),0)&gt;0,0,1),IF(IFERROR(VLOOKUP($BE$3,optionalAttributePTDMap,MATCH($A9,attributeMapFeedProductType,0)+1,FALSE),0)&gt;0,0,1),IF(IFERROR(VLOOKUP($BE$3,preferredAttributePTDMap,MATCH($A9,attributeMapFeedProductType,0)+1,FALSE),0)&gt;0,0,1),IF(IFERROR(MATCH($A9,attributeMapFeedProductType,0),0)&gt;0,1,0))</formula>
    </cfRule>
  </conditionalFormatting>
  <conditionalFormatting sqref="BH9">
    <cfRule type="expression" dxfId="3" priority="129" stopIfTrue="1">
      <formula>IF(VLOOKUP($BO$3,requiredAttributePTDMap,MATCH($A9,attributeMapFeedProductType,0)+1,FALSE)&gt;0,1,0)</formula>
    </cfRule>
    <cfRule type="expression" dxfId="2" priority="130" stopIfTrue="1">
      <formula>IF(VLOOKUP($BO$3,optionalAttributePTDMap,MATCH($A9,attributeMapFeedProductType,0)+1,FALSE)&gt;0,1,0)</formula>
    </cfRule>
    <cfRule type="expression" dxfId="1" priority="131" stopIfTrue="1">
      <formula>IF(VLOOKUP($BO$3,preferredAttributePTDMap,MATCH($A9,attributeMapFeedProductType,0)+1,FALSE)&gt;0,1,0)</formula>
    </cfRule>
    <cfRule type="expression" dxfId="0" priority="132" stopIfTrue="1">
      <formula>AND(IF(IFERROR(VLOOKUP($BO$3,requiredAttributePTDMap,MATCH($A9,attributeMapFeedProductType,0)+1,FALSE),0)&gt;0,0,1),IF(IFERROR(VLOOKUP($BO$3,optionalAttributePTDMap,MATCH($A9,attributeMapFeedProductType,0)+1,FALSE),0)&gt;0,0,1),IF(IFERROR(VLOOKUP($BO$3,preferredAttributePTDMap,MATCH($A9,attributeMapFeedProductType,0)+1,FALSE),0)&gt;0,0,1),IF(IFERROR(MATCH($A9,attributeMapFeedProductType,0),0)&gt;0,1,0))</formula>
    </cfRule>
    <cfRule type="expression" dxfId="4" priority="120" stopIfTrue="1">
      <formula>IF(LEN(BH9)&gt;0,1,0)</formula>
    </cfRule>
  </conditionalFormatting>
  <conditionalFormatting sqref="BL9">
    <cfRule type="expression" dxfId="4" priority="406" stopIfTrue="1">
      <formula>IF(LEN(BL9)&gt;0,1,0)</formula>
    </cfRule>
    <cfRule type="expression" dxfId="3" priority="407" stopIfTrue="1">
      <formula>IF(VLOOKUP($BL$3,requiredAttributePTDMap,MATCH($A9,attributeMapFeedProductType,0)+1,FALSE)&gt;0,1,0)</formula>
    </cfRule>
    <cfRule type="expression" dxfId="2" priority="408" stopIfTrue="1">
      <formula>IF(VLOOKUP($BL$3,optionalAttributePTDMap,MATCH($A9,attributeMapFeedProductType,0)+1,FALSE)&gt;0,1,0)</formula>
    </cfRule>
    <cfRule type="expression" dxfId="1" priority="409" stopIfTrue="1">
      <formula>IF(VLOOKUP($BL$3,preferredAttributePTDMap,MATCH($A9,attributeMapFeedProductType,0)+1,FALSE)&gt;0,1,0)</formula>
    </cfRule>
    <cfRule type="expression" dxfId="0" priority="410" stopIfTrue="1">
      <formula>AND(IF(IFERROR(VLOOKUP($BL$3,requiredAttributePTDMap,MATCH($A9,attributeMapFeedProductType,0)+1,FALSE),0)&gt;0,0,1),IF(IFERROR(VLOOKUP($BL$3,optionalAttributePTDMap,MATCH($A9,attributeMapFeedProductType,0)+1,FALSE),0)&gt;0,0,1),IF(IFERROR(VLOOKUP($BL$3,preferredAttributePTDMap,MATCH($A9,attributeMapFeedProductType,0)+1,FALSE),0)&gt;0,0,1),IF(IFERROR(MATCH($A9,attributeMapFeedProductType,0),0)&gt;0,1,0))</formula>
    </cfRule>
  </conditionalFormatting>
  <conditionalFormatting sqref="BN9">
    <cfRule type="expression" dxfId="4" priority="416" stopIfTrue="1">
      <formula>IF(LEN(BN9)&gt;0,1,0)</formula>
    </cfRule>
    <cfRule type="expression" dxfId="3" priority="417" stopIfTrue="1">
      <formula>IF(VLOOKUP($BN$3,requiredAttributePTDMap,MATCH($A9,attributeMapFeedProductType,0)+1,FALSE)&gt;0,1,0)</formula>
    </cfRule>
    <cfRule type="expression" dxfId="2" priority="418" stopIfTrue="1">
      <formula>IF(VLOOKUP($BN$3,optionalAttributePTDMap,MATCH($A9,attributeMapFeedProductType,0)+1,FALSE)&gt;0,1,0)</formula>
    </cfRule>
    <cfRule type="expression" dxfId="1" priority="419" stopIfTrue="1">
      <formula>IF(VLOOKUP($BN$3,preferredAttributePTDMap,MATCH($A9,attributeMapFeedProductType,0)+1,FALSE)&gt;0,1,0)</formula>
    </cfRule>
    <cfRule type="expression" dxfId="0" priority="420" stopIfTrue="1">
      <formula>AND(IF(IFERROR(VLOOKUP($BN$3,requiredAttributePTDMap,MATCH($A9,attributeMapFeedProductType,0)+1,FALSE),0)&gt;0,0,1),IF(IFERROR(VLOOKUP($BN$3,optionalAttributePTDMap,MATCH($A9,attributeMapFeedProductType,0)+1,FALSE),0)&gt;0,0,1),IF(IFERROR(VLOOKUP($BN$3,preferredAttributePTDMap,MATCH($A9,attributeMapFeedProductType,0)+1,FALSE),0)&gt;0,0,1),IF(IFERROR(MATCH($A9,attributeMapFeedProductType,0),0)&gt;0,1,0))</formula>
    </cfRule>
  </conditionalFormatting>
  <conditionalFormatting sqref="BP9">
    <cfRule type="expression" dxfId="4" priority="426" stopIfTrue="1">
      <formula>IF(LEN(BP9)&gt;0,1,0)</formula>
    </cfRule>
    <cfRule type="expression" dxfId="3" priority="427" stopIfTrue="1">
      <formula>IF(VLOOKUP($BP$3,requiredAttributePTDMap,MATCH($A9,attributeMapFeedProductType,0)+1,FALSE)&gt;0,1,0)</formula>
    </cfRule>
    <cfRule type="expression" dxfId="2" priority="428" stopIfTrue="1">
      <formula>IF(VLOOKUP($BP$3,optionalAttributePTDMap,MATCH($A9,attributeMapFeedProductType,0)+1,FALSE)&gt;0,1,0)</formula>
    </cfRule>
    <cfRule type="expression" dxfId="1" priority="429" stopIfTrue="1">
      <formula>IF(VLOOKUP($BP$3,preferredAttributePTDMap,MATCH($A9,attributeMapFeedProductType,0)+1,FALSE)&gt;0,1,0)</formula>
    </cfRule>
    <cfRule type="expression" dxfId="0" priority="430" stopIfTrue="1">
      <formula>AND(IF(IFERROR(VLOOKUP($BP$3,requiredAttributePTDMap,MATCH($A9,attributeMapFeedProductType,0)+1,FALSE),0)&gt;0,0,1),IF(IFERROR(VLOOKUP($BP$3,optionalAttributePTDMap,MATCH($A9,attributeMapFeedProductType,0)+1,FALSE),0)&gt;0,0,1),IF(IFERROR(VLOOKUP($BP$3,preferredAttributePTDMap,MATCH($A9,attributeMapFeedProductType,0)+1,FALSE),0)&gt;0,0,1),IF(IFERROR(MATCH($A9,attributeMapFeedProductType,0),0)&gt;0,1,0))</formula>
    </cfRule>
  </conditionalFormatting>
  <conditionalFormatting sqref="BQ9">
    <cfRule type="expression" dxfId="4" priority="431" stopIfTrue="1">
      <formula>IF(LEN(BQ9)&gt;0,1,0)</formula>
    </cfRule>
    <cfRule type="expression" dxfId="3" priority="432" stopIfTrue="1">
      <formula>IF(VLOOKUP($BQ$3,requiredAttributePTDMap,MATCH($A9,attributeMapFeedProductType,0)+1,FALSE)&gt;0,1,0)</formula>
    </cfRule>
    <cfRule type="expression" dxfId="2" priority="433" stopIfTrue="1">
      <formula>IF(VLOOKUP($BQ$3,optionalAttributePTDMap,MATCH($A9,attributeMapFeedProductType,0)+1,FALSE)&gt;0,1,0)</formula>
    </cfRule>
    <cfRule type="expression" dxfId="1" priority="434" stopIfTrue="1">
      <formula>IF(VLOOKUP($BQ$3,preferredAttributePTDMap,MATCH($A9,attributeMapFeedProductType,0)+1,FALSE)&gt;0,1,0)</formula>
    </cfRule>
    <cfRule type="expression" dxfId="0" priority="435" stopIfTrue="1">
      <formula>AND(IF(IFERROR(VLOOKUP($BQ$3,requiredAttributePTDMap,MATCH($A9,attributeMapFeedProductType,0)+1,FALSE),0)&gt;0,0,1),IF(IFERROR(VLOOKUP($BQ$3,optionalAttributePTDMap,MATCH($A9,attributeMapFeedProductType,0)+1,FALSE),0)&gt;0,0,1),IF(IFERROR(VLOOKUP($BQ$3,preferredAttributePTDMap,MATCH($A9,attributeMapFeedProductType,0)+1,FALSE),0)&gt;0,0,1),IF(IFERROR(MATCH($A9,attributeMapFeedProductType,0),0)&gt;0,1,0))</formula>
    </cfRule>
  </conditionalFormatting>
  <conditionalFormatting sqref="BR9">
    <cfRule type="expression" dxfId="4" priority="436" stopIfTrue="1">
      <formula>IF(LEN(BR9)&gt;0,1,0)</formula>
    </cfRule>
    <cfRule type="expression" dxfId="3" priority="437" stopIfTrue="1">
      <formula>IF(VLOOKUP($BR$3,requiredAttributePTDMap,MATCH($A9,attributeMapFeedProductType,0)+1,FALSE)&gt;0,1,0)</formula>
    </cfRule>
    <cfRule type="expression" dxfId="2" priority="438" stopIfTrue="1">
      <formula>IF(VLOOKUP($BR$3,optionalAttributePTDMap,MATCH($A9,attributeMapFeedProductType,0)+1,FALSE)&gt;0,1,0)</formula>
    </cfRule>
    <cfRule type="expression" dxfId="1" priority="439" stopIfTrue="1">
      <formula>IF(VLOOKUP($BR$3,preferredAttributePTDMap,MATCH($A9,attributeMapFeedProductType,0)+1,FALSE)&gt;0,1,0)</formula>
    </cfRule>
    <cfRule type="expression" dxfId="0" priority="440" stopIfTrue="1">
      <formula>AND(IF(IFERROR(VLOOKUP($BR$3,requiredAttributePTDMap,MATCH($A9,attributeMapFeedProductType,0)+1,FALSE),0)&gt;0,0,1),IF(IFERROR(VLOOKUP($BR$3,optionalAttributePTDMap,MATCH($A9,attributeMapFeedProductType,0)+1,FALSE),0)&gt;0,0,1),IF(IFERROR(VLOOKUP($BR$3,preferredAttributePTDMap,MATCH($A9,attributeMapFeedProductType,0)+1,FALSE),0)&gt;0,0,1),IF(IFERROR(MATCH($A9,attributeMapFeedProductType,0),0)&gt;0,1,0))</formula>
    </cfRule>
  </conditionalFormatting>
  <conditionalFormatting sqref="BS9">
    <cfRule type="expression" dxfId="4" priority="441" stopIfTrue="1">
      <formula>IF(LEN(BS9)&gt;0,1,0)</formula>
    </cfRule>
    <cfRule type="expression" dxfId="3" priority="442" stopIfTrue="1">
      <formula>IF(VLOOKUP($BS$3,requiredAttributePTDMap,MATCH($A9,attributeMapFeedProductType,0)+1,FALSE)&gt;0,1,0)</formula>
    </cfRule>
    <cfRule type="expression" dxfId="2" priority="443" stopIfTrue="1">
      <formula>IF(VLOOKUP($BS$3,optionalAttributePTDMap,MATCH($A9,attributeMapFeedProductType,0)+1,FALSE)&gt;0,1,0)</formula>
    </cfRule>
    <cfRule type="expression" dxfId="1" priority="444" stopIfTrue="1">
      <formula>IF(VLOOKUP($BS$3,preferredAttributePTDMap,MATCH($A9,attributeMapFeedProductType,0)+1,FALSE)&gt;0,1,0)</formula>
    </cfRule>
    <cfRule type="expression" dxfId="0" priority="445" stopIfTrue="1">
      <formula>AND(IF(IFERROR(VLOOKUP($BS$3,requiredAttributePTDMap,MATCH($A9,attributeMapFeedProductType,0)+1,FALSE),0)&gt;0,0,1),IF(IFERROR(VLOOKUP($BS$3,optionalAttributePTDMap,MATCH($A9,attributeMapFeedProductType,0)+1,FALSE),0)&gt;0,0,1),IF(IFERROR(VLOOKUP($BS$3,preferredAttributePTDMap,MATCH($A9,attributeMapFeedProductType,0)+1,FALSE),0)&gt;0,0,1),IF(IFERROR(MATCH($A9,attributeMapFeedProductType,0),0)&gt;0,1,0))</formula>
    </cfRule>
  </conditionalFormatting>
  <conditionalFormatting sqref="BT9">
    <cfRule type="expression" dxfId="4" priority="446" stopIfTrue="1">
      <formula>IF(LEN(BT9)&gt;0,1,0)</formula>
    </cfRule>
    <cfRule type="expression" dxfId="3" priority="447" stopIfTrue="1">
      <formula>IF(VLOOKUP($BT$3,requiredAttributePTDMap,MATCH($A9,attributeMapFeedProductType,0)+1,FALSE)&gt;0,1,0)</formula>
    </cfRule>
    <cfRule type="expression" dxfId="2" priority="448" stopIfTrue="1">
      <formula>IF(VLOOKUP($BT$3,optionalAttributePTDMap,MATCH($A9,attributeMapFeedProductType,0)+1,FALSE)&gt;0,1,0)</formula>
    </cfRule>
    <cfRule type="expression" dxfId="1" priority="449" stopIfTrue="1">
      <formula>IF(VLOOKUP($BT$3,preferredAttributePTDMap,MATCH($A9,attributeMapFeedProductType,0)+1,FALSE)&gt;0,1,0)</formula>
    </cfRule>
    <cfRule type="expression" dxfId="0" priority="450" stopIfTrue="1">
      <formula>AND(IF(IFERROR(VLOOKUP($BT$3,requiredAttributePTDMap,MATCH($A9,attributeMapFeedProductType,0)+1,FALSE),0)&gt;0,0,1),IF(IFERROR(VLOOKUP($BT$3,optionalAttributePTDMap,MATCH($A9,attributeMapFeedProductType,0)+1,FALSE),0)&gt;0,0,1),IF(IFERROR(VLOOKUP($BT$3,preferredAttributePTDMap,MATCH($A9,attributeMapFeedProductType,0)+1,FALSE),0)&gt;0,0,1),IF(IFERROR(MATCH($A9,attributeMapFeedProductType,0),0)&gt;0,1,0))</formula>
    </cfRule>
  </conditionalFormatting>
  <conditionalFormatting sqref="BU9">
    <cfRule type="expression" dxfId="4" priority="451" stopIfTrue="1">
      <formula>IF(LEN(BU9)&gt;0,1,0)</formula>
    </cfRule>
    <cfRule type="expression" dxfId="3" priority="452" stopIfTrue="1">
      <formula>IF(VLOOKUP($BU$3,requiredAttributePTDMap,MATCH($A9,attributeMapFeedProductType,0)+1,FALSE)&gt;0,1,0)</formula>
    </cfRule>
    <cfRule type="expression" dxfId="2" priority="453" stopIfTrue="1">
      <formula>IF(VLOOKUP($BU$3,optionalAttributePTDMap,MATCH($A9,attributeMapFeedProductType,0)+1,FALSE)&gt;0,1,0)</formula>
    </cfRule>
    <cfRule type="expression" dxfId="1" priority="454" stopIfTrue="1">
      <formula>IF(VLOOKUP($BU$3,preferredAttributePTDMap,MATCH($A9,attributeMapFeedProductType,0)+1,FALSE)&gt;0,1,0)</formula>
    </cfRule>
    <cfRule type="expression" dxfId="0" priority="455" stopIfTrue="1">
      <formula>AND(IF(IFERROR(VLOOKUP($BU$3,requiredAttributePTDMap,MATCH($A9,attributeMapFeedProductType,0)+1,FALSE),0)&gt;0,0,1),IF(IFERROR(VLOOKUP($BU$3,optionalAttributePTDMap,MATCH($A9,attributeMapFeedProductType,0)+1,FALSE),0)&gt;0,0,1),IF(IFERROR(VLOOKUP($BU$3,preferredAttributePTDMap,MATCH($A9,attributeMapFeedProductType,0)+1,FALSE),0)&gt;0,0,1),IF(IFERROR(MATCH($A9,attributeMapFeedProductType,0),0)&gt;0,1,0))</formula>
    </cfRule>
  </conditionalFormatting>
  <conditionalFormatting sqref="BV9">
    <cfRule type="expression" dxfId="4" priority="456" stopIfTrue="1">
      <formula>IF(LEN(BV9)&gt;0,1,0)</formula>
    </cfRule>
    <cfRule type="expression" dxfId="3" priority="457" stopIfTrue="1">
      <formula>IF(VLOOKUP($BV$3,requiredAttributePTDMap,MATCH($A9,attributeMapFeedProductType,0)+1,FALSE)&gt;0,1,0)</formula>
    </cfRule>
    <cfRule type="expression" dxfId="2" priority="458" stopIfTrue="1">
      <formula>IF(VLOOKUP($BV$3,optionalAttributePTDMap,MATCH($A9,attributeMapFeedProductType,0)+1,FALSE)&gt;0,1,0)</formula>
    </cfRule>
    <cfRule type="expression" dxfId="1" priority="459" stopIfTrue="1">
      <formula>IF(VLOOKUP($BV$3,preferredAttributePTDMap,MATCH($A9,attributeMapFeedProductType,0)+1,FALSE)&gt;0,1,0)</formula>
    </cfRule>
    <cfRule type="expression" dxfId="0" priority="460" stopIfTrue="1">
      <formula>AND(IF(IFERROR(VLOOKUP($BV$3,requiredAttributePTDMap,MATCH($A9,attributeMapFeedProductType,0)+1,FALSE),0)&gt;0,0,1),IF(IFERROR(VLOOKUP($BV$3,optionalAttributePTDMap,MATCH($A9,attributeMapFeedProductType,0)+1,FALSE),0)&gt;0,0,1),IF(IFERROR(VLOOKUP($BV$3,preferredAttributePTDMap,MATCH($A9,attributeMapFeedProductType,0)+1,FALSE),0)&gt;0,0,1),IF(IFERROR(MATCH($A9,attributeMapFeedProductType,0),0)&gt;0,1,0))</formula>
    </cfRule>
  </conditionalFormatting>
  <conditionalFormatting sqref="BW9">
    <cfRule type="expression" dxfId="4" priority="461" stopIfTrue="1">
      <formula>IF(LEN(BW9)&gt;0,1,0)</formula>
    </cfRule>
    <cfRule type="expression" dxfId="3" priority="462" stopIfTrue="1">
      <formula>IF(VLOOKUP($BW$3,requiredAttributePTDMap,MATCH($A9,attributeMapFeedProductType,0)+1,FALSE)&gt;0,1,0)</formula>
    </cfRule>
    <cfRule type="expression" dxfId="2" priority="463" stopIfTrue="1">
      <formula>IF(VLOOKUP($BW$3,optionalAttributePTDMap,MATCH($A9,attributeMapFeedProductType,0)+1,FALSE)&gt;0,1,0)</formula>
    </cfRule>
    <cfRule type="expression" dxfId="1" priority="464" stopIfTrue="1">
      <formula>IF(VLOOKUP($BW$3,preferredAttributePTDMap,MATCH($A9,attributeMapFeedProductType,0)+1,FALSE)&gt;0,1,0)</formula>
    </cfRule>
    <cfRule type="expression" dxfId="0" priority="465" stopIfTrue="1">
      <formula>AND(IF(IFERROR(VLOOKUP($BW$3,requiredAttributePTDMap,MATCH($A9,attributeMapFeedProductType,0)+1,FALSE),0)&gt;0,0,1),IF(IFERROR(VLOOKUP($BW$3,optionalAttributePTDMap,MATCH($A9,attributeMapFeedProductType,0)+1,FALSE),0)&gt;0,0,1),IF(IFERROR(VLOOKUP($BW$3,preferredAttributePTDMap,MATCH($A9,attributeMapFeedProductType,0)+1,FALSE),0)&gt;0,0,1),IF(IFERROR(MATCH($A9,attributeMapFeedProductType,0),0)&gt;0,1,0))</formula>
    </cfRule>
  </conditionalFormatting>
  <conditionalFormatting sqref="BX9">
    <cfRule type="expression" dxfId="4" priority="466" stopIfTrue="1">
      <formula>IF(LEN(BX9)&gt;0,1,0)</formula>
    </cfRule>
    <cfRule type="expression" dxfId="3" priority="467" stopIfTrue="1">
      <formula>IF(VLOOKUP($BX$3,requiredAttributePTDMap,MATCH($A9,attributeMapFeedProductType,0)+1,FALSE)&gt;0,1,0)</formula>
    </cfRule>
    <cfRule type="expression" dxfId="2" priority="468" stopIfTrue="1">
      <formula>IF(VLOOKUP($BX$3,optionalAttributePTDMap,MATCH($A9,attributeMapFeedProductType,0)+1,FALSE)&gt;0,1,0)</formula>
    </cfRule>
    <cfRule type="expression" dxfId="1" priority="469" stopIfTrue="1">
      <formula>IF(VLOOKUP($BX$3,preferredAttributePTDMap,MATCH($A9,attributeMapFeedProductType,0)+1,FALSE)&gt;0,1,0)</formula>
    </cfRule>
    <cfRule type="expression" dxfId="0" priority="470" stopIfTrue="1">
      <formula>AND(IF(IFERROR(VLOOKUP($BX$3,requiredAttributePTDMap,MATCH($A9,attributeMapFeedProductType,0)+1,FALSE),0)&gt;0,0,1),IF(IFERROR(VLOOKUP($BX$3,optionalAttributePTDMap,MATCH($A9,attributeMapFeedProductType,0)+1,FALSE),0)&gt;0,0,1),IF(IFERROR(VLOOKUP($BX$3,preferredAttributePTDMap,MATCH($A9,attributeMapFeedProductType,0)+1,FALSE),0)&gt;0,0,1),IF(IFERROR(MATCH($A9,attributeMapFeedProductType,0),0)&gt;0,1,0))</formula>
    </cfRule>
  </conditionalFormatting>
  <conditionalFormatting sqref="BY9">
    <cfRule type="expression" dxfId="4" priority="471" stopIfTrue="1">
      <formula>IF(LEN(BY9)&gt;0,1,0)</formula>
    </cfRule>
    <cfRule type="expression" dxfId="3" priority="472" stopIfTrue="1">
      <formula>IF(VLOOKUP($BY$3,requiredAttributePTDMap,MATCH($A9,attributeMapFeedProductType,0)+1,FALSE)&gt;0,1,0)</formula>
    </cfRule>
    <cfRule type="expression" dxfId="2" priority="473" stopIfTrue="1">
      <formula>IF(VLOOKUP($BY$3,optionalAttributePTDMap,MATCH($A9,attributeMapFeedProductType,0)+1,FALSE)&gt;0,1,0)</formula>
    </cfRule>
    <cfRule type="expression" dxfId="1" priority="474" stopIfTrue="1">
      <formula>IF(VLOOKUP($BY$3,preferredAttributePTDMap,MATCH($A9,attributeMapFeedProductType,0)+1,FALSE)&gt;0,1,0)</formula>
    </cfRule>
    <cfRule type="expression" dxfId="0" priority="475" stopIfTrue="1">
      <formula>AND(IF(IFERROR(VLOOKUP($BY$3,requiredAttributePTDMap,MATCH($A9,attributeMapFeedProductType,0)+1,FALSE),0)&gt;0,0,1),IF(IFERROR(VLOOKUP($BY$3,optionalAttributePTDMap,MATCH($A9,attributeMapFeedProductType,0)+1,FALSE),0)&gt;0,0,1),IF(IFERROR(VLOOKUP($BY$3,preferredAttributePTDMap,MATCH($A9,attributeMapFeedProductType,0)+1,FALSE),0)&gt;0,0,1),IF(IFERROR(MATCH($A9,attributeMapFeedProductType,0),0)&gt;0,1,0))</formula>
    </cfRule>
  </conditionalFormatting>
  <conditionalFormatting sqref="BZ9">
    <cfRule type="expression" dxfId="4" priority="476" stopIfTrue="1">
      <formula>IF(LEN(BZ9)&gt;0,1,0)</formula>
    </cfRule>
    <cfRule type="expression" dxfId="3" priority="477" stopIfTrue="1">
      <formula>IF(VLOOKUP($BZ$3,requiredAttributePTDMap,MATCH($A9,attributeMapFeedProductType,0)+1,FALSE)&gt;0,1,0)</formula>
    </cfRule>
    <cfRule type="expression" dxfId="2" priority="478" stopIfTrue="1">
      <formula>IF(VLOOKUP($BZ$3,optionalAttributePTDMap,MATCH($A9,attributeMapFeedProductType,0)+1,FALSE)&gt;0,1,0)</formula>
    </cfRule>
    <cfRule type="expression" dxfId="1" priority="479" stopIfTrue="1">
      <formula>IF(VLOOKUP($BZ$3,preferredAttributePTDMap,MATCH($A9,attributeMapFeedProductType,0)+1,FALSE)&gt;0,1,0)</formula>
    </cfRule>
    <cfRule type="expression" dxfId="0" priority="480" stopIfTrue="1">
      <formula>AND(IF(IFERROR(VLOOKUP($BZ$3,requiredAttributePTDMap,MATCH($A9,attributeMapFeedProductType,0)+1,FALSE),0)&gt;0,0,1),IF(IFERROR(VLOOKUP($BZ$3,optionalAttributePTDMap,MATCH($A9,attributeMapFeedProductType,0)+1,FALSE),0)&gt;0,0,1),IF(IFERROR(VLOOKUP($BZ$3,preferredAttributePTDMap,MATCH($A9,attributeMapFeedProductType,0)+1,FALSE),0)&gt;0,0,1),IF(IFERROR(MATCH($A9,attributeMapFeedProductType,0),0)&gt;0,1,0))</formula>
    </cfRule>
  </conditionalFormatting>
  <conditionalFormatting sqref="CA9">
    <cfRule type="expression" dxfId="4" priority="481" stopIfTrue="1">
      <formula>IF(LEN(CA9)&gt;0,1,0)</formula>
    </cfRule>
    <cfRule type="expression" dxfId="3" priority="482" stopIfTrue="1">
      <formula>IF(VLOOKUP($CA$3,requiredAttributePTDMap,MATCH($A9,attributeMapFeedProductType,0)+1,FALSE)&gt;0,1,0)</formula>
    </cfRule>
    <cfRule type="expression" dxfId="2" priority="483" stopIfTrue="1">
      <formula>IF(VLOOKUP($CA$3,optionalAttributePTDMap,MATCH($A9,attributeMapFeedProductType,0)+1,FALSE)&gt;0,1,0)</formula>
    </cfRule>
    <cfRule type="expression" dxfId="1" priority="484" stopIfTrue="1">
      <formula>IF(VLOOKUP($CA$3,preferredAttributePTDMap,MATCH($A9,attributeMapFeedProductType,0)+1,FALSE)&gt;0,1,0)</formula>
    </cfRule>
    <cfRule type="expression" dxfId="0" priority="485" stopIfTrue="1">
      <formula>AND(IF(IFERROR(VLOOKUP($CA$3,requiredAttributePTDMap,MATCH($A9,attributeMapFeedProductType,0)+1,FALSE),0)&gt;0,0,1),IF(IFERROR(VLOOKUP($CA$3,optionalAttributePTDMap,MATCH($A9,attributeMapFeedProductType,0)+1,FALSE),0)&gt;0,0,1),IF(IFERROR(VLOOKUP($CA$3,preferredAttributePTDMap,MATCH($A9,attributeMapFeedProductType,0)+1,FALSE),0)&gt;0,0,1),IF(IFERROR(MATCH($A9,attributeMapFeedProductType,0),0)&gt;0,1,0))</formula>
    </cfRule>
  </conditionalFormatting>
  <conditionalFormatting sqref="CC9">
    <cfRule type="expression" dxfId="4" priority="491" stopIfTrue="1">
      <formula>IF(LEN(CC9)&gt;0,1,0)</formula>
    </cfRule>
    <cfRule type="expression" dxfId="3" priority="492" stopIfTrue="1">
      <formula>IF(VLOOKUP($CC$3,requiredAttributePTDMap,MATCH($A9,attributeMapFeedProductType,0)+1,FALSE)&gt;0,1,0)</formula>
    </cfRule>
    <cfRule type="expression" dxfId="2" priority="493" stopIfTrue="1">
      <formula>IF(VLOOKUP($CC$3,optionalAttributePTDMap,MATCH($A9,attributeMapFeedProductType,0)+1,FALSE)&gt;0,1,0)</formula>
    </cfRule>
    <cfRule type="expression" dxfId="1" priority="494" stopIfTrue="1">
      <formula>IF(VLOOKUP($CC$3,preferredAttributePTDMap,MATCH($A9,attributeMapFeedProductType,0)+1,FALSE)&gt;0,1,0)</formula>
    </cfRule>
    <cfRule type="expression" dxfId="0" priority="495" stopIfTrue="1">
      <formula>AND(IF(IFERROR(VLOOKUP($CC$3,requiredAttributePTDMap,MATCH($A9,attributeMapFeedProductType,0)+1,FALSE),0)&gt;0,0,1),IF(IFERROR(VLOOKUP($CC$3,optionalAttributePTDMap,MATCH($A9,attributeMapFeedProductType,0)+1,FALSE),0)&gt;0,0,1),IF(IFERROR(VLOOKUP($CC$3,preferredAttributePTDMap,MATCH($A9,attributeMapFeedProductType,0)+1,FALSE),0)&gt;0,0,1),IF(IFERROR(MATCH($A9,attributeMapFeedProductType,0),0)&gt;0,1,0))</formula>
    </cfRule>
  </conditionalFormatting>
  <conditionalFormatting sqref="CD9">
    <cfRule type="expression" dxfId="4" priority="496" stopIfTrue="1">
      <formula>IF(LEN(CD9)&gt;0,1,0)</formula>
    </cfRule>
    <cfRule type="expression" dxfId="3" priority="497" stopIfTrue="1">
      <formula>IF(VLOOKUP($CD$3,requiredAttributePTDMap,MATCH($A9,attributeMapFeedProductType,0)+1,FALSE)&gt;0,1,0)</formula>
    </cfRule>
    <cfRule type="expression" dxfId="2" priority="498" stopIfTrue="1">
      <formula>IF(VLOOKUP($CD$3,optionalAttributePTDMap,MATCH($A9,attributeMapFeedProductType,0)+1,FALSE)&gt;0,1,0)</formula>
    </cfRule>
    <cfRule type="expression" dxfId="1" priority="499" stopIfTrue="1">
      <formula>IF(VLOOKUP($CD$3,preferredAttributePTDMap,MATCH($A9,attributeMapFeedProductType,0)+1,FALSE)&gt;0,1,0)</formula>
    </cfRule>
    <cfRule type="expression" dxfId="0" priority="500" stopIfTrue="1">
      <formula>AND(IF(IFERROR(VLOOKUP($CD$3,requiredAttributePTDMap,MATCH($A9,attributeMapFeedProductType,0)+1,FALSE),0)&gt;0,0,1),IF(IFERROR(VLOOKUP($CD$3,optionalAttributePTDMap,MATCH($A9,attributeMapFeedProductType,0)+1,FALSE),0)&gt;0,0,1),IF(IFERROR(VLOOKUP($CD$3,preferredAttributePTDMap,MATCH($A9,attributeMapFeedProductType,0)+1,FALSE),0)&gt;0,0,1),IF(IFERROR(MATCH($A9,attributeMapFeedProductType,0),0)&gt;0,1,0))</formula>
    </cfRule>
  </conditionalFormatting>
  <conditionalFormatting sqref="CE9">
    <cfRule type="expression" dxfId="4" priority="501" stopIfTrue="1">
      <formula>IF(LEN(CE9)&gt;0,1,0)</formula>
    </cfRule>
    <cfRule type="expression" dxfId="3" priority="502" stopIfTrue="1">
      <formula>IF(VLOOKUP($CE$3,requiredAttributePTDMap,MATCH($A9,attributeMapFeedProductType,0)+1,FALSE)&gt;0,1,0)</formula>
    </cfRule>
    <cfRule type="expression" dxfId="2" priority="503" stopIfTrue="1">
      <formula>IF(VLOOKUP($CE$3,optionalAttributePTDMap,MATCH($A9,attributeMapFeedProductType,0)+1,FALSE)&gt;0,1,0)</formula>
    </cfRule>
    <cfRule type="expression" dxfId="1" priority="504" stopIfTrue="1">
      <formula>IF(VLOOKUP($CE$3,preferredAttributePTDMap,MATCH($A9,attributeMapFeedProductType,0)+1,FALSE)&gt;0,1,0)</formula>
    </cfRule>
    <cfRule type="expression" dxfId="0" priority="505" stopIfTrue="1">
      <formula>AND(IF(IFERROR(VLOOKUP($CE$3,requiredAttributePTDMap,MATCH($A9,attributeMapFeedProductType,0)+1,FALSE),0)&gt;0,0,1),IF(IFERROR(VLOOKUP($CE$3,optionalAttributePTDMap,MATCH($A9,attributeMapFeedProductType,0)+1,FALSE),0)&gt;0,0,1),IF(IFERROR(VLOOKUP($CE$3,preferredAttributePTDMap,MATCH($A9,attributeMapFeedProductType,0)+1,FALSE),0)&gt;0,0,1),IF(IFERROR(MATCH($A9,attributeMapFeedProductType,0),0)&gt;0,1,0))</formula>
    </cfRule>
  </conditionalFormatting>
  <conditionalFormatting sqref="CF9">
    <cfRule type="expression" dxfId="4" priority="506" stopIfTrue="1">
      <formula>IF(LEN(CF9)&gt;0,1,0)</formula>
    </cfRule>
    <cfRule type="expression" dxfId="3" priority="507" stopIfTrue="1">
      <formula>IF(VLOOKUP($CF$3,requiredAttributePTDMap,MATCH($A9,attributeMapFeedProductType,0)+1,FALSE)&gt;0,1,0)</formula>
    </cfRule>
    <cfRule type="expression" dxfId="2" priority="508" stopIfTrue="1">
      <formula>IF(VLOOKUP($CF$3,optionalAttributePTDMap,MATCH($A9,attributeMapFeedProductType,0)+1,FALSE)&gt;0,1,0)</formula>
    </cfRule>
    <cfRule type="expression" dxfId="1" priority="509" stopIfTrue="1">
      <formula>IF(VLOOKUP($CF$3,preferredAttributePTDMap,MATCH($A9,attributeMapFeedProductType,0)+1,FALSE)&gt;0,1,0)</formula>
    </cfRule>
    <cfRule type="expression" dxfId="0" priority="510" stopIfTrue="1">
      <formula>AND(IF(IFERROR(VLOOKUP($CF$3,requiredAttributePTDMap,MATCH($A9,attributeMapFeedProductType,0)+1,FALSE),0)&gt;0,0,1),IF(IFERROR(VLOOKUP($CF$3,optionalAttributePTDMap,MATCH($A9,attributeMapFeedProductType,0)+1,FALSE),0)&gt;0,0,1),IF(IFERROR(VLOOKUP($CF$3,preferredAttributePTDMap,MATCH($A9,attributeMapFeedProductType,0)+1,FALSE),0)&gt;0,0,1),IF(IFERROR(MATCH($A9,attributeMapFeedProductType,0),0)&gt;0,1,0))</formula>
    </cfRule>
  </conditionalFormatting>
  <conditionalFormatting sqref="CH9">
    <cfRule type="expression" dxfId="4" priority="516" stopIfTrue="1">
      <formula>IF(LEN(CH9)&gt;0,1,0)</formula>
    </cfRule>
    <cfRule type="expression" dxfId="3" priority="517" stopIfTrue="1">
      <formula>IF(VLOOKUP($CH$3,requiredAttributePTDMap,MATCH($A9,attributeMapFeedProductType,0)+1,FALSE)&gt;0,1,0)</formula>
    </cfRule>
    <cfRule type="expression" dxfId="2" priority="518" stopIfTrue="1">
      <formula>IF(VLOOKUP($CH$3,optionalAttributePTDMap,MATCH($A9,attributeMapFeedProductType,0)+1,FALSE)&gt;0,1,0)</formula>
    </cfRule>
    <cfRule type="expression" dxfId="1" priority="519" stopIfTrue="1">
      <formula>IF(VLOOKUP($CH$3,preferredAttributePTDMap,MATCH($A9,attributeMapFeedProductType,0)+1,FALSE)&gt;0,1,0)</formula>
    </cfRule>
    <cfRule type="expression" dxfId="0" priority="520" stopIfTrue="1">
      <formula>AND(IF(IFERROR(VLOOKUP($CH$3,requiredAttributePTDMap,MATCH($A9,attributeMapFeedProductType,0)+1,FALSE),0)&gt;0,0,1),IF(IFERROR(VLOOKUP($CH$3,optionalAttributePTDMap,MATCH($A9,attributeMapFeedProductType,0)+1,FALSE),0)&gt;0,0,1),IF(IFERROR(VLOOKUP($CH$3,preferredAttributePTDMap,MATCH($A9,attributeMapFeedProductType,0)+1,FALSE),0)&gt;0,0,1),IF(IFERROR(MATCH($A9,attributeMapFeedProductType,0),0)&gt;0,1,0))</formula>
    </cfRule>
  </conditionalFormatting>
  <conditionalFormatting sqref="CI9">
    <cfRule type="expression" dxfId="4" priority="521" stopIfTrue="1">
      <formula>IF(LEN(CI9)&gt;0,1,0)</formula>
    </cfRule>
    <cfRule type="expression" dxfId="3" priority="522" stopIfTrue="1">
      <formula>IF(VLOOKUP($CI$3,requiredAttributePTDMap,MATCH($A9,attributeMapFeedProductType,0)+1,FALSE)&gt;0,1,0)</formula>
    </cfRule>
    <cfRule type="expression" dxfId="2" priority="523" stopIfTrue="1">
      <formula>IF(VLOOKUP($CI$3,optionalAttributePTDMap,MATCH($A9,attributeMapFeedProductType,0)+1,FALSE)&gt;0,1,0)</formula>
    </cfRule>
    <cfRule type="expression" dxfId="1" priority="524" stopIfTrue="1">
      <formula>IF(VLOOKUP($CI$3,preferredAttributePTDMap,MATCH($A9,attributeMapFeedProductType,0)+1,FALSE)&gt;0,1,0)</formula>
    </cfRule>
    <cfRule type="expression" dxfId="0" priority="525" stopIfTrue="1">
      <formula>AND(IF(IFERROR(VLOOKUP($CI$3,requiredAttributePTDMap,MATCH($A9,attributeMapFeedProductType,0)+1,FALSE),0)&gt;0,0,1),IF(IFERROR(VLOOKUP($CI$3,optionalAttributePTDMap,MATCH($A9,attributeMapFeedProductType,0)+1,FALSE),0)&gt;0,0,1),IF(IFERROR(VLOOKUP($CI$3,preferredAttributePTDMap,MATCH($A9,attributeMapFeedProductType,0)+1,FALSE),0)&gt;0,0,1),IF(IFERROR(MATCH($A9,attributeMapFeedProductType,0),0)&gt;0,1,0))</formula>
    </cfRule>
  </conditionalFormatting>
  <conditionalFormatting sqref="CJ9">
    <cfRule type="expression" dxfId="4" priority="526" stopIfTrue="1">
      <formula>IF(LEN(CJ9)&gt;0,1,0)</formula>
    </cfRule>
    <cfRule type="expression" dxfId="3" priority="527" stopIfTrue="1">
      <formula>IF(VLOOKUP($CJ$3,requiredAttributePTDMap,MATCH($A9,attributeMapFeedProductType,0)+1,FALSE)&gt;0,1,0)</formula>
    </cfRule>
    <cfRule type="expression" dxfId="2" priority="528" stopIfTrue="1">
      <formula>IF(VLOOKUP($CJ$3,optionalAttributePTDMap,MATCH($A9,attributeMapFeedProductType,0)+1,FALSE)&gt;0,1,0)</formula>
    </cfRule>
    <cfRule type="expression" dxfId="1" priority="529" stopIfTrue="1">
      <formula>IF(VLOOKUP($CJ$3,preferredAttributePTDMap,MATCH($A9,attributeMapFeedProductType,0)+1,FALSE)&gt;0,1,0)</formula>
    </cfRule>
    <cfRule type="expression" dxfId="0" priority="530" stopIfTrue="1">
      <formula>AND(IF(IFERROR(VLOOKUP($CJ$3,requiredAttributePTDMap,MATCH($A9,attributeMapFeedProductType,0)+1,FALSE),0)&gt;0,0,1),IF(IFERROR(VLOOKUP($CJ$3,optionalAttributePTDMap,MATCH($A9,attributeMapFeedProductType,0)+1,FALSE),0)&gt;0,0,1),IF(IFERROR(VLOOKUP($CJ$3,preferredAttributePTDMap,MATCH($A9,attributeMapFeedProductType,0)+1,FALSE),0)&gt;0,0,1),IF(IFERROR(MATCH($A9,attributeMapFeedProductType,0),0)&gt;0,1,0))</formula>
    </cfRule>
  </conditionalFormatting>
  <conditionalFormatting sqref="CK9">
    <cfRule type="expression" dxfId="4" priority="531" stopIfTrue="1">
      <formula>IF(LEN(CK9)&gt;0,1,0)</formula>
    </cfRule>
    <cfRule type="expression" dxfId="3" priority="532" stopIfTrue="1">
      <formula>IF(VLOOKUP($CK$3,requiredAttributePTDMap,MATCH($A9,attributeMapFeedProductType,0)+1,FALSE)&gt;0,1,0)</formula>
    </cfRule>
    <cfRule type="expression" dxfId="2" priority="533" stopIfTrue="1">
      <formula>IF(VLOOKUP($CK$3,optionalAttributePTDMap,MATCH($A9,attributeMapFeedProductType,0)+1,FALSE)&gt;0,1,0)</formula>
    </cfRule>
    <cfRule type="expression" dxfId="1" priority="534" stopIfTrue="1">
      <formula>IF(VLOOKUP($CK$3,preferredAttributePTDMap,MATCH($A9,attributeMapFeedProductType,0)+1,FALSE)&gt;0,1,0)</formula>
    </cfRule>
    <cfRule type="expression" dxfId="0" priority="535" stopIfTrue="1">
      <formula>AND(IF(IFERROR(VLOOKUP($CK$3,requiredAttributePTDMap,MATCH($A9,attributeMapFeedProductType,0)+1,FALSE),0)&gt;0,0,1),IF(IFERROR(VLOOKUP($CK$3,optionalAttributePTDMap,MATCH($A9,attributeMapFeedProductType,0)+1,FALSE),0)&gt;0,0,1),IF(IFERROR(VLOOKUP($CK$3,preferredAttributePTDMap,MATCH($A9,attributeMapFeedProductType,0)+1,FALSE),0)&gt;0,0,1),IF(IFERROR(MATCH($A9,attributeMapFeedProductType,0),0)&gt;0,1,0))</formula>
    </cfRule>
  </conditionalFormatting>
  <conditionalFormatting sqref="CL9">
    <cfRule type="expression" dxfId="4" priority="536" stopIfTrue="1">
      <formula>IF(LEN(CL9)&gt;0,1,0)</formula>
    </cfRule>
    <cfRule type="expression" dxfId="3" priority="537" stopIfTrue="1">
      <formula>IF(VLOOKUP($CL$3,requiredAttributePTDMap,MATCH($A9,attributeMapFeedProductType,0)+1,FALSE)&gt;0,1,0)</formula>
    </cfRule>
    <cfRule type="expression" dxfId="2" priority="538" stopIfTrue="1">
      <formula>IF(VLOOKUP($CL$3,optionalAttributePTDMap,MATCH($A9,attributeMapFeedProductType,0)+1,FALSE)&gt;0,1,0)</formula>
    </cfRule>
    <cfRule type="expression" dxfId="1" priority="539" stopIfTrue="1">
      <formula>IF(VLOOKUP($CL$3,preferredAttributePTDMap,MATCH($A9,attributeMapFeedProductType,0)+1,FALSE)&gt;0,1,0)</formula>
    </cfRule>
    <cfRule type="expression" dxfId="0" priority="540" stopIfTrue="1">
      <formula>AND(IF(IFERROR(VLOOKUP($CL$3,requiredAttributePTDMap,MATCH($A9,attributeMapFeedProductType,0)+1,FALSE),0)&gt;0,0,1),IF(IFERROR(VLOOKUP($CL$3,optionalAttributePTDMap,MATCH($A9,attributeMapFeedProductType,0)+1,FALSE),0)&gt;0,0,1),IF(IFERROR(VLOOKUP($CL$3,preferredAttributePTDMap,MATCH($A9,attributeMapFeedProductType,0)+1,FALSE),0)&gt;0,0,1),IF(IFERROR(MATCH($A9,attributeMapFeedProductType,0),0)&gt;0,1,0))</formula>
    </cfRule>
  </conditionalFormatting>
  <conditionalFormatting sqref="CM9">
    <cfRule type="expression" dxfId="4" priority="160" stopIfTrue="1">
      <formula>IF(LEN(CM9)&gt;0,1,0)</formula>
    </cfRule>
    <cfRule type="expression" dxfId="3" priority="161" stopIfTrue="1">
      <formula>IF(VLOOKUP($J$3,requiredAttributePTDMap,MATCH($A9,attributeMapFeedProductType,0)+1,FALSE)&gt;0,1,0)</formula>
    </cfRule>
    <cfRule type="expression" dxfId="2" priority="162" stopIfTrue="1">
      <formula>IF(VLOOKUP($J$3,optionalAttributePTDMap,MATCH($A9,attributeMapFeedProductType,0)+1,FALSE)&gt;0,1,0)</formula>
    </cfRule>
    <cfRule type="expression" dxfId="1" priority="163" stopIfTrue="1">
      <formula>IF(VLOOKUP($J$3,preferredAttributePTDMap,MATCH($A9,attributeMapFeedProductType,0)+1,FALSE)&gt;0,1,0)</formula>
    </cfRule>
    <cfRule type="expression" dxfId="0" priority="164" stopIfTrue="1">
      <formula>AND(IF(IFERROR(VLOOKUP($J$3,requiredAttributePTDMap,MATCH($A9,attributeMapFeedProductType,0)+1,FALSE),0)&gt;0,0,1),IF(IFERROR(VLOOKUP($J$3,optionalAttributePTDMap,MATCH($A9,attributeMapFeedProductType,0)+1,FALSE),0)&gt;0,0,1),IF(IFERROR(VLOOKUP($J$3,preferredAttributePTDMap,MATCH($A9,attributeMapFeedProductType,0)+1,FALSE),0)&gt;0,0,1),IF(IFERROR(MATCH($A9,attributeMapFeedProductType,0),0)&gt;0,1,0))</formula>
    </cfRule>
  </conditionalFormatting>
  <conditionalFormatting sqref="CO9">
    <cfRule type="expression" dxfId="4" priority="546" stopIfTrue="1">
      <formula>IF(LEN(CO9)&gt;0,1,0)</formula>
    </cfRule>
    <cfRule type="expression" dxfId="3" priority="547" stopIfTrue="1">
      <formula>IF(VLOOKUP($CO$3,requiredAttributePTDMap,MATCH($A9,attributeMapFeedProductType,0)+1,FALSE)&gt;0,1,0)</formula>
    </cfRule>
    <cfRule type="expression" dxfId="2" priority="548" stopIfTrue="1">
      <formula>IF(VLOOKUP($CO$3,optionalAttributePTDMap,MATCH($A9,attributeMapFeedProductType,0)+1,FALSE)&gt;0,1,0)</formula>
    </cfRule>
    <cfRule type="expression" dxfId="1" priority="549" stopIfTrue="1">
      <formula>IF(VLOOKUP($CO$3,preferredAttributePTDMap,MATCH($A9,attributeMapFeedProductType,0)+1,FALSE)&gt;0,1,0)</formula>
    </cfRule>
    <cfRule type="expression" dxfId="0" priority="550" stopIfTrue="1">
      <formula>AND(IF(IFERROR(VLOOKUP($CO$3,requiredAttributePTDMap,MATCH($A9,attributeMapFeedProductType,0)+1,FALSE),0)&gt;0,0,1),IF(IFERROR(VLOOKUP($CO$3,optionalAttributePTDMap,MATCH($A9,attributeMapFeedProductType,0)+1,FALSE),0)&gt;0,0,1),IF(IFERROR(VLOOKUP($CO$3,preferredAttributePTDMap,MATCH($A9,attributeMapFeedProductType,0)+1,FALSE),0)&gt;0,0,1),IF(IFERROR(MATCH($A9,attributeMapFeedProductType,0),0)&gt;0,1,0))</formula>
    </cfRule>
  </conditionalFormatting>
  <conditionalFormatting sqref="CP9">
    <cfRule type="expression" dxfId="0" priority="185" stopIfTrue="1">
      <formula>IF($AU9&lt;&gt;"Parent",0,1)</formula>
    </cfRule>
    <cfRule type="expression" dxfId="4" priority="551" stopIfTrue="1">
      <formula>IF(LEN(CP9)&gt;0,1,0)</formula>
    </cfRule>
    <cfRule type="expression" dxfId="3" priority="552" stopIfTrue="1">
      <formula>IF(VLOOKUP($CP$3,requiredAttributePTDMap,MATCH($A9,attributeMapFeedProductType,0)+1,FALSE)&gt;0,1,0)</formula>
    </cfRule>
    <cfRule type="expression" dxfId="2" priority="553" stopIfTrue="1">
      <formula>IF(VLOOKUP($CP$3,optionalAttributePTDMap,MATCH($A9,attributeMapFeedProductType,0)+1,FALSE)&gt;0,1,0)</formula>
    </cfRule>
    <cfRule type="expression" dxfId="1" priority="554" stopIfTrue="1">
      <formula>IF(VLOOKUP($CP$3,preferredAttributePTDMap,MATCH($A9,attributeMapFeedProductType,0)+1,FALSE)&gt;0,1,0)</formula>
    </cfRule>
    <cfRule type="expression" dxfId="0" priority="555" stopIfTrue="1">
      <formula>AND(IF(IFERROR(VLOOKUP($CP$3,requiredAttributePTDMap,MATCH($A9,attributeMapFeedProductType,0)+1,FALSE),0)&gt;0,0,1),IF(IFERROR(VLOOKUP($CP$3,optionalAttributePTDMap,MATCH($A9,attributeMapFeedProductType,0)+1,FALSE),0)&gt;0,0,1),IF(IFERROR(VLOOKUP($CP$3,preferredAttributePTDMap,MATCH($A9,attributeMapFeedProductType,0)+1,FALSE),0)&gt;0,0,1),IF(IFERROR(MATCH($A9,attributeMapFeedProductType,0),0)&gt;0,1,0))</formula>
    </cfRule>
  </conditionalFormatting>
  <conditionalFormatting sqref="CQ9">
    <cfRule type="expression" dxfId="4" priority="100" stopIfTrue="1">
      <formula>IF(LEN(CQ9)&gt;0,1,0)</formula>
    </cfRule>
    <cfRule type="expression" dxfId="3" priority="101" stopIfTrue="1">
      <formula>IF(VLOOKUP($CO$3,requiredAttributePTDMap,MATCH($A9,attributeMapFeedProductType,0)+1,FALSE)&gt;0,1,0)</formula>
    </cfRule>
    <cfRule type="expression" dxfId="2" priority="102" stopIfTrue="1">
      <formula>IF(VLOOKUP($CO$3,optionalAttributePTDMap,MATCH($A9,attributeMapFeedProductType,0)+1,FALSE)&gt;0,1,0)</formula>
    </cfRule>
    <cfRule type="expression" dxfId="1" priority="103" stopIfTrue="1">
      <formula>IF(VLOOKUP($CO$3,preferredAttributePTDMap,MATCH($A9,attributeMapFeedProductType,0)+1,FALSE)&gt;0,1,0)</formula>
    </cfRule>
    <cfRule type="expression" dxfId="0" priority="104" stopIfTrue="1">
      <formula>AND(IF(IFERROR(VLOOKUP($CO$3,requiredAttributePTDMap,MATCH($A9,attributeMapFeedProductType,0)+1,FALSE),0)&gt;0,0,1),IF(IFERROR(VLOOKUP($CO$3,optionalAttributePTDMap,MATCH($A9,attributeMapFeedProductType,0)+1,FALSE),0)&gt;0,0,1),IF(IFERROR(VLOOKUP($CO$3,preferredAttributePTDMap,MATCH($A9,attributeMapFeedProductType,0)+1,FALSE),0)&gt;0,0,1),IF(IFERROR(MATCH($A9,attributeMapFeedProductType,0),0)&gt;0,1,0))</formula>
    </cfRule>
  </conditionalFormatting>
  <conditionalFormatting sqref="CR9">
    <cfRule type="expression" dxfId="4" priority="95" stopIfTrue="1">
      <formula>IF(LEN(CR9)&gt;0,1,0)</formula>
    </cfRule>
    <cfRule type="expression" dxfId="3" priority="96" stopIfTrue="1">
      <formula>IF(VLOOKUP($CP$3,requiredAttributePTDMap,MATCH($A9,attributeMapFeedProductType,0)+1,FALSE)&gt;0,1,0)</formula>
    </cfRule>
    <cfRule type="expression" dxfId="2" priority="97" stopIfTrue="1">
      <formula>IF(VLOOKUP($CP$3,optionalAttributePTDMap,MATCH($A9,attributeMapFeedProductType,0)+1,FALSE)&gt;0,1,0)</formula>
    </cfRule>
    <cfRule type="expression" dxfId="1" priority="98" stopIfTrue="1">
      <formula>IF(VLOOKUP($CP$3,preferredAttributePTDMap,MATCH($A9,attributeMapFeedProductType,0)+1,FALSE)&gt;0,1,0)</formula>
    </cfRule>
    <cfRule type="expression" dxfId="0" priority="99" stopIfTrue="1">
      <formula>AND(IF(IFERROR(VLOOKUP($CP$3,requiredAttributePTDMap,MATCH($A9,attributeMapFeedProductType,0)+1,FALSE),0)&gt;0,0,1),IF(IFERROR(VLOOKUP($CP$3,optionalAttributePTDMap,MATCH($A9,attributeMapFeedProductType,0)+1,FALSE),0)&gt;0,0,1),IF(IFERROR(VLOOKUP($CP$3,preferredAttributePTDMap,MATCH($A9,attributeMapFeedProductType,0)+1,FALSE),0)&gt;0,0,1),IF(IFERROR(MATCH($A9,attributeMapFeedProductType,0),0)&gt;0,1,0))</formula>
    </cfRule>
  </conditionalFormatting>
  <conditionalFormatting sqref="CS9">
    <cfRule type="expression" dxfId="4" priority="90" stopIfTrue="1">
      <formula>IF(LEN(CS9)&gt;0,1,0)</formula>
    </cfRule>
    <cfRule type="expression" dxfId="3" priority="91" stopIfTrue="1">
      <formula>IF(VLOOKUP($CQ$3,requiredAttributePTDMap,MATCH($A9,attributeMapFeedProductType,0)+1,FALSE)&gt;0,1,0)</formula>
    </cfRule>
    <cfRule type="expression" dxfId="2" priority="92" stopIfTrue="1">
      <formula>IF(VLOOKUP($CQ$3,optionalAttributePTDMap,MATCH($A9,attributeMapFeedProductType,0)+1,FALSE)&gt;0,1,0)</formula>
    </cfRule>
    <cfRule type="expression" dxfId="1" priority="93" stopIfTrue="1">
      <formula>IF(VLOOKUP($CQ$3,preferredAttributePTDMap,MATCH($A9,attributeMapFeedProductType,0)+1,FALSE)&gt;0,1,0)</formula>
    </cfRule>
    <cfRule type="expression" dxfId="0" priority="94" stopIfTrue="1">
      <formula>AND(IF(IFERROR(VLOOKUP($CQ$3,requiredAttributePTDMap,MATCH($A9,attributeMapFeedProductType,0)+1,FALSE),0)&gt;0,0,1),IF(IFERROR(VLOOKUP($CQ$3,optionalAttributePTDMap,MATCH($A9,attributeMapFeedProductType,0)+1,FALSE),0)&gt;0,0,1),IF(IFERROR(VLOOKUP($CQ$3,preferredAttributePTDMap,MATCH($A9,attributeMapFeedProductType,0)+1,FALSE),0)&gt;0,0,1),IF(IFERROR(MATCH($A9,attributeMapFeedProductType,0),0)&gt;0,1,0))</formula>
    </cfRule>
  </conditionalFormatting>
  <conditionalFormatting sqref="CT9">
    <cfRule type="expression" dxfId="4" priority="556" stopIfTrue="1">
      <formula>IF(LEN(CT9)&gt;0,1,0)</formula>
    </cfRule>
    <cfRule type="expression" dxfId="3" priority="557" stopIfTrue="1">
      <formula>IF(VLOOKUP($CT$3,requiredAttributePTDMap,MATCH($A9,attributeMapFeedProductType,0)+1,FALSE)&gt;0,1,0)</formula>
    </cfRule>
    <cfRule type="expression" dxfId="2" priority="558" stopIfTrue="1">
      <formula>IF(VLOOKUP($CT$3,optionalAttributePTDMap,MATCH($A9,attributeMapFeedProductType,0)+1,FALSE)&gt;0,1,0)</formula>
    </cfRule>
    <cfRule type="expression" dxfId="1" priority="559" stopIfTrue="1">
      <formula>IF(VLOOKUP($CT$3,preferredAttributePTDMap,MATCH($A9,attributeMapFeedProductType,0)+1,FALSE)&gt;0,1,0)</formula>
    </cfRule>
    <cfRule type="expression" dxfId="0" priority="560" stopIfTrue="1">
      <formula>AND(IF(IFERROR(VLOOKUP($CT$3,requiredAttributePTDMap,MATCH($A9,attributeMapFeedProductType,0)+1,FALSE),0)&gt;0,0,1),IF(IFERROR(VLOOKUP($CT$3,optionalAttributePTDMap,MATCH($A9,attributeMapFeedProductType,0)+1,FALSE),0)&gt;0,0,1),IF(IFERROR(VLOOKUP($CT$3,preferredAttributePTDMap,MATCH($A9,attributeMapFeedProductType,0)+1,FALSE),0)&gt;0,0,1),IF(IFERROR(MATCH($A9,attributeMapFeedProductType,0),0)&gt;0,1,0))</formula>
    </cfRule>
  </conditionalFormatting>
  <conditionalFormatting sqref="CU9">
    <cfRule type="expression" dxfId="4" priority="85" stopIfTrue="1">
      <formula>IF(LEN(CU9)&gt;0,1,0)</formula>
    </cfRule>
    <cfRule type="expression" dxfId="3" priority="86" stopIfTrue="1">
      <formula>IF(VLOOKUP($CS$3,requiredAttributePTDMap,MATCH($A9,attributeMapFeedProductType,0)+1,FALSE)&gt;0,1,0)</formula>
    </cfRule>
    <cfRule type="expression" dxfId="2" priority="87" stopIfTrue="1">
      <formula>IF(VLOOKUP($CS$3,optionalAttributePTDMap,MATCH($A9,attributeMapFeedProductType,0)+1,FALSE)&gt;0,1,0)</formula>
    </cfRule>
    <cfRule type="expression" dxfId="1" priority="88" stopIfTrue="1">
      <formula>IF(VLOOKUP($CS$3,preferredAttributePTDMap,MATCH($A9,attributeMapFeedProductType,0)+1,FALSE)&gt;0,1,0)</formula>
    </cfRule>
    <cfRule type="expression" dxfId="0" priority="89" stopIfTrue="1">
      <formula>AND(IF(IFERROR(VLOOKUP($CS$3,requiredAttributePTDMap,MATCH($A9,attributeMapFeedProductType,0)+1,FALSE),0)&gt;0,0,1),IF(IFERROR(VLOOKUP($CS$3,optionalAttributePTDMap,MATCH($A9,attributeMapFeedProductType,0)+1,FALSE),0)&gt;0,0,1),IF(IFERROR(VLOOKUP($CS$3,preferredAttributePTDMap,MATCH($A9,attributeMapFeedProductType,0)+1,FALSE),0)&gt;0,0,1),IF(IFERROR(MATCH($A9,attributeMapFeedProductType,0),0)&gt;0,1,0))</formula>
    </cfRule>
  </conditionalFormatting>
  <conditionalFormatting sqref="CV9">
    <cfRule type="expression" dxfId="4" priority="561" stopIfTrue="1">
      <formula>IF(LEN(CV9)&gt;0,1,0)</formula>
    </cfRule>
    <cfRule type="expression" dxfId="3" priority="562" stopIfTrue="1">
      <formula>IF(VLOOKUP($CV$3,requiredAttributePTDMap,MATCH($A9,attributeMapFeedProductType,0)+1,FALSE)&gt;0,1,0)</formula>
    </cfRule>
    <cfRule type="expression" dxfId="2" priority="563" stopIfTrue="1">
      <formula>IF(VLOOKUP($CV$3,optionalAttributePTDMap,MATCH($A9,attributeMapFeedProductType,0)+1,FALSE)&gt;0,1,0)</formula>
    </cfRule>
    <cfRule type="expression" dxfId="1" priority="564" stopIfTrue="1">
      <formula>IF(VLOOKUP($CV$3,preferredAttributePTDMap,MATCH($A9,attributeMapFeedProductType,0)+1,FALSE)&gt;0,1,0)</formula>
    </cfRule>
    <cfRule type="expression" dxfId="0" priority="565" stopIfTrue="1">
      <formula>AND(IF(IFERROR(VLOOKUP($CV$3,requiredAttributePTDMap,MATCH($A9,attributeMapFeedProductType,0)+1,FALSE),0)&gt;0,0,1),IF(IFERROR(VLOOKUP($CV$3,optionalAttributePTDMap,MATCH($A9,attributeMapFeedProductType,0)+1,FALSE),0)&gt;0,0,1),IF(IFERROR(VLOOKUP($CV$3,preferredAttributePTDMap,MATCH($A9,attributeMapFeedProductType,0)+1,FALSE),0)&gt;0,0,1),IF(IFERROR(MATCH($A9,attributeMapFeedProductType,0),0)&gt;0,1,0))</formula>
    </cfRule>
  </conditionalFormatting>
  <conditionalFormatting sqref="CW9">
    <cfRule type="expression" dxfId="4" priority="566" stopIfTrue="1">
      <formula>IF(LEN(CW9)&gt;0,1,0)</formula>
    </cfRule>
    <cfRule type="expression" dxfId="3" priority="567" stopIfTrue="1">
      <formula>IF(VLOOKUP($CW$3,requiredAttributePTDMap,MATCH($A9,attributeMapFeedProductType,0)+1,FALSE)&gt;0,1,0)</formula>
    </cfRule>
    <cfRule type="expression" dxfId="2" priority="568" stopIfTrue="1">
      <formula>IF(VLOOKUP($CW$3,optionalAttributePTDMap,MATCH($A9,attributeMapFeedProductType,0)+1,FALSE)&gt;0,1,0)</formula>
    </cfRule>
    <cfRule type="expression" dxfId="1" priority="569" stopIfTrue="1">
      <formula>IF(VLOOKUP($CW$3,preferredAttributePTDMap,MATCH($A9,attributeMapFeedProductType,0)+1,FALSE)&gt;0,1,0)</formula>
    </cfRule>
    <cfRule type="expression" dxfId="0" priority="570" stopIfTrue="1">
      <formula>AND(IF(IFERROR(VLOOKUP($CW$3,requiredAttributePTDMap,MATCH($A9,attributeMapFeedProductType,0)+1,FALSE),0)&gt;0,0,1),IF(IFERROR(VLOOKUP($CW$3,optionalAttributePTDMap,MATCH($A9,attributeMapFeedProductType,0)+1,FALSE),0)&gt;0,0,1),IF(IFERROR(VLOOKUP($CW$3,preferredAttributePTDMap,MATCH($A9,attributeMapFeedProductType,0)+1,FALSE),0)&gt;0,0,1),IF(IFERROR(MATCH($A9,attributeMapFeedProductType,0),0)&gt;0,1,0))</formula>
    </cfRule>
  </conditionalFormatting>
  <conditionalFormatting sqref="CX9">
    <cfRule type="expression" dxfId="4" priority="571" stopIfTrue="1">
      <formula>IF(LEN(CX9)&gt;0,1,0)</formula>
    </cfRule>
    <cfRule type="expression" dxfId="3" priority="572" stopIfTrue="1">
      <formula>IF(VLOOKUP($CX$3,requiredAttributePTDMap,MATCH($A9,attributeMapFeedProductType,0)+1,FALSE)&gt;0,1,0)</formula>
    </cfRule>
    <cfRule type="expression" dxfId="2" priority="573" stopIfTrue="1">
      <formula>IF(VLOOKUP($CX$3,optionalAttributePTDMap,MATCH($A9,attributeMapFeedProductType,0)+1,FALSE)&gt;0,1,0)</formula>
    </cfRule>
    <cfRule type="expression" dxfId="1" priority="574" stopIfTrue="1">
      <formula>IF(VLOOKUP($CX$3,preferredAttributePTDMap,MATCH($A9,attributeMapFeedProductType,0)+1,FALSE)&gt;0,1,0)</formula>
    </cfRule>
    <cfRule type="expression" dxfId="0" priority="575" stopIfTrue="1">
      <formula>AND(IF(IFERROR(VLOOKUP($CX$3,requiredAttributePTDMap,MATCH($A9,attributeMapFeedProductType,0)+1,FALSE),0)&gt;0,0,1),IF(IFERROR(VLOOKUP($CX$3,optionalAttributePTDMap,MATCH($A9,attributeMapFeedProductType,0)+1,FALSE),0)&gt;0,0,1),IF(IFERROR(VLOOKUP($CX$3,preferredAttributePTDMap,MATCH($A9,attributeMapFeedProductType,0)+1,FALSE),0)&gt;0,0,1),IF(IFERROR(MATCH($A9,attributeMapFeedProductType,0),0)&gt;0,1,0))</formula>
    </cfRule>
  </conditionalFormatting>
  <conditionalFormatting sqref="CY9">
    <cfRule type="expression" dxfId="4" priority="576" stopIfTrue="1">
      <formula>IF(LEN(CY9)&gt;0,1,0)</formula>
    </cfRule>
    <cfRule type="expression" dxfId="3" priority="577" stopIfTrue="1">
      <formula>IF(VLOOKUP($CY$3,requiredAttributePTDMap,MATCH($A9,attributeMapFeedProductType,0)+1,FALSE)&gt;0,1,0)</formula>
    </cfRule>
    <cfRule type="expression" dxfId="2" priority="578" stopIfTrue="1">
      <formula>IF(VLOOKUP($CY$3,optionalAttributePTDMap,MATCH($A9,attributeMapFeedProductType,0)+1,FALSE)&gt;0,1,0)</formula>
    </cfRule>
    <cfRule type="expression" dxfId="1" priority="579" stopIfTrue="1">
      <formula>IF(VLOOKUP($CY$3,preferredAttributePTDMap,MATCH($A9,attributeMapFeedProductType,0)+1,FALSE)&gt;0,1,0)</formula>
    </cfRule>
    <cfRule type="expression" dxfId="0" priority="580" stopIfTrue="1">
      <formula>AND(IF(IFERROR(VLOOKUP($CY$3,requiredAttributePTDMap,MATCH($A9,attributeMapFeedProductType,0)+1,FALSE),0)&gt;0,0,1),IF(IFERROR(VLOOKUP($CY$3,optionalAttributePTDMap,MATCH($A9,attributeMapFeedProductType,0)+1,FALSE),0)&gt;0,0,1),IF(IFERROR(VLOOKUP($CY$3,preferredAttributePTDMap,MATCH($A9,attributeMapFeedProductType,0)+1,FALSE),0)&gt;0,0,1),IF(IFERROR(MATCH($A9,attributeMapFeedProductType,0),0)&gt;0,1,0))</formula>
    </cfRule>
  </conditionalFormatting>
  <conditionalFormatting sqref="CZ9">
    <cfRule type="expression" dxfId="0" priority="581" stopIfTrue="1">
      <formula>AND(AND((0)),1=1)</formula>
    </cfRule>
    <cfRule type="expression" dxfId="0" priority="582" stopIfTrue="1">
      <formula>AND(AND(OR(AND(OR(OR(NOT(CP9&lt;&gt;"DEFAULT"),CP9="")))),A9&lt;&gt;""))</formula>
    </cfRule>
    <cfRule type="expression" dxfId="4" priority="583" stopIfTrue="1">
      <formula>IF(LEN(CZ9)&gt;0,1,0)</formula>
    </cfRule>
    <cfRule type="expression" dxfId="3" priority="584" stopIfTrue="1">
      <formula>IF(VLOOKUP($CZ$3,requiredAttributePTDMap,MATCH($A9,attributeMapFeedProductType,0)+1,FALSE)&gt;0,1,0)</formula>
    </cfRule>
    <cfRule type="expression" dxfId="2" priority="585" stopIfTrue="1">
      <formula>IF(VLOOKUP($CZ$3,optionalAttributePTDMap,MATCH($A9,attributeMapFeedProductType,0)+1,FALSE)&gt;0,1,0)</formula>
    </cfRule>
    <cfRule type="expression" dxfId="1" priority="586" stopIfTrue="1">
      <formula>IF(VLOOKUP($CZ$3,preferredAttributePTDMap,MATCH($A9,attributeMapFeedProductType,0)+1,FALSE)&gt;0,1,0)</formula>
    </cfRule>
    <cfRule type="expression" dxfId="0" priority="587" stopIfTrue="1">
      <formula>AND(IF(IFERROR(VLOOKUP($CZ$3,requiredAttributePTDMap,MATCH($A9,attributeMapFeedProductType,0)+1,FALSE),0)&gt;0,0,1),IF(IFERROR(VLOOKUP($CZ$3,optionalAttributePTDMap,MATCH($A9,attributeMapFeedProductType,0)+1,FALSE),0)&gt;0,0,1),IF(IFERROR(VLOOKUP($CZ$3,preferredAttributePTDMap,MATCH($A9,attributeMapFeedProductType,0)+1,FALSE),0)&gt;0,0,1),IF(IFERROR(MATCH($A9,attributeMapFeedProductType,0),0)&gt;0,1,0))</formula>
    </cfRule>
  </conditionalFormatting>
  <conditionalFormatting sqref="DA9">
    <cfRule type="expression" dxfId="0" priority="588" stopIfTrue="1">
      <formula>AND(AND((0)),1=1)</formula>
    </cfRule>
    <cfRule type="expression" dxfId="0" priority="589" stopIfTrue="1">
      <formula>AND(AND(OR(AND(AND(IF(COUNTIF(CONDITION_LIST_0,CZ9)&gt;0,FALSE,TRUE)))),A9&lt;&gt;""))</formula>
    </cfRule>
    <cfRule type="expression" dxfId="4" priority="590" stopIfTrue="1">
      <formula>IF(LEN(DA9)&gt;0,1,0)</formula>
    </cfRule>
    <cfRule type="expression" dxfId="3" priority="591" stopIfTrue="1">
      <formula>IF(VLOOKUP($DA$3,requiredAttributePTDMap,MATCH($A9,attributeMapFeedProductType,0)+1,FALSE)&gt;0,1,0)</formula>
    </cfRule>
    <cfRule type="expression" dxfId="2" priority="592" stopIfTrue="1">
      <formula>IF(VLOOKUP($DA$3,optionalAttributePTDMap,MATCH($A9,attributeMapFeedProductType,0)+1,FALSE)&gt;0,1,0)</formula>
    </cfRule>
    <cfRule type="expression" dxfId="1" priority="593" stopIfTrue="1">
      <formula>IF(VLOOKUP($DA$3,preferredAttributePTDMap,MATCH($A9,attributeMapFeedProductType,0)+1,FALSE)&gt;0,1,0)</formula>
    </cfRule>
    <cfRule type="expression" dxfId="0" priority="594" stopIfTrue="1">
      <formula>AND(IF(IFERROR(VLOOKUP($DA$3,requiredAttributePTDMap,MATCH($A9,attributeMapFeedProductType,0)+1,FALSE),0)&gt;0,0,1),IF(IFERROR(VLOOKUP($DA$3,optionalAttributePTDMap,MATCH($A9,attributeMapFeedProductType,0)+1,FALSE),0)&gt;0,0,1),IF(IFERROR(VLOOKUP($DA$3,preferredAttributePTDMap,MATCH($A9,attributeMapFeedProductType,0)+1,FALSE),0)&gt;0,0,1),IF(IFERROR(MATCH($A9,attributeMapFeedProductType,0),0)&gt;0,1,0))</formula>
    </cfRule>
  </conditionalFormatting>
  <conditionalFormatting sqref="DB9">
    <cfRule type="expression" dxfId="0" priority="595" stopIfTrue="1">
      <formula>AND(AND((0)),1=1)</formula>
    </cfRule>
    <cfRule type="expression" dxfId="0" priority="596" stopIfTrue="1">
      <formula>AND(AND(OR(AND(AND(IF(COUNTIF(CONDITION_LIST_0,DA9)&gt;0,FALSE,TRUE)))),A9&lt;&gt;""))</formula>
    </cfRule>
    <cfRule type="expression" dxfId="4" priority="597" stopIfTrue="1">
      <formula>IF(LEN(DB9)&gt;0,1,0)</formula>
    </cfRule>
    <cfRule type="expression" dxfId="3" priority="598" stopIfTrue="1">
      <formula>IF(VLOOKUP($DB$3,requiredAttributePTDMap,MATCH($A9,attributeMapFeedProductType,0)+1,FALSE)&gt;0,1,0)</formula>
    </cfRule>
    <cfRule type="expression" dxfId="2" priority="599" stopIfTrue="1">
      <formula>IF(VLOOKUP($DB$3,optionalAttributePTDMap,MATCH($A9,attributeMapFeedProductType,0)+1,FALSE)&gt;0,1,0)</formula>
    </cfRule>
    <cfRule type="expression" dxfId="1" priority="600" stopIfTrue="1">
      <formula>IF(VLOOKUP($DB$3,preferredAttributePTDMap,MATCH($A9,attributeMapFeedProductType,0)+1,FALSE)&gt;0,1,0)</formula>
    </cfRule>
    <cfRule type="expression" dxfId="0" priority="601" stopIfTrue="1">
      <formula>AND(IF(IFERROR(VLOOKUP($DB$3,requiredAttributePTDMap,MATCH($A9,attributeMapFeedProductType,0)+1,FALSE),0)&gt;0,0,1),IF(IFERROR(VLOOKUP($DB$3,optionalAttributePTDMap,MATCH($A9,attributeMapFeedProductType,0)+1,FALSE),0)&gt;0,0,1),IF(IFERROR(VLOOKUP($DB$3,preferredAttributePTDMap,MATCH($A9,attributeMapFeedProductType,0)+1,FALSE),0)&gt;0,0,1),IF(IFERROR(MATCH($A9,attributeMapFeedProductType,0),0)&gt;0,1,0))</formula>
    </cfRule>
  </conditionalFormatting>
  <conditionalFormatting sqref="DC9">
    <cfRule type="expression" dxfId="0" priority="602" stopIfTrue="1">
      <formula>AND(AND((0)),1=1)</formula>
    </cfRule>
    <cfRule type="expression" dxfId="0" priority="603" stopIfTrue="1">
      <formula>AND(AND(OR(AND(AND(IF(COUNTIF(CONDITION_LIST_1,DB9)&gt;0,FALSE,TRUE)))),A9&lt;&gt;""))</formula>
    </cfRule>
    <cfRule type="expression" dxfId="4" priority="604" stopIfTrue="1">
      <formula>IF(LEN(DC9)&gt;0,1,0)</formula>
    </cfRule>
    <cfRule type="expression" dxfId="3" priority="605" stopIfTrue="1">
      <formula>IF(VLOOKUP($DC$3,requiredAttributePTDMap,MATCH($A9,attributeMapFeedProductType,0)+1,FALSE)&gt;0,1,0)</formula>
    </cfRule>
    <cfRule type="expression" dxfId="2" priority="606" stopIfTrue="1">
      <formula>IF(VLOOKUP($DC$3,optionalAttributePTDMap,MATCH($A9,attributeMapFeedProductType,0)+1,FALSE)&gt;0,1,0)</formula>
    </cfRule>
    <cfRule type="expression" dxfId="1" priority="607" stopIfTrue="1">
      <formula>IF(VLOOKUP($DC$3,preferredAttributePTDMap,MATCH($A9,attributeMapFeedProductType,0)+1,FALSE)&gt;0,1,0)</formula>
    </cfRule>
    <cfRule type="expression" dxfId="0" priority="608" stopIfTrue="1">
      <formula>AND(IF(IFERROR(VLOOKUP($DC$3,requiredAttributePTDMap,MATCH($A9,attributeMapFeedProductType,0)+1,FALSE),0)&gt;0,0,1),IF(IFERROR(VLOOKUP($DC$3,optionalAttributePTDMap,MATCH($A9,attributeMapFeedProductType,0)+1,FALSE),0)&gt;0,0,1),IF(IFERROR(VLOOKUP($DC$3,preferredAttributePTDMap,MATCH($A9,attributeMapFeedProductType,0)+1,FALSE),0)&gt;0,0,1),IF(IFERROR(MATCH($A9,attributeMapFeedProductType,0),0)&gt;0,1,0))</formula>
    </cfRule>
  </conditionalFormatting>
  <conditionalFormatting sqref="DD9">
    <cfRule type="expression" dxfId="0" priority="609" stopIfTrue="1">
      <formula>AND(AND((0)),1=1)</formula>
    </cfRule>
    <cfRule type="expression" dxfId="0" priority="610" stopIfTrue="1">
      <formula>AND(AND(OR(AND(AND(IF(COUNTIF(CONDITION_LIST_1,DB9)&gt;0,FALSE,TRUE)))),A9&lt;&gt;""))</formula>
    </cfRule>
    <cfRule type="expression" dxfId="4" priority="611" stopIfTrue="1">
      <formula>IF(LEN(DD9)&gt;0,1,0)</formula>
    </cfRule>
    <cfRule type="expression" dxfId="3" priority="612" stopIfTrue="1">
      <formula>IF(VLOOKUP($DD$3,requiredAttributePTDMap,MATCH($A9,attributeMapFeedProductType,0)+1,FALSE)&gt;0,1,0)</formula>
    </cfRule>
    <cfRule type="expression" dxfId="2" priority="613" stopIfTrue="1">
      <formula>IF(VLOOKUP($DD$3,optionalAttributePTDMap,MATCH($A9,attributeMapFeedProductType,0)+1,FALSE)&gt;0,1,0)</formula>
    </cfRule>
    <cfRule type="expression" dxfId="1" priority="614" stopIfTrue="1">
      <formula>IF(VLOOKUP($DD$3,preferredAttributePTDMap,MATCH($A9,attributeMapFeedProductType,0)+1,FALSE)&gt;0,1,0)</formula>
    </cfRule>
    <cfRule type="expression" dxfId="0" priority="615" stopIfTrue="1">
      <formula>AND(IF(IFERROR(VLOOKUP($DD$3,requiredAttributePTDMap,MATCH($A9,attributeMapFeedProductType,0)+1,FALSE),0)&gt;0,0,1),IF(IFERROR(VLOOKUP($DD$3,optionalAttributePTDMap,MATCH($A9,attributeMapFeedProductType,0)+1,FALSE),0)&gt;0,0,1),IF(IFERROR(VLOOKUP($DD$3,preferredAttributePTDMap,MATCH($A9,attributeMapFeedProductType,0)+1,FALSE),0)&gt;0,0,1),IF(IFERROR(MATCH($A9,attributeMapFeedProductType,0),0)&gt;0,1,0))</formula>
    </cfRule>
  </conditionalFormatting>
  <conditionalFormatting sqref="DE9">
    <cfRule type="expression" dxfId="0" priority="616" stopIfTrue="1">
      <formula>AND(AND((0)),1=1)</formula>
    </cfRule>
    <cfRule type="expression" dxfId="0" priority="617" stopIfTrue="1">
      <formula>AND(AND(OR(AND(AND(IF(COUNTIF(CONDITION_LIST_1,DB9)&gt;0,FALSE,TRUE)))),A9&lt;&gt;""))</formula>
    </cfRule>
    <cfRule type="expression" dxfId="4" priority="618" stopIfTrue="1">
      <formula>IF(LEN(DE9)&gt;0,1,0)</formula>
    </cfRule>
    <cfRule type="expression" dxfId="3" priority="619" stopIfTrue="1">
      <formula>IF(VLOOKUP($DE$3,requiredAttributePTDMap,MATCH($A9,attributeMapFeedProductType,0)+1,FALSE)&gt;0,1,0)</formula>
    </cfRule>
    <cfRule type="expression" dxfId="2" priority="620" stopIfTrue="1">
      <formula>IF(VLOOKUP($DE$3,optionalAttributePTDMap,MATCH($A9,attributeMapFeedProductType,0)+1,FALSE)&gt;0,1,0)</formula>
    </cfRule>
    <cfRule type="expression" dxfId="1" priority="621" stopIfTrue="1">
      <formula>IF(VLOOKUP($DE$3,preferredAttributePTDMap,MATCH($A9,attributeMapFeedProductType,0)+1,FALSE)&gt;0,1,0)</formula>
    </cfRule>
    <cfRule type="expression" dxfId="0" priority="622" stopIfTrue="1">
      <formula>AND(IF(IFERROR(VLOOKUP($DE$3,requiredAttributePTDMap,MATCH($A9,attributeMapFeedProductType,0)+1,FALSE),0)&gt;0,0,1),IF(IFERROR(VLOOKUP($DE$3,optionalAttributePTDMap,MATCH($A9,attributeMapFeedProductType,0)+1,FALSE),0)&gt;0,0,1),IF(IFERROR(VLOOKUP($DE$3,preferredAttributePTDMap,MATCH($A9,attributeMapFeedProductType,0)+1,FALSE),0)&gt;0,0,1),IF(IFERROR(MATCH($A9,attributeMapFeedProductType,0),0)&gt;0,1,0))</formula>
    </cfRule>
  </conditionalFormatting>
  <conditionalFormatting sqref="DF9">
    <cfRule type="expression" dxfId="0" priority="623" stopIfTrue="1">
      <formula>AND(AND((0)),1=1)</formula>
    </cfRule>
    <cfRule type="expression" dxfId="0" priority="624" stopIfTrue="1">
      <formula>AND(AND(OR(AND(AND(IF(COUNTIF(CONDITION_LIST_1,DB9)&gt;0,FALSE,TRUE)))),A9&lt;&gt;""))</formula>
    </cfRule>
    <cfRule type="expression" dxfId="4" priority="625" stopIfTrue="1">
      <formula>IF(LEN(DF9)&gt;0,1,0)</formula>
    </cfRule>
    <cfRule type="expression" dxfId="3" priority="626" stopIfTrue="1">
      <formula>IF(VLOOKUP($DF$3,requiredAttributePTDMap,MATCH($A9,attributeMapFeedProductType,0)+1,FALSE)&gt;0,1,0)</formula>
    </cfRule>
    <cfRule type="expression" dxfId="2" priority="627" stopIfTrue="1">
      <formula>IF(VLOOKUP($DF$3,optionalAttributePTDMap,MATCH($A9,attributeMapFeedProductType,0)+1,FALSE)&gt;0,1,0)</formula>
    </cfRule>
    <cfRule type="expression" dxfId="1" priority="628" stopIfTrue="1">
      <formula>IF(VLOOKUP($DF$3,preferredAttributePTDMap,MATCH($A9,attributeMapFeedProductType,0)+1,FALSE)&gt;0,1,0)</formula>
    </cfRule>
    <cfRule type="expression" dxfId="0" priority="629" stopIfTrue="1">
      <formula>AND(IF(IFERROR(VLOOKUP($DF$3,requiredAttributePTDMap,MATCH($A9,attributeMapFeedProductType,0)+1,FALSE),0)&gt;0,0,1),IF(IFERROR(VLOOKUP($DF$3,optionalAttributePTDMap,MATCH($A9,attributeMapFeedProductType,0)+1,FALSE),0)&gt;0,0,1),IF(IFERROR(VLOOKUP($DF$3,preferredAttributePTDMap,MATCH($A9,attributeMapFeedProductType,0)+1,FALSE),0)&gt;0,0,1),IF(IFERROR(MATCH($A9,attributeMapFeedProductType,0),0)&gt;0,1,0))</formula>
    </cfRule>
  </conditionalFormatting>
  <conditionalFormatting sqref="DG9">
    <cfRule type="expression" dxfId="0" priority="630" stopIfTrue="1">
      <formula>AND(AND((0)),1=1)</formula>
    </cfRule>
    <cfRule type="expression" dxfId="0" priority="631" stopIfTrue="1">
      <formula>AND(AND(OR(AND(AND(IF(COUNTIF(CONDITION_LIST_1,DB9)&gt;0,FALSE,TRUE)))),A9&lt;&gt;""))</formula>
    </cfRule>
    <cfRule type="expression" dxfId="4" priority="632" stopIfTrue="1">
      <formula>IF(LEN(DG9)&gt;0,1,0)</formula>
    </cfRule>
    <cfRule type="expression" dxfId="3" priority="633" stopIfTrue="1">
      <formula>IF(VLOOKUP($DG$3,requiredAttributePTDMap,MATCH($A9,attributeMapFeedProductType,0)+1,FALSE)&gt;0,1,0)</formula>
    </cfRule>
    <cfRule type="expression" dxfId="2" priority="634" stopIfTrue="1">
      <formula>IF(VLOOKUP($DG$3,optionalAttributePTDMap,MATCH($A9,attributeMapFeedProductType,0)+1,FALSE)&gt;0,1,0)</formula>
    </cfRule>
    <cfRule type="expression" dxfId="1" priority="635" stopIfTrue="1">
      <formula>IF(VLOOKUP($DG$3,preferredAttributePTDMap,MATCH($A9,attributeMapFeedProductType,0)+1,FALSE)&gt;0,1,0)</formula>
    </cfRule>
    <cfRule type="expression" dxfId="0" priority="636" stopIfTrue="1">
      <formula>AND(IF(IFERROR(VLOOKUP($DG$3,requiredAttributePTDMap,MATCH($A9,attributeMapFeedProductType,0)+1,FALSE),0)&gt;0,0,1),IF(IFERROR(VLOOKUP($DG$3,optionalAttributePTDMap,MATCH($A9,attributeMapFeedProductType,0)+1,FALSE),0)&gt;0,0,1),IF(IFERROR(VLOOKUP($DG$3,preferredAttributePTDMap,MATCH($A9,attributeMapFeedProductType,0)+1,FALSE),0)&gt;0,0,1),IF(IFERROR(MATCH($A9,attributeMapFeedProductType,0),0)&gt;0,1,0))</formula>
    </cfRule>
  </conditionalFormatting>
  <conditionalFormatting sqref="DH9">
    <cfRule type="expression" dxfId="0" priority="637" stopIfTrue="1">
      <formula>AND(AND((0)),1=1)</formula>
    </cfRule>
    <cfRule type="expression" dxfId="0" priority="638" stopIfTrue="1">
      <formula>AND(AND(OR(AND(AND(IF(COUNTIF(CONDITION_LIST_1,DB9)&gt;0,FALSE,TRUE)))),A9&lt;&gt;""))</formula>
    </cfRule>
    <cfRule type="expression" dxfId="4" priority="639" stopIfTrue="1">
      <formula>IF(LEN(DH9)&gt;0,1,0)</formula>
    </cfRule>
    <cfRule type="expression" dxfId="3" priority="640" stopIfTrue="1">
      <formula>IF(VLOOKUP($DH$3,requiredAttributePTDMap,MATCH($A9,attributeMapFeedProductType,0)+1,FALSE)&gt;0,1,0)</formula>
    </cfRule>
    <cfRule type="expression" dxfId="2" priority="641" stopIfTrue="1">
      <formula>IF(VLOOKUP($DH$3,optionalAttributePTDMap,MATCH($A9,attributeMapFeedProductType,0)+1,FALSE)&gt;0,1,0)</formula>
    </cfRule>
    <cfRule type="expression" dxfId="1" priority="642" stopIfTrue="1">
      <formula>IF(VLOOKUP($DH$3,preferredAttributePTDMap,MATCH($A9,attributeMapFeedProductType,0)+1,FALSE)&gt;0,1,0)</formula>
    </cfRule>
    <cfRule type="expression" dxfId="0" priority="643" stopIfTrue="1">
      <formula>AND(IF(IFERROR(VLOOKUP($DH$3,requiredAttributePTDMap,MATCH($A9,attributeMapFeedProductType,0)+1,FALSE),0)&gt;0,0,1),IF(IFERROR(VLOOKUP($DH$3,optionalAttributePTDMap,MATCH($A9,attributeMapFeedProductType,0)+1,FALSE),0)&gt;0,0,1),IF(IFERROR(VLOOKUP($DH$3,preferredAttributePTDMap,MATCH($A9,attributeMapFeedProductType,0)+1,FALSE),0)&gt;0,0,1),IF(IFERROR(MATCH($A9,attributeMapFeedProductType,0),0)&gt;0,1,0))</formula>
    </cfRule>
  </conditionalFormatting>
  <conditionalFormatting sqref="DI9">
    <cfRule type="expression" dxfId="0" priority="644" stopIfTrue="1">
      <formula>AND(AND((0)),1=1)</formula>
    </cfRule>
    <cfRule type="expression" dxfId="0" priority="645" stopIfTrue="1">
      <formula>AND(AND(OR(AND(AND(IF(COUNTIF(CONDITION_LIST_1,DB9)&gt;0,FALSE,TRUE)))),A9&lt;&gt;""))</formula>
    </cfRule>
    <cfRule type="expression" dxfId="4" priority="646" stopIfTrue="1">
      <formula>IF(LEN(DI9)&gt;0,1,0)</formula>
    </cfRule>
    <cfRule type="expression" dxfId="3" priority="647" stopIfTrue="1">
      <formula>IF(VLOOKUP($DI$3,requiredAttributePTDMap,MATCH($A9,attributeMapFeedProductType,0)+1,FALSE)&gt;0,1,0)</formula>
    </cfRule>
    <cfRule type="expression" dxfId="2" priority="648" stopIfTrue="1">
      <formula>IF(VLOOKUP($DI$3,optionalAttributePTDMap,MATCH($A9,attributeMapFeedProductType,0)+1,FALSE)&gt;0,1,0)</formula>
    </cfRule>
    <cfRule type="expression" dxfId="1" priority="649" stopIfTrue="1">
      <formula>IF(VLOOKUP($DI$3,preferredAttributePTDMap,MATCH($A9,attributeMapFeedProductType,0)+1,FALSE)&gt;0,1,0)</formula>
    </cfRule>
    <cfRule type="expression" dxfId="0" priority="650" stopIfTrue="1">
      <formula>AND(IF(IFERROR(VLOOKUP($DI$3,requiredAttributePTDMap,MATCH($A9,attributeMapFeedProductType,0)+1,FALSE),0)&gt;0,0,1),IF(IFERROR(VLOOKUP($DI$3,optionalAttributePTDMap,MATCH($A9,attributeMapFeedProductType,0)+1,FALSE),0)&gt;0,0,1),IF(IFERROR(VLOOKUP($DI$3,preferredAttributePTDMap,MATCH($A9,attributeMapFeedProductType,0)+1,FALSE),0)&gt;0,0,1),IF(IFERROR(MATCH($A9,attributeMapFeedProductType,0),0)&gt;0,1,0))</formula>
    </cfRule>
  </conditionalFormatting>
  <conditionalFormatting sqref="DJ9">
    <cfRule type="expression" dxfId="0" priority="651" stopIfTrue="1">
      <formula>AND(AND((0)),1=1)</formula>
    </cfRule>
    <cfRule type="expression" dxfId="0" priority="652" stopIfTrue="1">
      <formula>AND(AND(OR(AND(AND(IF(COUNTIF(CONDITION_LIST_1,DB9)&gt;0,FALSE,TRUE)))),A9&lt;&gt;""))</formula>
    </cfRule>
    <cfRule type="expression" dxfId="4" priority="653" stopIfTrue="1">
      <formula>IF(LEN(DJ9)&gt;0,1,0)</formula>
    </cfRule>
    <cfRule type="expression" dxfId="3" priority="654" stopIfTrue="1">
      <formula>IF(VLOOKUP($DJ$3,requiredAttributePTDMap,MATCH($A9,attributeMapFeedProductType,0)+1,FALSE)&gt;0,1,0)</formula>
    </cfRule>
    <cfRule type="expression" dxfId="2" priority="655" stopIfTrue="1">
      <formula>IF(VLOOKUP($DJ$3,optionalAttributePTDMap,MATCH($A9,attributeMapFeedProductType,0)+1,FALSE)&gt;0,1,0)</formula>
    </cfRule>
    <cfRule type="expression" dxfId="1" priority="656" stopIfTrue="1">
      <formula>IF(VLOOKUP($DJ$3,preferredAttributePTDMap,MATCH($A9,attributeMapFeedProductType,0)+1,FALSE)&gt;0,1,0)</formula>
    </cfRule>
    <cfRule type="expression" dxfId="0" priority="657" stopIfTrue="1">
      <formula>AND(IF(IFERROR(VLOOKUP($DJ$3,requiredAttributePTDMap,MATCH($A9,attributeMapFeedProductType,0)+1,FALSE),0)&gt;0,0,1),IF(IFERROR(VLOOKUP($DJ$3,optionalAttributePTDMap,MATCH($A9,attributeMapFeedProductType,0)+1,FALSE),0)&gt;0,0,1),IF(IFERROR(VLOOKUP($DJ$3,preferredAttributePTDMap,MATCH($A9,attributeMapFeedProductType,0)+1,FALSE),0)&gt;0,0,1),IF(IFERROR(MATCH($A9,attributeMapFeedProductType,0),0)&gt;0,1,0))</formula>
    </cfRule>
  </conditionalFormatting>
  <conditionalFormatting sqref="DK9">
    <cfRule type="expression" dxfId="0" priority="658" stopIfTrue="1">
      <formula>AND(AND((0)),1=1)</formula>
    </cfRule>
    <cfRule type="expression" dxfId="0" priority="659" stopIfTrue="1">
      <formula>AND(AND(OR(AND(AND(IF(COUNTIF(CONDITION_LIST_1,DB9)&gt;0,FALSE,TRUE)))),A9&lt;&gt;""))</formula>
    </cfRule>
    <cfRule type="expression" dxfId="4" priority="660" stopIfTrue="1">
      <formula>IF(LEN(DK9)&gt;0,1,0)</formula>
    </cfRule>
    <cfRule type="expression" dxfId="3" priority="661" stopIfTrue="1">
      <formula>IF(VLOOKUP($DK$3,requiredAttributePTDMap,MATCH($A9,attributeMapFeedProductType,0)+1,FALSE)&gt;0,1,0)</formula>
    </cfRule>
    <cfRule type="expression" dxfId="2" priority="662" stopIfTrue="1">
      <formula>IF(VLOOKUP($DK$3,optionalAttributePTDMap,MATCH($A9,attributeMapFeedProductType,0)+1,FALSE)&gt;0,1,0)</formula>
    </cfRule>
    <cfRule type="expression" dxfId="1" priority="663" stopIfTrue="1">
      <formula>IF(VLOOKUP($DK$3,preferredAttributePTDMap,MATCH($A9,attributeMapFeedProductType,0)+1,FALSE)&gt;0,1,0)</formula>
    </cfRule>
    <cfRule type="expression" dxfId="0" priority="664" stopIfTrue="1">
      <formula>AND(IF(IFERROR(VLOOKUP($DK$3,requiredAttributePTDMap,MATCH($A9,attributeMapFeedProductType,0)+1,FALSE),0)&gt;0,0,1),IF(IFERROR(VLOOKUP($DK$3,optionalAttributePTDMap,MATCH($A9,attributeMapFeedProductType,0)+1,FALSE),0)&gt;0,0,1),IF(IFERROR(VLOOKUP($DK$3,preferredAttributePTDMap,MATCH($A9,attributeMapFeedProductType,0)+1,FALSE),0)&gt;0,0,1),IF(IFERROR(MATCH($A9,attributeMapFeedProductType,0),0)&gt;0,1,0))</formula>
    </cfRule>
  </conditionalFormatting>
  <conditionalFormatting sqref="DL9">
    <cfRule type="expression" dxfId="0" priority="665" stopIfTrue="1">
      <formula>AND(AND((0)),1=1)</formula>
    </cfRule>
    <cfRule type="expression" dxfId="0" priority="666" stopIfTrue="1">
      <formula>AND(AND(OR(AND(AND(IF(COUNTIF(CONDITION_LIST_1,DB9)&gt;0,FALSE,TRUE)))),A9&lt;&gt;""))</formula>
    </cfRule>
    <cfRule type="expression" dxfId="4" priority="667" stopIfTrue="1">
      <formula>IF(LEN(DL9)&gt;0,1,0)</formula>
    </cfRule>
    <cfRule type="expression" dxfId="3" priority="668" stopIfTrue="1">
      <formula>IF(VLOOKUP($DL$3,requiredAttributePTDMap,MATCH($A9,attributeMapFeedProductType,0)+1,FALSE)&gt;0,1,0)</formula>
    </cfRule>
    <cfRule type="expression" dxfId="2" priority="669" stopIfTrue="1">
      <formula>IF(VLOOKUP($DL$3,optionalAttributePTDMap,MATCH($A9,attributeMapFeedProductType,0)+1,FALSE)&gt;0,1,0)</formula>
    </cfRule>
    <cfRule type="expression" dxfId="1" priority="670" stopIfTrue="1">
      <formula>IF(VLOOKUP($DL$3,preferredAttributePTDMap,MATCH($A9,attributeMapFeedProductType,0)+1,FALSE)&gt;0,1,0)</formula>
    </cfRule>
    <cfRule type="expression" dxfId="0" priority="671" stopIfTrue="1">
      <formula>AND(IF(IFERROR(VLOOKUP($DL$3,requiredAttributePTDMap,MATCH($A9,attributeMapFeedProductType,0)+1,FALSE),0)&gt;0,0,1),IF(IFERROR(VLOOKUP($DL$3,optionalAttributePTDMap,MATCH($A9,attributeMapFeedProductType,0)+1,FALSE),0)&gt;0,0,1),IF(IFERROR(VLOOKUP($DL$3,preferredAttributePTDMap,MATCH($A9,attributeMapFeedProductType,0)+1,FALSE),0)&gt;0,0,1),IF(IFERROR(MATCH($A9,attributeMapFeedProductType,0),0)&gt;0,1,0))</formula>
    </cfRule>
  </conditionalFormatting>
  <conditionalFormatting sqref="DM9">
    <cfRule type="expression" dxfId="0" priority="672" stopIfTrue="1">
      <formula>AND(AND((0)),1=1)</formula>
    </cfRule>
    <cfRule type="expression" dxfId="0" priority="673" stopIfTrue="1">
      <formula>AND(AND(OR(AND(AND(IF(COUNTIF(CONDITION_LIST_1,DB9)&gt;0,FALSE,TRUE)))),A9&lt;&gt;""))</formula>
    </cfRule>
    <cfRule type="expression" dxfId="4" priority="674" stopIfTrue="1">
      <formula>IF(LEN(DM9)&gt;0,1,0)</formula>
    </cfRule>
    <cfRule type="expression" dxfId="3" priority="675" stopIfTrue="1">
      <formula>IF(VLOOKUP($DM$3,requiredAttributePTDMap,MATCH($A9,attributeMapFeedProductType,0)+1,FALSE)&gt;0,1,0)</formula>
    </cfRule>
    <cfRule type="expression" dxfId="2" priority="676" stopIfTrue="1">
      <formula>IF(VLOOKUP($DM$3,optionalAttributePTDMap,MATCH($A9,attributeMapFeedProductType,0)+1,FALSE)&gt;0,1,0)</formula>
    </cfRule>
    <cfRule type="expression" dxfId="1" priority="677" stopIfTrue="1">
      <formula>IF(VLOOKUP($DM$3,preferredAttributePTDMap,MATCH($A9,attributeMapFeedProductType,0)+1,FALSE)&gt;0,1,0)</formula>
    </cfRule>
    <cfRule type="expression" dxfId="0" priority="678" stopIfTrue="1">
      <formula>AND(IF(IFERROR(VLOOKUP($DM$3,requiredAttributePTDMap,MATCH($A9,attributeMapFeedProductType,0)+1,FALSE),0)&gt;0,0,1),IF(IFERROR(VLOOKUP($DM$3,optionalAttributePTDMap,MATCH($A9,attributeMapFeedProductType,0)+1,FALSE),0)&gt;0,0,1),IF(IFERROR(VLOOKUP($DM$3,preferredAttributePTDMap,MATCH($A9,attributeMapFeedProductType,0)+1,FALSE),0)&gt;0,0,1),IF(IFERROR(MATCH($A9,attributeMapFeedProductType,0),0)&gt;0,1,0))</formula>
    </cfRule>
  </conditionalFormatting>
  <conditionalFormatting sqref="DN9">
    <cfRule type="expression" dxfId="0" priority="679" stopIfTrue="1">
      <formula>AND(AND((0)),1=1)</formula>
    </cfRule>
    <cfRule type="expression" dxfId="0" priority="680" stopIfTrue="1">
      <formula>AND(AND(OR(AND(AND(IF(COUNTIF(CONDITION_LIST_1,DB9)&gt;0,FALSE,TRUE)))),A9&lt;&gt;""))</formula>
    </cfRule>
    <cfRule type="expression" dxfId="4" priority="681" stopIfTrue="1">
      <formula>IF(LEN(DN9)&gt;0,1,0)</formula>
    </cfRule>
    <cfRule type="expression" dxfId="3" priority="682" stopIfTrue="1">
      <formula>IF(VLOOKUP($DN$3,requiredAttributePTDMap,MATCH($A9,attributeMapFeedProductType,0)+1,FALSE)&gt;0,1,0)</formula>
    </cfRule>
    <cfRule type="expression" dxfId="2" priority="683" stopIfTrue="1">
      <formula>IF(VLOOKUP($DN$3,optionalAttributePTDMap,MATCH($A9,attributeMapFeedProductType,0)+1,FALSE)&gt;0,1,0)</formula>
    </cfRule>
    <cfRule type="expression" dxfId="1" priority="684" stopIfTrue="1">
      <formula>IF(VLOOKUP($DN$3,preferredAttributePTDMap,MATCH($A9,attributeMapFeedProductType,0)+1,FALSE)&gt;0,1,0)</formula>
    </cfRule>
    <cfRule type="expression" dxfId="0" priority="685" stopIfTrue="1">
      <formula>AND(IF(IFERROR(VLOOKUP($DN$3,requiredAttributePTDMap,MATCH($A9,attributeMapFeedProductType,0)+1,FALSE),0)&gt;0,0,1),IF(IFERROR(VLOOKUP($DN$3,optionalAttributePTDMap,MATCH($A9,attributeMapFeedProductType,0)+1,FALSE),0)&gt;0,0,1),IF(IFERROR(VLOOKUP($DN$3,preferredAttributePTDMap,MATCH($A9,attributeMapFeedProductType,0)+1,FALSE),0)&gt;0,0,1),IF(IFERROR(MATCH($A9,attributeMapFeedProductType,0),0)&gt;0,1,0))</formula>
    </cfRule>
  </conditionalFormatting>
  <conditionalFormatting sqref="DO9">
    <cfRule type="expression" dxfId="0" priority="686" stopIfTrue="1">
      <formula>AND(AND((0)),1=1)</formula>
    </cfRule>
    <cfRule type="expression" dxfId="0" priority="687" stopIfTrue="1">
      <formula>AND(AND(OR(AND(AND(IF(COUNTIF(CONDITION_LIST_1,DB9)&gt;0,FALSE,TRUE)))),A9&lt;&gt;""))</formula>
    </cfRule>
    <cfRule type="expression" dxfId="4" priority="688" stopIfTrue="1">
      <formula>IF(LEN(DO9)&gt;0,1,0)</formula>
    </cfRule>
    <cfRule type="expression" dxfId="3" priority="689" stopIfTrue="1">
      <formula>IF(VLOOKUP($DO$3,requiredAttributePTDMap,MATCH($A9,attributeMapFeedProductType,0)+1,FALSE)&gt;0,1,0)</formula>
    </cfRule>
    <cfRule type="expression" dxfId="2" priority="690" stopIfTrue="1">
      <formula>IF(VLOOKUP($DO$3,optionalAttributePTDMap,MATCH($A9,attributeMapFeedProductType,0)+1,FALSE)&gt;0,1,0)</formula>
    </cfRule>
    <cfRule type="expression" dxfId="1" priority="691" stopIfTrue="1">
      <formula>IF(VLOOKUP($DO$3,preferredAttributePTDMap,MATCH($A9,attributeMapFeedProductType,0)+1,FALSE)&gt;0,1,0)</formula>
    </cfRule>
    <cfRule type="expression" dxfId="0" priority="692" stopIfTrue="1">
      <formula>AND(IF(IFERROR(VLOOKUP($DO$3,requiredAttributePTDMap,MATCH($A9,attributeMapFeedProductType,0)+1,FALSE),0)&gt;0,0,1),IF(IFERROR(VLOOKUP($DO$3,optionalAttributePTDMap,MATCH($A9,attributeMapFeedProductType,0)+1,FALSE),0)&gt;0,0,1),IF(IFERROR(VLOOKUP($DO$3,preferredAttributePTDMap,MATCH($A9,attributeMapFeedProductType,0)+1,FALSE),0)&gt;0,0,1),IF(IFERROR(MATCH($A9,attributeMapFeedProductType,0),0)&gt;0,1,0))</formula>
    </cfRule>
  </conditionalFormatting>
  <conditionalFormatting sqref="DP9">
    <cfRule type="expression" dxfId="0" priority="693" stopIfTrue="1">
      <formula>AND(AND((0)),1=1)</formula>
    </cfRule>
    <cfRule type="expression" dxfId="0" priority="694" stopIfTrue="1">
      <formula>AND(AND(OR(AND(AND(IF(COUNTIF(CONDITION_LIST_1,DB9)&gt;0,FALSE,TRUE)))),A9&lt;&gt;""))</formula>
    </cfRule>
    <cfRule type="expression" dxfId="4" priority="695" stopIfTrue="1">
      <formula>IF(LEN(DP9)&gt;0,1,0)</formula>
    </cfRule>
    <cfRule type="expression" dxfId="3" priority="696" stopIfTrue="1">
      <formula>IF(VLOOKUP($DP$3,requiredAttributePTDMap,MATCH($A9,attributeMapFeedProductType,0)+1,FALSE)&gt;0,1,0)</formula>
    </cfRule>
    <cfRule type="expression" dxfId="2" priority="697" stopIfTrue="1">
      <formula>IF(VLOOKUP($DP$3,optionalAttributePTDMap,MATCH($A9,attributeMapFeedProductType,0)+1,FALSE)&gt;0,1,0)</formula>
    </cfRule>
    <cfRule type="expression" dxfId="1" priority="698" stopIfTrue="1">
      <formula>IF(VLOOKUP($DP$3,preferredAttributePTDMap,MATCH($A9,attributeMapFeedProductType,0)+1,FALSE)&gt;0,1,0)</formula>
    </cfRule>
    <cfRule type="expression" dxfId="0" priority="699" stopIfTrue="1">
      <formula>AND(IF(IFERROR(VLOOKUP($DP$3,requiredAttributePTDMap,MATCH($A9,attributeMapFeedProductType,0)+1,FALSE),0)&gt;0,0,1),IF(IFERROR(VLOOKUP($DP$3,optionalAttributePTDMap,MATCH($A9,attributeMapFeedProductType,0)+1,FALSE),0)&gt;0,0,1),IF(IFERROR(VLOOKUP($DP$3,preferredAttributePTDMap,MATCH($A9,attributeMapFeedProductType,0)+1,FALSE),0)&gt;0,0,1),IF(IFERROR(MATCH($A9,attributeMapFeedProductType,0),0)&gt;0,1,0))</formula>
    </cfRule>
  </conditionalFormatting>
  <conditionalFormatting sqref="DQ9">
    <cfRule type="expression" dxfId="0" priority="700" stopIfTrue="1">
      <formula>AND(AND((0)),1=1)</formula>
    </cfRule>
    <cfRule type="expression" dxfId="0" priority="701" stopIfTrue="1">
      <formula>AND(AND(OR(AND(AND(IF(COUNTIF(CONDITION_LIST_1,DB9)&gt;0,FALSE,TRUE)))),A9&lt;&gt;""))</formula>
    </cfRule>
    <cfRule type="expression" dxfId="4" priority="702" stopIfTrue="1">
      <formula>IF(LEN(DQ9)&gt;0,1,0)</formula>
    </cfRule>
    <cfRule type="expression" dxfId="3" priority="703" stopIfTrue="1">
      <formula>IF(VLOOKUP($DQ$3,requiredAttributePTDMap,MATCH($A9,attributeMapFeedProductType,0)+1,FALSE)&gt;0,1,0)</formula>
    </cfRule>
    <cfRule type="expression" dxfId="2" priority="704" stopIfTrue="1">
      <formula>IF(VLOOKUP($DQ$3,optionalAttributePTDMap,MATCH($A9,attributeMapFeedProductType,0)+1,FALSE)&gt;0,1,0)</formula>
    </cfRule>
    <cfRule type="expression" dxfId="1" priority="705" stopIfTrue="1">
      <formula>IF(VLOOKUP($DQ$3,preferredAttributePTDMap,MATCH($A9,attributeMapFeedProductType,0)+1,FALSE)&gt;0,1,0)</formula>
    </cfRule>
    <cfRule type="expression" dxfId="0" priority="706" stopIfTrue="1">
      <formula>AND(IF(IFERROR(VLOOKUP($DQ$3,requiredAttributePTDMap,MATCH($A9,attributeMapFeedProductType,0)+1,FALSE),0)&gt;0,0,1),IF(IFERROR(VLOOKUP($DQ$3,optionalAttributePTDMap,MATCH($A9,attributeMapFeedProductType,0)+1,FALSE),0)&gt;0,0,1),IF(IFERROR(VLOOKUP($DQ$3,preferredAttributePTDMap,MATCH($A9,attributeMapFeedProductType,0)+1,FALSE),0)&gt;0,0,1),IF(IFERROR(MATCH($A9,attributeMapFeedProductType,0),0)&gt;0,1,0))</formula>
    </cfRule>
  </conditionalFormatting>
  <conditionalFormatting sqref="DR9">
    <cfRule type="expression" dxfId="0" priority="707" stopIfTrue="1">
      <formula>AND(AND((0)),1=1)</formula>
    </cfRule>
    <cfRule type="expression" dxfId="0" priority="708" stopIfTrue="1">
      <formula>AND(AND(OR(AND(OR(OR(NOT(CP9&lt;&gt;"DEFAULT"),CP9="")))),A9&lt;&gt;""))</formula>
    </cfRule>
    <cfRule type="expression" dxfId="4" priority="709" stopIfTrue="1">
      <formula>IF(LEN(DR9)&gt;0,1,0)</formula>
    </cfRule>
    <cfRule type="expression" dxfId="3" priority="710" stopIfTrue="1">
      <formula>IF(VLOOKUP($DR$3,requiredAttributePTDMap,MATCH($A9,attributeMapFeedProductType,0)+1,FALSE)&gt;0,1,0)</formula>
    </cfRule>
    <cfRule type="expression" dxfId="2" priority="711" stopIfTrue="1">
      <formula>IF(VLOOKUP($DR$3,optionalAttributePTDMap,MATCH($A9,attributeMapFeedProductType,0)+1,FALSE)&gt;0,1,0)</formula>
    </cfRule>
    <cfRule type="expression" dxfId="1" priority="712" stopIfTrue="1">
      <formula>IF(VLOOKUP($DR$3,preferredAttributePTDMap,MATCH($A9,attributeMapFeedProductType,0)+1,FALSE)&gt;0,1,0)</formula>
    </cfRule>
    <cfRule type="expression" dxfId="0" priority="713" stopIfTrue="1">
      <formula>AND(IF(IFERROR(VLOOKUP($DR$3,requiredAttributePTDMap,MATCH($A9,attributeMapFeedProductType,0)+1,FALSE),0)&gt;0,0,1),IF(IFERROR(VLOOKUP($DR$3,optionalAttributePTDMap,MATCH($A9,attributeMapFeedProductType,0)+1,FALSE),0)&gt;0,0,1),IF(IFERROR(VLOOKUP($DR$3,preferredAttributePTDMap,MATCH($A9,attributeMapFeedProductType,0)+1,FALSE),0)&gt;0,0,1),IF(IFERROR(MATCH($A9,attributeMapFeedProductType,0),0)&gt;0,1,0))</formula>
    </cfRule>
  </conditionalFormatting>
  <conditionalFormatting sqref="DS9">
    <cfRule type="expression" dxfId="0" priority="714" stopIfTrue="1">
      <formula>AND(AND((0)),1=1)</formula>
    </cfRule>
    <cfRule type="expression" dxfId="0" priority="715" stopIfTrue="1">
      <formula>AND(AND(OR(AND(OR(OR(NOT(CP9&lt;&gt;"DEFAULT"),CP9="")))),A9&lt;&gt;""))</formula>
    </cfRule>
    <cfRule type="expression" dxfId="4" priority="716" stopIfTrue="1">
      <formula>IF(LEN(DS9)&gt;0,1,0)</formula>
    </cfRule>
    <cfRule type="expression" dxfId="3" priority="717" stopIfTrue="1">
      <formula>IF(VLOOKUP($DS$3,requiredAttributePTDMap,MATCH($A9,attributeMapFeedProductType,0)+1,FALSE)&gt;0,1,0)</formula>
    </cfRule>
    <cfRule type="expression" dxfId="2" priority="718" stopIfTrue="1">
      <formula>IF(VLOOKUP($DS$3,optionalAttributePTDMap,MATCH($A9,attributeMapFeedProductType,0)+1,FALSE)&gt;0,1,0)</formula>
    </cfRule>
    <cfRule type="expression" dxfId="1" priority="719" stopIfTrue="1">
      <formula>IF(VLOOKUP($DS$3,preferredAttributePTDMap,MATCH($A9,attributeMapFeedProductType,0)+1,FALSE)&gt;0,1,0)</formula>
    </cfRule>
    <cfRule type="expression" dxfId="0" priority="720" stopIfTrue="1">
      <formula>AND(IF(IFERROR(VLOOKUP($DS$3,requiredAttributePTDMap,MATCH($A9,attributeMapFeedProductType,0)+1,FALSE),0)&gt;0,0,1),IF(IFERROR(VLOOKUP($DS$3,optionalAttributePTDMap,MATCH($A9,attributeMapFeedProductType,0)+1,FALSE),0)&gt;0,0,1),IF(IFERROR(VLOOKUP($DS$3,preferredAttributePTDMap,MATCH($A9,attributeMapFeedProductType,0)+1,FALSE),0)&gt;0,0,1),IF(IFERROR(MATCH($A9,attributeMapFeedProductType,0),0)&gt;0,1,0))</formula>
    </cfRule>
  </conditionalFormatting>
  <conditionalFormatting sqref="DT9">
    <cfRule type="expression" dxfId="0" priority="721" stopIfTrue="1">
      <formula>AND(AND((0)),1=1)</formula>
    </cfRule>
    <cfRule type="expression" dxfId="0" priority="722" stopIfTrue="1">
      <formula>AND(AND(OR(AND(OR(OR(NOT(CP9&lt;&gt;"DEFAULT"),CP9="")))),A9&lt;&gt;""))</formula>
    </cfRule>
    <cfRule type="expression" dxfId="4" priority="723" stopIfTrue="1">
      <formula>IF(LEN(DT9)&gt;0,1,0)</formula>
    </cfRule>
    <cfRule type="expression" dxfId="3" priority="724" stopIfTrue="1">
      <formula>IF(VLOOKUP($DT$3,requiredAttributePTDMap,MATCH($A9,attributeMapFeedProductType,0)+1,FALSE)&gt;0,1,0)</formula>
    </cfRule>
    <cfRule type="expression" dxfId="2" priority="725" stopIfTrue="1">
      <formula>IF(VLOOKUP($DT$3,optionalAttributePTDMap,MATCH($A9,attributeMapFeedProductType,0)+1,FALSE)&gt;0,1,0)</formula>
    </cfRule>
    <cfRule type="expression" dxfId="1" priority="726" stopIfTrue="1">
      <formula>IF(VLOOKUP($DT$3,preferredAttributePTDMap,MATCH($A9,attributeMapFeedProductType,0)+1,FALSE)&gt;0,1,0)</formula>
    </cfRule>
    <cfRule type="expression" dxfId="0" priority="727" stopIfTrue="1">
      <formula>AND(IF(IFERROR(VLOOKUP($DT$3,requiredAttributePTDMap,MATCH($A9,attributeMapFeedProductType,0)+1,FALSE),0)&gt;0,0,1),IF(IFERROR(VLOOKUP($DT$3,optionalAttributePTDMap,MATCH($A9,attributeMapFeedProductType,0)+1,FALSE),0)&gt;0,0,1),IF(IFERROR(VLOOKUP($DT$3,preferredAttributePTDMap,MATCH($A9,attributeMapFeedProductType,0)+1,FALSE),0)&gt;0,0,1),IF(IFERROR(MATCH($A9,attributeMapFeedProductType,0),0)&gt;0,1,0))</formula>
    </cfRule>
  </conditionalFormatting>
  <conditionalFormatting sqref="DU9">
    <cfRule type="expression" dxfId="0" priority="728" stopIfTrue="1">
      <formula>AND(AND((0)),1=1)</formula>
    </cfRule>
    <cfRule type="expression" dxfId="0" priority="729" stopIfTrue="1">
      <formula>AND(AND(OR(AND(OR(OR(NOT(CP9&lt;&gt;"DEFAULT"),CP9="")))),A9&lt;&gt;""))</formula>
    </cfRule>
    <cfRule type="expression" dxfId="4" priority="730" stopIfTrue="1">
      <formula>IF(LEN(DU9)&gt;0,1,0)</formula>
    </cfRule>
    <cfRule type="expression" dxfId="3" priority="731" stopIfTrue="1">
      <formula>IF(VLOOKUP($DU$3,requiredAttributePTDMap,MATCH($A9,attributeMapFeedProductType,0)+1,FALSE)&gt;0,1,0)</formula>
    </cfRule>
    <cfRule type="expression" dxfId="2" priority="732" stopIfTrue="1">
      <formula>IF(VLOOKUP($DU$3,optionalAttributePTDMap,MATCH($A9,attributeMapFeedProductType,0)+1,FALSE)&gt;0,1,0)</formula>
    </cfRule>
    <cfRule type="expression" dxfId="1" priority="733" stopIfTrue="1">
      <formula>IF(VLOOKUP($DU$3,preferredAttributePTDMap,MATCH($A9,attributeMapFeedProductType,0)+1,FALSE)&gt;0,1,0)</formula>
    </cfRule>
    <cfRule type="expression" dxfId="0" priority="734" stopIfTrue="1">
      <formula>AND(IF(IFERROR(VLOOKUP($DU$3,requiredAttributePTDMap,MATCH($A9,attributeMapFeedProductType,0)+1,FALSE),0)&gt;0,0,1),IF(IFERROR(VLOOKUP($DU$3,optionalAttributePTDMap,MATCH($A9,attributeMapFeedProductType,0)+1,FALSE),0)&gt;0,0,1),IF(IFERROR(VLOOKUP($DU$3,preferredAttributePTDMap,MATCH($A9,attributeMapFeedProductType,0)+1,FALSE),0)&gt;0,0,1),IF(IFERROR(MATCH($A9,attributeMapFeedProductType,0),0)&gt;0,1,0))</formula>
    </cfRule>
  </conditionalFormatting>
  <conditionalFormatting sqref="DV9">
    <cfRule type="expression" dxfId="0" priority="735" stopIfTrue="1">
      <formula>AND(AND((0)),1=1)</formula>
    </cfRule>
    <cfRule type="expression" dxfId="0" priority="736" stopIfTrue="1">
      <formula>AND(AND(OR(AND(OR(OR(NOT(CP9&lt;&gt;"DEFAULT"),CP9="")))),A9&lt;&gt;""))</formula>
    </cfRule>
    <cfRule type="expression" dxfId="4" priority="737" stopIfTrue="1">
      <formula>IF(LEN(DV9)&gt;0,1,0)</formula>
    </cfRule>
    <cfRule type="expression" dxfId="3" priority="738" stopIfTrue="1">
      <formula>IF(VLOOKUP($DV$3,requiredAttributePTDMap,MATCH($A9,attributeMapFeedProductType,0)+1,FALSE)&gt;0,1,0)</formula>
    </cfRule>
    <cfRule type="expression" dxfId="2" priority="739" stopIfTrue="1">
      <formula>IF(VLOOKUP($DV$3,optionalAttributePTDMap,MATCH($A9,attributeMapFeedProductType,0)+1,FALSE)&gt;0,1,0)</formula>
    </cfRule>
    <cfRule type="expression" dxfId="1" priority="740" stopIfTrue="1">
      <formula>IF(VLOOKUP($DV$3,preferredAttributePTDMap,MATCH($A9,attributeMapFeedProductType,0)+1,FALSE)&gt;0,1,0)</formula>
    </cfRule>
    <cfRule type="expression" dxfId="0" priority="741" stopIfTrue="1">
      <formula>AND(IF(IFERROR(VLOOKUP($DV$3,requiredAttributePTDMap,MATCH($A9,attributeMapFeedProductType,0)+1,FALSE),0)&gt;0,0,1),IF(IFERROR(VLOOKUP($DV$3,optionalAttributePTDMap,MATCH($A9,attributeMapFeedProductType,0)+1,FALSE),0)&gt;0,0,1),IF(IFERROR(VLOOKUP($DV$3,preferredAttributePTDMap,MATCH($A9,attributeMapFeedProductType,0)+1,FALSE),0)&gt;0,0,1),IF(IFERROR(MATCH($A9,attributeMapFeedProductType,0),0)&gt;0,1,0))</formula>
    </cfRule>
  </conditionalFormatting>
  <conditionalFormatting sqref="DW9">
    <cfRule type="expression" dxfId="0" priority="742" stopIfTrue="1">
      <formula>AND(AND((0)),1=1)</formula>
    </cfRule>
    <cfRule type="expression" dxfId="0" priority="743" stopIfTrue="1">
      <formula>AND(AND(OR(AND(AND(IF(COUNTIF(CONDITION_LIST_2,DR9)&gt;0,FALSE,TRUE)),AND(IF(COUNTIF(CONDITION_LIST_2,DS9)&gt;0,FALSE,TRUE)),AND(IF(COUNTIF(CONDITION_LIST_2,DT9)&gt;0,FALSE,TRUE)),AND(IF(COUNTIF(CONDITION_LIST_2,DU9)&gt;0,FALSE,TRUE)),AND(IF(COUNTIF(CONDITION_LIST_2,DV9)&gt;0,FALSE,TRUE)))),A9&lt;&gt;""))</formula>
    </cfRule>
    <cfRule type="expression" dxfId="4" priority="744" stopIfTrue="1">
      <formula>IF(LEN(DW9)&gt;0,1,0)</formula>
    </cfRule>
    <cfRule type="expression" dxfId="3" priority="745" stopIfTrue="1">
      <formula>IF(VLOOKUP($DW$3,requiredAttributePTDMap,MATCH($A9,attributeMapFeedProductType,0)+1,FALSE)&gt;0,1,0)</formula>
    </cfRule>
    <cfRule type="expression" dxfId="2" priority="746" stopIfTrue="1">
      <formula>IF(VLOOKUP($DW$3,optionalAttributePTDMap,MATCH($A9,attributeMapFeedProductType,0)+1,FALSE)&gt;0,1,0)</formula>
    </cfRule>
    <cfRule type="expression" dxfId="1" priority="747" stopIfTrue="1">
      <formula>IF(VLOOKUP($DW$3,preferredAttributePTDMap,MATCH($A9,attributeMapFeedProductType,0)+1,FALSE)&gt;0,1,0)</formula>
    </cfRule>
    <cfRule type="expression" dxfId="0" priority="748" stopIfTrue="1">
      <formula>AND(IF(IFERROR(VLOOKUP($DW$3,requiredAttributePTDMap,MATCH($A9,attributeMapFeedProductType,0)+1,FALSE),0)&gt;0,0,1),IF(IFERROR(VLOOKUP($DW$3,optionalAttributePTDMap,MATCH($A9,attributeMapFeedProductType,0)+1,FALSE),0)&gt;0,0,1),IF(IFERROR(VLOOKUP($DW$3,preferredAttributePTDMap,MATCH($A9,attributeMapFeedProductType,0)+1,FALSE),0)&gt;0,0,1),IF(IFERROR(MATCH($A9,attributeMapFeedProductType,0),0)&gt;0,1,0))</formula>
    </cfRule>
  </conditionalFormatting>
  <conditionalFormatting sqref="DX9">
    <cfRule type="expression" dxfId="0" priority="749" stopIfTrue="1">
      <formula>AND(AND((0)),1=1)</formula>
    </cfRule>
    <cfRule type="expression" dxfId="0" priority="750" stopIfTrue="1">
      <formula>AND(AND(OR(AND(OR(OR(NOT(DR9&lt;&gt;"GHS"),DR9="")),OR(OR(NOT(DS9&lt;&gt;"GHS"),DS9="")),OR(OR(NOT(DT9&lt;&gt;"GHS"),DT9="")),OR(OR(NOT(DU9&lt;&gt;"GHS"),DU9="")),OR(OR(NOT(DV9&lt;&gt;"GHS"),DV9="")))),A9&lt;&gt;""))</formula>
    </cfRule>
    <cfRule type="expression" dxfId="4" priority="751" stopIfTrue="1">
      <formula>IF(LEN(DX9)&gt;0,1,0)</formula>
    </cfRule>
    <cfRule type="expression" dxfId="3" priority="752" stopIfTrue="1">
      <formula>IF(VLOOKUP($DX$3,requiredAttributePTDMap,MATCH($A9,attributeMapFeedProductType,0)+1,FALSE)&gt;0,1,0)</formula>
    </cfRule>
    <cfRule type="expression" dxfId="2" priority="753" stopIfTrue="1">
      <formula>IF(VLOOKUP($DX$3,optionalAttributePTDMap,MATCH($A9,attributeMapFeedProductType,0)+1,FALSE)&gt;0,1,0)</formula>
    </cfRule>
    <cfRule type="expression" dxfId="1" priority="754" stopIfTrue="1">
      <formula>IF(VLOOKUP($DX$3,preferredAttributePTDMap,MATCH($A9,attributeMapFeedProductType,0)+1,FALSE)&gt;0,1,0)</formula>
    </cfRule>
    <cfRule type="expression" dxfId="0" priority="755" stopIfTrue="1">
      <formula>AND(IF(IFERROR(VLOOKUP($DX$3,requiredAttributePTDMap,MATCH($A9,attributeMapFeedProductType,0)+1,FALSE),0)&gt;0,0,1),IF(IFERROR(VLOOKUP($DX$3,optionalAttributePTDMap,MATCH($A9,attributeMapFeedProductType,0)+1,FALSE),0)&gt;0,0,1),IF(IFERROR(VLOOKUP($DX$3,preferredAttributePTDMap,MATCH($A9,attributeMapFeedProductType,0)+1,FALSE),0)&gt;0,0,1),IF(IFERROR(MATCH($A9,attributeMapFeedProductType,0),0)&gt;0,1,0))</formula>
    </cfRule>
  </conditionalFormatting>
  <conditionalFormatting sqref="DY9">
    <cfRule type="expression" dxfId="0" priority="756" stopIfTrue="1">
      <formula>AND(AND((0)),1=1)</formula>
    </cfRule>
    <cfRule type="expression" dxfId="0" priority="757" stopIfTrue="1">
      <formula>AND(AND(OR(AND(OR(OR(NOT(DR9&lt;&gt;"not_applicable"),DR9="")),OR(OR(NOT(DS9&lt;&gt;"not_applicable"),DS9="")),OR(OR(NOT(DT9&lt;&gt;"not_applicable"),DT9="")),OR(OR(NOT(DU9&lt;&gt;"not_applicable"),DU9="")),OR(OR(NOT(DV9&lt;&gt;"not_applicable"),DV9="")))),A9&lt;&gt;""))</formula>
    </cfRule>
    <cfRule type="expression" dxfId="4" priority="758" stopIfTrue="1">
      <formula>IF(LEN(DY9)&gt;0,1,0)</formula>
    </cfRule>
    <cfRule type="expression" dxfId="3" priority="759" stopIfTrue="1">
      <formula>IF(VLOOKUP($DY$3,requiredAttributePTDMap,MATCH($A9,attributeMapFeedProductType,0)+1,FALSE)&gt;0,1,0)</formula>
    </cfRule>
    <cfRule type="expression" dxfId="2" priority="760" stopIfTrue="1">
      <formula>IF(VLOOKUP($DY$3,optionalAttributePTDMap,MATCH($A9,attributeMapFeedProductType,0)+1,FALSE)&gt;0,1,0)</formula>
    </cfRule>
    <cfRule type="expression" dxfId="1" priority="761" stopIfTrue="1">
      <formula>IF(VLOOKUP($DY$3,preferredAttributePTDMap,MATCH($A9,attributeMapFeedProductType,0)+1,FALSE)&gt;0,1,0)</formula>
    </cfRule>
    <cfRule type="expression" dxfId="0" priority="762" stopIfTrue="1">
      <formula>AND(IF(IFERROR(VLOOKUP($DY$3,requiredAttributePTDMap,MATCH($A9,attributeMapFeedProductType,0)+1,FALSE),0)&gt;0,0,1),IF(IFERROR(VLOOKUP($DY$3,optionalAttributePTDMap,MATCH($A9,attributeMapFeedProductType,0)+1,FALSE),0)&gt;0,0,1),IF(IFERROR(VLOOKUP($DY$3,preferredAttributePTDMap,MATCH($A9,attributeMapFeedProductType,0)+1,FALSE),0)&gt;0,0,1),IF(IFERROR(MATCH($A9,attributeMapFeedProductType,0),0)&gt;0,1,0))</formula>
    </cfRule>
  </conditionalFormatting>
  <conditionalFormatting sqref="DZ9">
    <cfRule type="expression" dxfId="0" priority="763" stopIfTrue="1">
      <formula>AND(AND((0)),1=1)</formula>
    </cfRule>
    <cfRule type="expression" dxfId="0" priority="764" stopIfTrue="1">
      <formula>AND(AND(OR(AND(OR(OR(NOT(DR9&lt;&gt;"not_applicable"),DR9="")),OR(OR(NOT(DS9&lt;&gt;"not_applicable"),DS9="")),OR(OR(NOT(DT9&lt;&gt;"not_applicable"),DT9="")),OR(OR(NOT(DU9&lt;&gt;"not_applicable"),DU9="")),OR(OR(NOT(DV9&lt;&gt;"not_applicable"),DV9="")))),A9&lt;&gt;""))</formula>
    </cfRule>
    <cfRule type="expression" dxfId="4" priority="765" stopIfTrue="1">
      <formula>IF(LEN(DZ9)&gt;0,1,0)</formula>
    </cfRule>
    <cfRule type="expression" dxfId="3" priority="766" stopIfTrue="1">
      <formula>IF(VLOOKUP($DZ$3,requiredAttributePTDMap,MATCH($A9,attributeMapFeedProductType,0)+1,FALSE)&gt;0,1,0)</formula>
    </cfRule>
    <cfRule type="expression" dxfId="2" priority="767" stopIfTrue="1">
      <formula>IF(VLOOKUP($DZ$3,optionalAttributePTDMap,MATCH($A9,attributeMapFeedProductType,0)+1,FALSE)&gt;0,1,0)</formula>
    </cfRule>
    <cfRule type="expression" dxfId="1" priority="768" stopIfTrue="1">
      <formula>IF(VLOOKUP($DZ$3,preferredAttributePTDMap,MATCH($A9,attributeMapFeedProductType,0)+1,FALSE)&gt;0,1,0)</formula>
    </cfRule>
    <cfRule type="expression" dxfId="0" priority="769" stopIfTrue="1">
      <formula>AND(IF(IFERROR(VLOOKUP($DZ$3,requiredAttributePTDMap,MATCH($A9,attributeMapFeedProductType,0)+1,FALSE),0)&gt;0,0,1),IF(IFERROR(VLOOKUP($DZ$3,optionalAttributePTDMap,MATCH($A9,attributeMapFeedProductType,0)+1,FALSE),0)&gt;0,0,1),IF(IFERROR(VLOOKUP($DZ$3,preferredAttributePTDMap,MATCH($A9,attributeMapFeedProductType,0)+1,FALSE),0)&gt;0,0,1),IF(IFERROR(MATCH($A9,attributeMapFeedProductType,0),0)&gt;0,1,0))</formula>
    </cfRule>
  </conditionalFormatting>
  <conditionalFormatting sqref="EA9">
    <cfRule type="expression" dxfId="0" priority="770" stopIfTrue="1">
      <formula>AND(AND((0)),1=1)</formula>
    </cfRule>
    <cfRule type="expression" dxfId="0" priority="771" stopIfTrue="1">
      <formula>AND(AND(OR(AND(OR(OR(NOT(DR9&lt;&gt;"not_applicable"),DR9="")),OR(OR(NOT(DS9&lt;&gt;"not_applicable"),DS9="")),OR(OR(NOT(DT9&lt;&gt;"not_applicable"),DT9="")),OR(OR(NOT(DU9&lt;&gt;"not_applicable"),DU9="")),OR(OR(NOT(DV9&lt;&gt;"not_applicable"),DV9="")))),A9&lt;&gt;""))</formula>
    </cfRule>
    <cfRule type="expression" dxfId="4" priority="772" stopIfTrue="1">
      <formula>IF(LEN(EA9)&gt;0,1,0)</formula>
    </cfRule>
    <cfRule type="expression" dxfId="3" priority="773" stopIfTrue="1">
      <formula>IF(VLOOKUP($EA$3,requiredAttributePTDMap,MATCH($A9,attributeMapFeedProductType,0)+1,FALSE)&gt;0,1,0)</formula>
    </cfRule>
    <cfRule type="expression" dxfId="2" priority="774" stopIfTrue="1">
      <formula>IF(VLOOKUP($EA$3,optionalAttributePTDMap,MATCH($A9,attributeMapFeedProductType,0)+1,FALSE)&gt;0,1,0)</formula>
    </cfRule>
    <cfRule type="expression" dxfId="1" priority="775" stopIfTrue="1">
      <formula>IF(VLOOKUP($EA$3,preferredAttributePTDMap,MATCH($A9,attributeMapFeedProductType,0)+1,FALSE)&gt;0,1,0)</formula>
    </cfRule>
    <cfRule type="expression" dxfId="0" priority="776" stopIfTrue="1">
      <formula>AND(IF(IFERROR(VLOOKUP($EA$3,requiredAttributePTDMap,MATCH($A9,attributeMapFeedProductType,0)+1,FALSE),0)&gt;0,0,1),IF(IFERROR(VLOOKUP($EA$3,optionalAttributePTDMap,MATCH($A9,attributeMapFeedProductType,0)+1,FALSE),0)&gt;0,0,1),IF(IFERROR(VLOOKUP($EA$3,preferredAttributePTDMap,MATCH($A9,attributeMapFeedProductType,0)+1,FALSE),0)&gt;0,0,1),IF(IFERROR(MATCH($A9,attributeMapFeedProductType,0),0)&gt;0,1,0))</formula>
    </cfRule>
  </conditionalFormatting>
  <conditionalFormatting sqref="EB9">
    <cfRule type="expression" dxfId="0" priority="777" stopIfTrue="1">
      <formula>AND(AND((0)),1=1)</formula>
    </cfRule>
    <cfRule type="expression" dxfId="0" priority="778" stopIfTrue="1">
      <formula>AND(AND(OR(AND(OR(OR(NOT(DR9&lt;&gt;"not_applicable"),DR9="")),OR(OR(NOT(DS9&lt;&gt;"not_applicable"),DS9="")),OR(OR(NOT(DT9&lt;&gt;"not_applicable"),DT9="")),OR(OR(NOT(DU9&lt;&gt;"not_applicable"),DU9="")),OR(OR(NOT(DV9&lt;&gt;"not_applicable"),DV9="")))),A9&lt;&gt;""))</formula>
    </cfRule>
    <cfRule type="expression" dxfId="4" priority="779" stopIfTrue="1">
      <formula>IF(LEN(EB9)&gt;0,1,0)</formula>
    </cfRule>
    <cfRule type="expression" dxfId="3" priority="780" stopIfTrue="1">
      <formula>IF(VLOOKUP($EB$3,requiredAttributePTDMap,MATCH($A9,attributeMapFeedProductType,0)+1,FALSE)&gt;0,1,0)</formula>
    </cfRule>
    <cfRule type="expression" dxfId="2" priority="781" stopIfTrue="1">
      <formula>IF(VLOOKUP($EB$3,optionalAttributePTDMap,MATCH($A9,attributeMapFeedProductType,0)+1,FALSE)&gt;0,1,0)</formula>
    </cfRule>
    <cfRule type="expression" dxfId="1" priority="782" stopIfTrue="1">
      <formula>IF(VLOOKUP($EB$3,preferredAttributePTDMap,MATCH($A9,attributeMapFeedProductType,0)+1,FALSE)&gt;0,1,0)</formula>
    </cfRule>
    <cfRule type="expression" dxfId="0" priority="783" stopIfTrue="1">
      <formula>AND(IF(IFERROR(VLOOKUP($EB$3,requiredAttributePTDMap,MATCH($A9,attributeMapFeedProductType,0)+1,FALSE),0)&gt;0,0,1),IF(IFERROR(VLOOKUP($EB$3,optionalAttributePTDMap,MATCH($A9,attributeMapFeedProductType,0)+1,FALSE),0)&gt;0,0,1),IF(IFERROR(VLOOKUP($EB$3,preferredAttributePTDMap,MATCH($A9,attributeMapFeedProductType,0)+1,FALSE),0)&gt;0,0,1),IF(IFERROR(MATCH($A9,attributeMapFeedProductType,0),0)&gt;0,1,0))</formula>
    </cfRule>
  </conditionalFormatting>
  <conditionalFormatting sqref="EC9">
    <cfRule type="expression" dxfId="4" priority="784" stopIfTrue="1">
      <formula>IF(LEN(EC9)&gt;0,1,0)</formula>
    </cfRule>
    <cfRule type="expression" dxfId="3" priority="785" stopIfTrue="1">
      <formula>IF(VLOOKUP($EC$3,requiredAttributePTDMap,MATCH($A9,attributeMapFeedProductType,0)+1,FALSE)&gt;0,1,0)</formula>
    </cfRule>
    <cfRule type="expression" dxfId="2" priority="786" stopIfTrue="1">
      <formula>IF(VLOOKUP($EC$3,optionalAttributePTDMap,MATCH($A9,attributeMapFeedProductType,0)+1,FALSE)&gt;0,1,0)</formula>
    </cfRule>
    <cfRule type="expression" dxfId="1" priority="787" stopIfTrue="1">
      <formula>IF(VLOOKUP($EC$3,preferredAttributePTDMap,MATCH($A9,attributeMapFeedProductType,0)+1,FALSE)&gt;0,1,0)</formula>
    </cfRule>
    <cfRule type="expression" dxfId="0" priority="788" stopIfTrue="1">
      <formula>AND(IF(IFERROR(VLOOKUP($EC$3,requiredAttributePTDMap,MATCH($A9,attributeMapFeedProductType,0)+1,FALSE),0)&gt;0,0,1),IF(IFERROR(VLOOKUP($EC$3,optionalAttributePTDMap,MATCH($A9,attributeMapFeedProductType,0)+1,FALSE),0)&gt;0,0,1),IF(IFERROR(VLOOKUP($EC$3,preferredAttributePTDMap,MATCH($A9,attributeMapFeedProductType,0)+1,FALSE),0)&gt;0,0,1),IF(IFERROR(MATCH($A9,attributeMapFeedProductType,0),0)&gt;0,1,0))</formula>
    </cfRule>
  </conditionalFormatting>
  <conditionalFormatting sqref="EE9">
    <cfRule type="expression" dxfId="4" priority="789" stopIfTrue="1">
      <formula>IF(LEN(EE9)&gt;0,1,0)</formula>
    </cfRule>
    <cfRule type="expression" dxfId="3" priority="790" stopIfTrue="1">
      <formula>IF(VLOOKUP($EE$3,requiredAttributePTDMap,MATCH($A9,attributeMapFeedProductType,0)+1,FALSE)&gt;0,1,0)</formula>
    </cfRule>
    <cfRule type="expression" dxfId="2" priority="791" stopIfTrue="1">
      <formula>IF(VLOOKUP($EE$3,optionalAttributePTDMap,MATCH($A9,attributeMapFeedProductType,0)+1,FALSE)&gt;0,1,0)</formula>
    </cfRule>
    <cfRule type="expression" dxfId="1" priority="792" stopIfTrue="1">
      <formula>IF(VLOOKUP($EE$3,preferredAttributePTDMap,MATCH($A9,attributeMapFeedProductType,0)+1,FALSE)&gt;0,1,0)</formula>
    </cfRule>
    <cfRule type="expression" dxfId="0" priority="793" stopIfTrue="1">
      <formula>AND(IF(IFERROR(VLOOKUP($EE$3,requiredAttributePTDMap,MATCH($A9,attributeMapFeedProductType,0)+1,FALSE),0)&gt;0,0,1),IF(IFERROR(VLOOKUP($EE$3,optionalAttributePTDMap,MATCH($A9,attributeMapFeedProductType,0)+1,FALSE),0)&gt;0,0,1),IF(IFERROR(VLOOKUP($EE$3,preferredAttributePTDMap,MATCH($A9,attributeMapFeedProductType,0)+1,FALSE),0)&gt;0,0,1),IF(IFERROR(MATCH($A9,attributeMapFeedProductType,0),0)&gt;0,1,0))</formula>
    </cfRule>
  </conditionalFormatting>
  <conditionalFormatting sqref="EF9">
    <cfRule type="expression" dxfId="4" priority="794" stopIfTrue="1">
      <formula>IF(LEN(EF9)&gt;0,1,0)</formula>
    </cfRule>
    <cfRule type="expression" dxfId="3" priority="795" stopIfTrue="1">
      <formula>IF(VLOOKUP($EF$3,requiredAttributePTDMap,MATCH($A9,attributeMapFeedProductType,0)+1,FALSE)&gt;0,1,0)</formula>
    </cfRule>
    <cfRule type="expression" dxfId="2" priority="796" stopIfTrue="1">
      <formula>IF(VLOOKUP($EF$3,optionalAttributePTDMap,MATCH($A9,attributeMapFeedProductType,0)+1,FALSE)&gt;0,1,0)</formula>
    </cfRule>
    <cfRule type="expression" dxfId="1" priority="797" stopIfTrue="1">
      <formula>IF(VLOOKUP($EF$3,preferredAttributePTDMap,MATCH($A9,attributeMapFeedProductType,0)+1,FALSE)&gt;0,1,0)</formula>
    </cfRule>
    <cfRule type="expression" dxfId="0" priority="798" stopIfTrue="1">
      <formula>AND(IF(IFERROR(VLOOKUP($EF$3,requiredAttributePTDMap,MATCH($A9,attributeMapFeedProductType,0)+1,FALSE),0)&gt;0,0,1),IF(IFERROR(VLOOKUP($EF$3,optionalAttributePTDMap,MATCH($A9,attributeMapFeedProductType,0)+1,FALSE),0)&gt;0,0,1),IF(IFERROR(VLOOKUP($EF$3,preferredAttributePTDMap,MATCH($A9,attributeMapFeedProductType,0)+1,FALSE),0)&gt;0,0,1),IF(IFERROR(MATCH($A9,attributeMapFeedProductType,0),0)&gt;0,1,0))</formula>
    </cfRule>
  </conditionalFormatting>
  <conditionalFormatting sqref="EG9">
    <cfRule type="expression" dxfId="4" priority="799" stopIfTrue="1">
      <formula>IF(LEN(EG9)&gt;0,1,0)</formula>
    </cfRule>
    <cfRule type="expression" dxfId="3" priority="800" stopIfTrue="1">
      <formula>IF(VLOOKUP($EG$3,requiredAttributePTDMap,MATCH($A9,attributeMapFeedProductType,0)+1,FALSE)&gt;0,1,0)</formula>
    </cfRule>
    <cfRule type="expression" dxfId="2" priority="801" stopIfTrue="1">
      <formula>IF(VLOOKUP($EG$3,optionalAttributePTDMap,MATCH($A9,attributeMapFeedProductType,0)+1,FALSE)&gt;0,1,0)</formula>
    </cfRule>
    <cfRule type="expression" dxfId="1" priority="802" stopIfTrue="1">
      <formula>IF(VLOOKUP($EG$3,preferredAttributePTDMap,MATCH($A9,attributeMapFeedProductType,0)+1,FALSE)&gt;0,1,0)</formula>
    </cfRule>
    <cfRule type="expression" dxfId="0" priority="803" stopIfTrue="1">
      <formula>AND(IF(IFERROR(VLOOKUP($EG$3,requiredAttributePTDMap,MATCH($A9,attributeMapFeedProductType,0)+1,FALSE),0)&gt;0,0,1),IF(IFERROR(VLOOKUP($EG$3,optionalAttributePTDMap,MATCH($A9,attributeMapFeedProductType,0)+1,FALSE),0)&gt;0,0,1),IF(IFERROR(VLOOKUP($EG$3,preferredAttributePTDMap,MATCH($A9,attributeMapFeedProductType,0)+1,FALSE),0)&gt;0,0,1),IF(IFERROR(MATCH($A9,attributeMapFeedProductType,0),0)&gt;0,1,0))</formula>
    </cfRule>
  </conditionalFormatting>
  <conditionalFormatting sqref="EH9">
    <cfRule type="expression" dxfId="4" priority="804" stopIfTrue="1">
      <formula>IF(LEN(EH9)&gt;0,1,0)</formula>
    </cfRule>
    <cfRule type="expression" dxfId="3" priority="805" stopIfTrue="1">
      <formula>IF(VLOOKUP($EH$3,requiredAttributePTDMap,MATCH($A9,attributeMapFeedProductType,0)+1,FALSE)&gt;0,1,0)</formula>
    </cfRule>
    <cfRule type="expression" dxfId="2" priority="806" stopIfTrue="1">
      <formula>IF(VLOOKUP($EH$3,optionalAttributePTDMap,MATCH($A9,attributeMapFeedProductType,0)+1,FALSE)&gt;0,1,0)</formula>
    </cfRule>
    <cfRule type="expression" dxfId="1" priority="807" stopIfTrue="1">
      <formula>IF(VLOOKUP($EH$3,preferredAttributePTDMap,MATCH($A9,attributeMapFeedProductType,0)+1,FALSE)&gt;0,1,0)</formula>
    </cfRule>
    <cfRule type="expression" dxfId="0" priority="808" stopIfTrue="1">
      <formula>AND(IF(IFERROR(VLOOKUP($EH$3,requiredAttributePTDMap,MATCH($A9,attributeMapFeedProductType,0)+1,FALSE),0)&gt;0,0,1),IF(IFERROR(VLOOKUP($EH$3,optionalAttributePTDMap,MATCH($A9,attributeMapFeedProductType,0)+1,FALSE),0)&gt;0,0,1),IF(IFERROR(VLOOKUP($EH$3,preferredAttributePTDMap,MATCH($A9,attributeMapFeedProductType,0)+1,FALSE),0)&gt;0,0,1),IF(IFERROR(MATCH($A9,attributeMapFeedProductType,0),0)&gt;0,1,0))</formula>
    </cfRule>
  </conditionalFormatting>
  <conditionalFormatting sqref="EI9">
    <cfRule type="expression" dxfId="4" priority="809" stopIfTrue="1">
      <formula>IF(LEN(EI9)&gt;0,1,0)</formula>
    </cfRule>
    <cfRule type="expression" dxfId="3" priority="810" stopIfTrue="1">
      <formula>IF(VLOOKUP($EI$3,requiredAttributePTDMap,MATCH($A9,attributeMapFeedProductType,0)+1,FALSE)&gt;0,1,0)</formula>
    </cfRule>
    <cfRule type="expression" dxfId="2" priority="811" stopIfTrue="1">
      <formula>IF(VLOOKUP($EI$3,optionalAttributePTDMap,MATCH($A9,attributeMapFeedProductType,0)+1,FALSE)&gt;0,1,0)</formula>
    </cfRule>
    <cfRule type="expression" dxfId="1" priority="812" stopIfTrue="1">
      <formula>IF(VLOOKUP($EI$3,preferredAttributePTDMap,MATCH($A9,attributeMapFeedProductType,0)+1,FALSE)&gt;0,1,0)</formula>
    </cfRule>
    <cfRule type="expression" dxfId="0" priority="813" stopIfTrue="1">
      <formula>AND(IF(IFERROR(VLOOKUP($EI$3,requiredAttributePTDMap,MATCH($A9,attributeMapFeedProductType,0)+1,FALSE),0)&gt;0,0,1),IF(IFERROR(VLOOKUP($EI$3,optionalAttributePTDMap,MATCH($A9,attributeMapFeedProductType,0)+1,FALSE),0)&gt;0,0,1),IF(IFERROR(VLOOKUP($EI$3,preferredAttributePTDMap,MATCH($A9,attributeMapFeedProductType,0)+1,FALSE),0)&gt;0,0,1),IF(IFERROR(MATCH($A9,attributeMapFeedProductType,0),0)&gt;0,1,0))</formula>
    </cfRule>
  </conditionalFormatting>
  <conditionalFormatting sqref="EJ9">
    <cfRule type="expression" dxfId="4" priority="814" stopIfTrue="1">
      <formula>IF(LEN(EJ9)&gt;0,1,0)</formula>
    </cfRule>
    <cfRule type="expression" dxfId="3" priority="815" stopIfTrue="1">
      <formula>IF(VLOOKUP($EJ$3,requiredAttributePTDMap,MATCH($A9,attributeMapFeedProductType,0)+1,FALSE)&gt;0,1,0)</formula>
    </cfRule>
    <cfRule type="expression" dxfId="2" priority="816" stopIfTrue="1">
      <formula>IF(VLOOKUP($EJ$3,optionalAttributePTDMap,MATCH($A9,attributeMapFeedProductType,0)+1,FALSE)&gt;0,1,0)</formula>
    </cfRule>
    <cfRule type="expression" dxfId="1" priority="817" stopIfTrue="1">
      <formula>IF(VLOOKUP($EJ$3,preferredAttributePTDMap,MATCH($A9,attributeMapFeedProductType,0)+1,FALSE)&gt;0,1,0)</formula>
    </cfRule>
    <cfRule type="expression" dxfId="0" priority="818" stopIfTrue="1">
      <formula>AND(IF(IFERROR(VLOOKUP($EJ$3,requiredAttributePTDMap,MATCH($A9,attributeMapFeedProductType,0)+1,FALSE),0)&gt;0,0,1),IF(IFERROR(VLOOKUP($EJ$3,optionalAttributePTDMap,MATCH($A9,attributeMapFeedProductType,0)+1,FALSE),0)&gt;0,0,1),IF(IFERROR(VLOOKUP($EJ$3,preferredAttributePTDMap,MATCH($A9,attributeMapFeedProductType,0)+1,FALSE),0)&gt;0,0,1),IF(IFERROR(MATCH($A9,attributeMapFeedProductType,0),0)&gt;0,1,0))</formula>
    </cfRule>
  </conditionalFormatting>
  <conditionalFormatting sqref="EK9">
    <cfRule type="expression" dxfId="0" priority="819" stopIfTrue="1">
      <formula>AND(AND((0)),1=1)</formula>
    </cfRule>
    <cfRule type="expression" dxfId="0" priority="820" stopIfTrue="1">
      <formula>AND(AND(OR(AND(AND(IF(COUNTIF(CONDITION_LIST_3,DR9)&gt;0,FALSE,TRUE)),AND(IF(COUNTIF(CONDITION_LIST_3,DS9)&gt;0,FALSE,TRUE)),AND(IF(COUNTIF(CONDITION_LIST_3,DT9)&gt;0,FALSE,TRUE)),AND(IF(COUNTIF(CONDITION_LIST_3,DU9)&gt;0,FALSE,TRUE)),AND(IF(COUNTIF(CONDITION_LIST_3,DV9)&gt;0,FALSE,TRUE)))),A9&lt;&gt;""))</formula>
    </cfRule>
    <cfRule type="expression" dxfId="4" priority="821" stopIfTrue="1">
      <formula>IF(LEN(EK9)&gt;0,1,0)</formula>
    </cfRule>
    <cfRule type="expression" dxfId="3" priority="822" stopIfTrue="1">
      <formula>IF(VLOOKUP($EK$3,requiredAttributePTDMap,MATCH($A9,attributeMapFeedProductType,0)+1,FALSE)&gt;0,1,0)</formula>
    </cfRule>
    <cfRule type="expression" dxfId="2" priority="823" stopIfTrue="1">
      <formula>IF(VLOOKUP($EK$3,optionalAttributePTDMap,MATCH($A9,attributeMapFeedProductType,0)+1,FALSE)&gt;0,1,0)</formula>
    </cfRule>
    <cfRule type="expression" dxfId="1" priority="824" stopIfTrue="1">
      <formula>IF(VLOOKUP($EK$3,preferredAttributePTDMap,MATCH($A9,attributeMapFeedProductType,0)+1,FALSE)&gt;0,1,0)</formula>
    </cfRule>
    <cfRule type="expression" dxfId="0" priority="825" stopIfTrue="1">
      <formula>AND(IF(IFERROR(VLOOKUP($EK$3,requiredAttributePTDMap,MATCH($A9,attributeMapFeedProductType,0)+1,FALSE),0)&gt;0,0,1),IF(IFERROR(VLOOKUP($EK$3,optionalAttributePTDMap,MATCH($A9,attributeMapFeedProductType,0)+1,FALSE),0)&gt;0,0,1),IF(IFERROR(VLOOKUP($EK$3,preferredAttributePTDMap,MATCH($A9,attributeMapFeedProductType,0)+1,FALSE),0)&gt;0,0,1),IF(IFERROR(MATCH($A9,attributeMapFeedProductType,0),0)&gt;0,1,0))</formula>
    </cfRule>
  </conditionalFormatting>
  <conditionalFormatting sqref="EL9">
    <cfRule type="expression" dxfId="0" priority="826" stopIfTrue="1">
      <formula>AND(AND((0)),1=1)</formula>
    </cfRule>
    <cfRule type="expression" dxfId="0" priority="827" stopIfTrue="1">
      <formula>AND(AND(OR(AND(AND(IF(COUNTIF(CONDITION_LIST_3,DR9)&gt;0,FALSE,TRUE)),AND(IF(COUNTIF(CONDITION_LIST_3,DS9)&gt;0,FALSE,TRUE)),AND(IF(COUNTIF(CONDITION_LIST_3,DT9)&gt;0,FALSE,TRUE)),AND(IF(COUNTIF(CONDITION_LIST_3,DU9)&gt;0,FALSE,TRUE)),AND(IF(COUNTIF(CONDITION_LIST_3,DV9)&gt;0,FALSE,TRUE)))),A9&lt;&gt;""))</formula>
    </cfRule>
    <cfRule type="expression" dxfId="4" priority="828" stopIfTrue="1">
      <formula>IF(LEN(EL9)&gt;0,1,0)</formula>
    </cfRule>
    <cfRule type="expression" dxfId="3" priority="829" stopIfTrue="1">
      <formula>IF(VLOOKUP($EL$3,requiredAttributePTDMap,MATCH($A9,attributeMapFeedProductType,0)+1,FALSE)&gt;0,1,0)</formula>
    </cfRule>
    <cfRule type="expression" dxfId="2" priority="830" stopIfTrue="1">
      <formula>IF(VLOOKUP($EL$3,optionalAttributePTDMap,MATCH($A9,attributeMapFeedProductType,0)+1,FALSE)&gt;0,1,0)</formula>
    </cfRule>
    <cfRule type="expression" dxfId="1" priority="831" stopIfTrue="1">
      <formula>IF(VLOOKUP($EL$3,preferredAttributePTDMap,MATCH($A9,attributeMapFeedProductType,0)+1,FALSE)&gt;0,1,0)</formula>
    </cfRule>
    <cfRule type="expression" dxfId="0" priority="832" stopIfTrue="1">
      <formula>AND(IF(IFERROR(VLOOKUP($EL$3,requiredAttributePTDMap,MATCH($A9,attributeMapFeedProductType,0)+1,FALSE),0)&gt;0,0,1),IF(IFERROR(VLOOKUP($EL$3,optionalAttributePTDMap,MATCH($A9,attributeMapFeedProductType,0)+1,FALSE),0)&gt;0,0,1),IF(IFERROR(VLOOKUP($EL$3,preferredAttributePTDMap,MATCH($A9,attributeMapFeedProductType,0)+1,FALSE),0)&gt;0,0,1),IF(IFERROR(MATCH($A9,attributeMapFeedProductType,0),0)&gt;0,1,0))</formula>
    </cfRule>
  </conditionalFormatting>
  <conditionalFormatting sqref="EM9">
    <cfRule type="expression" dxfId="0" priority="833" stopIfTrue="1">
      <formula>AND(AND((0)),1=1)</formula>
    </cfRule>
    <cfRule type="expression" dxfId="0" priority="834" stopIfTrue="1">
      <formula>AND(AND(OR(AND(AND(IF(COUNTIF(CONDITION_LIST_3,DR9)&gt;0,FALSE,TRUE)),AND(IF(COUNTIF(CONDITION_LIST_3,DS9)&gt;0,FALSE,TRUE)),AND(IF(COUNTIF(CONDITION_LIST_3,DT9)&gt;0,FALSE,TRUE)),AND(IF(COUNTIF(CONDITION_LIST_3,DU9)&gt;0,FALSE,TRUE)),AND(IF(COUNTIF(CONDITION_LIST_3,DV9)&gt;0,FALSE,TRUE)))),A9&lt;&gt;""))</formula>
    </cfRule>
    <cfRule type="expression" dxfId="4" priority="835" stopIfTrue="1">
      <formula>IF(LEN(EM9)&gt;0,1,0)</formula>
    </cfRule>
    <cfRule type="expression" dxfId="3" priority="836" stopIfTrue="1">
      <formula>IF(VLOOKUP($EM$3,requiredAttributePTDMap,MATCH($A9,attributeMapFeedProductType,0)+1,FALSE)&gt;0,1,0)</formula>
    </cfRule>
    <cfRule type="expression" dxfId="2" priority="837" stopIfTrue="1">
      <formula>IF(VLOOKUP($EM$3,optionalAttributePTDMap,MATCH($A9,attributeMapFeedProductType,0)+1,FALSE)&gt;0,1,0)</formula>
    </cfRule>
    <cfRule type="expression" dxfId="1" priority="838" stopIfTrue="1">
      <formula>IF(VLOOKUP($EM$3,preferredAttributePTDMap,MATCH($A9,attributeMapFeedProductType,0)+1,FALSE)&gt;0,1,0)</formula>
    </cfRule>
    <cfRule type="expression" dxfId="0" priority="839" stopIfTrue="1">
      <formula>AND(IF(IFERROR(VLOOKUP($EM$3,requiredAttributePTDMap,MATCH($A9,attributeMapFeedProductType,0)+1,FALSE),0)&gt;0,0,1),IF(IFERROR(VLOOKUP($EM$3,optionalAttributePTDMap,MATCH($A9,attributeMapFeedProductType,0)+1,FALSE),0)&gt;0,0,1),IF(IFERROR(VLOOKUP($EM$3,preferredAttributePTDMap,MATCH($A9,attributeMapFeedProductType,0)+1,FALSE),0)&gt;0,0,1),IF(IFERROR(MATCH($A9,attributeMapFeedProductType,0),0)&gt;0,1,0))</formula>
    </cfRule>
  </conditionalFormatting>
  <conditionalFormatting sqref="EN9">
    <cfRule type="expression" dxfId="4" priority="840" stopIfTrue="1">
      <formula>IF(LEN(EN9)&gt;0,1,0)</formula>
    </cfRule>
    <cfRule type="expression" dxfId="3" priority="841" stopIfTrue="1">
      <formula>IF(VLOOKUP($EN$3,requiredAttributePTDMap,MATCH($A9,attributeMapFeedProductType,0)+1,FALSE)&gt;0,1,0)</formula>
    </cfRule>
    <cfRule type="expression" dxfId="2" priority="842" stopIfTrue="1">
      <formula>IF(VLOOKUP($EN$3,optionalAttributePTDMap,MATCH($A9,attributeMapFeedProductType,0)+1,FALSE)&gt;0,1,0)</formula>
    </cfRule>
    <cfRule type="expression" dxfId="1" priority="843" stopIfTrue="1">
      <formula>IF(VLOOKUP($EN$3,preferredAttributePTDMap,MATCH($A9,attributeMapFeedProductType,0)+1,FALSE)&gt;0,1,0)</formula>
    </cfRule>
    <cfRule type="expression" dxfId="0" priority="844" stopIfTrue="1">
      <formula>AND(IF(IFERROR(VLOOKUP($EN$3,requiredAttributePTDMap,MATCH($A9,attributeMapFeedProductType,0)+1,FALSE),0)&gt;0,0,1),IF(IFERROR(VLOOKUP($EN$3,optionalAttributePTDMap,MATCH($A9,attributeMapFeedProductType,0)+1,FALSE),0)&gt;0,0,1),IF(IFERROR(VLOOKUP($EN$3,preferredAttributePTDMap,MATCH($A9,attributeMapFeedProductType,0)+1,FALSE),0)&gt;0,0,1),IF(IFERROR(MATCH($A9,attributeMapFeedProductType,0),0)&gt;0,1,0))</formula>
    </cfRule>
  </conditionalFormatting>
  <conditionalFormatting sqref="EO9">
    <cfRule type="expression" dxfId="4" priority="845" stopIfTrue="1">
      <formula>IF(LEN(EO9)&gt;0,1,0)</formula>
    </cfRule>
    <cfRule type="expression" dxfId="3" priority="846" stopIfTrue="1">
      <formula>IF(VLOOKUP($EO$3,requiredAttributePTDMap,MATCH($A9,attributeMapFeedProductType,0)+1,FALSE)&gt;0,1,0)</formula>
    </cfRule>
    <cfRule type="expression" dxfId="2" priority="847" stopIfTrue="1">
      <formula>IF(VLOOKUP($EO$3,optionalAttributePTDMap,MATCH($A9,attributeMapFeedProductType,0)+1,FALSE)&gt;0,1,0)</formula>
    </cfRule>
    <cfRule type="expression" dxfId="1" priority="848" stopIfTrue="1">
      <formula>IF(VLOOKUP($EO$3,preferredAttributePTDMap,MATCH($A9,attributeMapFeedProductType,0)+1,FALSE)&gt;0,1,0)</formula>
    </cfRule>
    <cfRule type="expression" dxfId="0" priority="849" stopIfTrue="1">
      <formula>AND(IF(IFERROR(VLOOKUP($EO$3,requiredAttributePTDMap,MATCH($A9,attributeMapFeedProductType,0)+1,FALSE),0)&gt;0,0,1),IF(IFERROR(VLOOKUP($EO$3,optionalAttributePTDMap,MATCH($A9,attributeMapFeedProductType,0)+1,FALSE),0)&gt;0,0,1),IF(IFERROR(VLOOKUP($EO$3,preferredAttributePTDMap,MATCH($A9,attributeMapFeedProductType,0)+1,FALSE),0)&gt;0,0,1),IF(IFERROR(MATCH($A9,attributeMapFeedProductType,0),0)&gt;0,1,0))</formula>
    </cfRule>
  </conditionalFormatting>
  <conditionalFormatting sqref="ES9">
    <cfRule type="expression" dxfId="4" priority="865" stopIfTrue="1">
      <formula>IF(LEN(ES9)&gt;0,1,0)</formula>
    </cfRule>
    <cfRule type="expression" dxfId="3" priority="866" stopIfTrue="1">
      <formula>IF(VLOOKUP($ES$3,requiredAttributePTDMap,MATCH($A9,attributeMapFeedProductType,0)+1,FALSE)&gt;0,1,0)</formula>
    </cfRule>
    <cfRule type="expression" dxfId="2" priority="867" stopIfTrue="1">
      <formula>IF(VLOOKUP($ES$3,optionalAttributePTDMap,MATCH($A9,attributeMapFeedProductType,0)+1,FALSE)&gt;0,1,0)</formula>
    </cfRule>
    <cfRule type="expression" dxfId="1" priority="868" stopIfTrue="1">
      <formula>IF(VLOOKUP($ES$3,preferredAttributePTDMap,MATCH($A9,attributeMapFeedProductType,0)+1,FALSE)&gt;0,1,0)</formula>
    </cfRule>
    <cfRule type="expression" dxfId="0" priority="869" stopIfTrue="1">
      <formula>AND(IF(IFERROR(VLOOKUP($ES$3,requiredAttributePTDMap,MATCH($A9,attributeMapFeedProductType,0)+1,FALSE),0)&gt;0,0,1),IF(IFERROR(VLOOKUP($ES$3,optionalAttributePTDMap,MATCH($A9,attributeMapFeedProductType,0)+1,FALSE),0)&gt;0,0,1),IF(IFERROR(VLOOKUP($ES$3,preferredAttributePTDMap,MATCH($A9,attributeMapFeedProductType,0)+1,FALSE),0)&gt;0,0,1),IF(IFERROR(MATCH($A9,attributeMapFeedProductType,0),0)&gt;0,1,0))</formula>
    </cfRule>
  </conditionalFormatting>
  <conditionalFormatting sqref="ET9">
    <cfRule type="expression" dxfId="4" priority="870" stopIfTrue="1">
      <formula>IF(LEN(ET9)&gt;0,1,0)</formula>
    </cfRule>
    <cfRule type="expression" dxfId="3" priority="871" stopIfTrue="1">
      <formula>IF(VLOOKUP($ET$3,requiredAttributePTDMap,MATCH($A9,attributeMapFeedProductType,0)+1,FALSE)&gt;0,1,0)</formula>
    </cfRule>
    <cfRule type="expression" dxfId="2" priority="872" stopIfTrue="1">
      <formula>IF(VLOOKUP($ET$3,optionalAttributePTDMap,MATCH($A9,attributeMapFeedProductType,0)+1,FALSE)&gt;0,1,0)</formula>
    </cfRule>
    <cfRule type="expression" dxfId="1" priority="873" stopIfTrue="1">
      <formula>IF(VLOOKUP($ET$3,preferredAttributePTDMap,MATCH($A9,attributeMapFeedProductType,0)+1,FALSE)&gt;0,1,0)</formula>
    </cfRule>
    <cfRule type="expression" dxfId="0" priority="874" stopIfTrue="1">
      <formula>AND(IF(IFERROR(VLOOKUP($ET$3,requiredAttributePTDMap,MATCH($A9,attributeMapFeedProductType,0)+1,FALSE),0)&gt;0,0,1),IF(IFERROR(VLOOKUP($ET$3,optionalAttributePTDMap,MATCH($A9,attributeMapFeedProductType,0)+1,FALSE),0)&gt;0,0,1),IF(IFERROR(VLOOKUP($ET$3,preferredAttributePTDMap,MATCH($A9,attributeMapFeedProductType,0)+1,FALSE),0)&gt;0,0,1),IF(IFERROR(MATCH($A9,attributeMapFeedProductType,0),0)&gt;0,1,0))</formula>
    </cfRule>
  </conditionalFormatting>
  <conditionalFormatting sqref="EU9">
    <cfRule type="expression" dxfId="4" priority="875" stopIfTrue="1">
      <formula>IF(LEN(EU9)&gt;0,1,0)</formula>
    </cfRule>
    <cfRule type="expression" dxfId="3" priority="876" stopIfTrue="1">
      <formula>IF(VLOOKUP($EU$3,requiredAttributePTDMap,MATCH($A9,attributeMapFeedProductType,0)+1,FALSE)&gt;0,1,0)</formula>
    </cfRule>
    <cfRule type="expression" dxfId="2" priority="877" stopIfTrue="1">
      <formula>IF(VLOOKUP($EU$3,optionalAttributePTDMap,MATCH($A9,attributeMapFeedProductType,0)+1,FALSE)&gt;0,1,0)</formula>
    </cfRule>
    <cfRule type="expression" dxfId="1" priority="878" stopIfTrue="1">
      <formula>IF(VLOOKUP($EU$3,preferredAttributePTDMap,MATCH($A9,attributeMapFeedProductType,0)+1,FALSE)&gt;0,1,0)</formula>
    </cfRule>
    <cfRule type="expression" dxfId="0" priority="879" stopIfTrue="1">
      <formula>AND(IF(IFERROR(VLOOKUP($EU$3,requiredAttributePTDMap,MATCH($A9,attributeMapFeedProductType,0)+1,FALSE),0)&gt;0,0,1),IF(IFERROR(VLOOKUP($EU$3,optionalAttributePTDMap,MATCH($A9,attributeMapFeedProductType,0)+1,FALSE),0)&gt;0,0,1),IF(IFERROR(VLOOKUP($EU$3,preferredAttributePTDMap,MATCH($A9,attributeMapFeedProductType,0)+1,FALSE),0)&gt;0,0,1),IF(IFERROR(MATCH($A9,attributeMapFeedProductType,0),0)&gt;0,1,0))</formula>
    </cfRule>
  </conditionalFormatting>
  <conditionalFormatting sqref="EV9">
    <cfRule type="expression" dxfId="4" priority="880" stopIfTrue="1">
      <formula>IF(LEN(EV9)&gt;0,1,0)</formula>
    </cfRule>
    <cfRule type="expression" dxfId="3" priority="881" stopIfTrue="1">
      <formula>IF(VLOOKUP($EV$3,requiredAttributePTDMap,MATCH($A9,attributeMapFeedProductType,0)+1,FALSE)&gt;0,1,0)</formula>
    </cfRule>
    <cfRule type="expression" dxfId="2" priority="882" stopIfTrue="1">
      <formula>IF(VLOOKUP($EV$3,optionalAttributePTDMap,MATCH($A9,attributeMapFeedProductType,0)+1,FALSE)&gt;0,1,0)</formula>
    </cfRule>
    <cfRule type="expression" dxfId="1" priority="883" stopIfTrue="1">
      <formula>IF(VLOOKUP($EV$3,preferredAttributePTDMap,MATCH($A9,attributeMapFeedProductType,0)+1,FALSE)&gt;0,1,0)</formula>
    </cfRule>
    <cfRule type="expression" dxfId="0" priority="884" stopIfTrue="1">
      <formula>AND(IF(IFERROR(VLOOKUP($EV$3,requiredAttributePTDMap,MATCH($A9,attributeMapFeedProductType,0)+1,FALSE),0)&gt;0,0,1),IF(IFERROR(VLOOKUP($EV$3,optionalAttributePTDMap,MATCH($A9,attributeMapFeedProductType,0)+1,FALSE),0)&gt;0,0,1),IF(IFERROR(VLOOKUP($EV$3,preferredAttributePTDMap,MATCH($A9,attributeMapFeedProductType,0)+1,FALSE),0)&gt;0,0,1),IF(IFERROR(MATCH($A9,attributeMapFeedProductType,0),0)&gt;0,1,0))</formula>
    </cfRule>
  </conditionalFormatting>
  <conditionalFormatting sqref="EW9">
    <cfRule type="expression" dxfId="4" priority="885" stopIfTrue="1">
      <formula>IF(LEN(EW9)&gt;0,1,0)</formula>
    </cfRule>
    <cfRule type="expression" dxfId="3" priority="886" stopIfTrue="1">
      <formula>IF(VLOOKUP($EW$3,requiredAttributePTDMap,MATCH($A9,attributeMapFeedProductType,0)+1,FALSE)&gt;0,1,0)</formula>
    </cfRule>
    <cfRule type="expression" dxfId="2" priority="887" stopIfTrue="1">
      <formula>IF(VLOOKUP($EW$3,optionalAttributePTDMap,MATCH($A9,attributeMapFeedProductType,0)+1,FALSE)&gt;0,1,0)</formula>
    </cfRule>
    <cfRule type="expression" dxfId="1" priority="888" stopIfTrue="1">
      <formula>IF(VLOOKUP($EW$3,preferredAttributePTDMap,MATCH($A9,attributeMapFeedProductType,0)+1,FALSE)&gt;0,1,0)</formula>
    </cfRule>
    <cfRule type="expression" dxfId="0" priority="889" stopIfTrue="1">
      <formula>AND(IF(IFERROR(VLOOKUP($EW$3,requiredAttributePTDMap,MATCH($A9,attributeMapFeedProductType,0)+1,FALSE),0)&gt;0,0,1),IF(IFERROR(VLOOKUP($EW$3,optionalAttributePTDMap,MATCH($A9,attributeMapFeedProductType,0)+1,FALSE),0)&gt;0,0,1),IF(IFERROR(VLOOKUP($EW$3,preferredAttributePTDMap,MATCH($A9,attributeMapFeedProductType,0)+1,FALSE),0)&gt;0,0,1),IF(IFERROR(MATCH($A9,attributeMapFeedProductType,0),0)&gt;0,1,0))</formula>
    </cfRule>
  </conditionalFormatting>
  <conditionalFormatting sqref="EX9">
    <cfRule type="expression" dxfId="4" priority="890" stopIfTrue="1">
      <formula>IF(LEN(EX9)&gt;0,1,0)</formula>
    </cfRule>
    <cfRule type="expression" dxfId="3" priority="891" stopIfTrue="1">
      <formula>IF(VLOOKUP($EX$3,requiredAttributePTDMap,MATCH($A9,attributeMapFeedProductType,0)+1,FALSE)&gt;0,1,0)</formula>
    </cfRule>
    <cfRule type="expression" dxfId="2" priority="892" stopIfTrue="1">
      <formula>IF(VLOOKUP($EX$3,optionalAttributePTDMap,MATCH($A9,attributeMapFeedProductType,0)+1,FALSE)&gt;0,1,0)</formula>
    </cfRule>
    <cfRule type="expression" dxfId="1" priority="893" stopIfTrue="1">
      <formula>IF(VLOOKUP($EX$3,preferredAttributePTDMap,MATCH($A9,attributeMapFeedProductType,0)+1,FALSE)&gt;0,1,0)</formula>
    </cfRule>
    <cfRule type="expression" dxfId="0" priority="894" stopIfTrue="1">
      <formula>AND(IF(IFERROR(VLOOKUP($EX$3,requiredAttributePTDMap,MATCH($A9,attributeMapFeedProductType,0)+1,FALSE),0)&gt;0,0,1),IF(IFERROR(VLOOKUP($EX$3,optionalAttributePTDMap,MATCH($A9,attributeMapFeedProductType,0)+1,FALSE),0)&gt;0,0,1),IF(IFERROR(VLOOKUP($EX$3,preferredAttributePTDMap,MATCH($A9,attributeMapFeedProductType,0)+1,FALSE),0)&gt;0,0,1),IF(IFERROR(MATCH($A9,attributeMapFeedProductType,0),0)&gt;0,1,0))</formula>
    </cfRule>
  </conditionalFormatting>
  <conditionalFormatting sqref="EY9">
    <cfRule type="expression" dxfId="4" priority="895" stopIfTrue="1">
      <formula>IF(LEN(EY9)&gt;0,1,0)</formula>
    </cfRule>
    <cfRule type="expression" dxfId="3" priority="896" stopIfTrue="1">
      <formula>IF(VLOOKUP($EY$3,requiredAttributePTDMap,MATCH($A9,attributeMapFeedProductType,0)+1,FALSE)&gt;0,1,0)</formula>
    </cfRule>
    <cfRule type="expression" dxfId="2" priority="897" stopIfTrue="1">
      <formula>IF(VLOOKUP($EY$3,optionalAttributePTDMap,MATCH($A9,attributeMapFeedProductType,0)+1,FALSE)&gt;0,1,0)</formula>
    </cfRule>
    <cfRule type="expression" dxfId="1" priority="898" stopIfTrue="1">
      <formula>IF(VLOOKUP($EY$3,preferredAttributePTDMap,MATCH($A9,attributeMapFeedProductType,0)+1,FALSE)&gt;0,1,0)</formula>
    </cfRule>
    <cfRule type="expression" dxfId="0" priority="899" stopIfTrue="1">
      <formula>AND(IF(IFERROR(VLOOKUP($EY$3,requiredAttributePTDMap,MATCH($A9,attributeMapFeedProductType,0)+1,FALSE),0)&gt;0,0,1),IF(IFERROR(VLOOKUP($EY$3,optionalAttributePTDMap,MATCH($A9,attributeMapFeedProductType,0)+1,FALSE),0)&gt;0,0,1),IF(IFERROR(VLOOKUP($EY$3,preferredAttributePTDMap,MATCH($A9,attributeMapFeedProductType,0)+1,FALSE),0)&gt;0,0,1),IF(IFERROR(MATCH($A9,attributeMapFeedProductType,0),0)&gt;0,1,0))</formula>
    </cfRule>
  </conditionalFormatting>
  <conditionalFormatting sqref="EZ9">
    <cfRule type="expression" dxfId="4" priority="900" stopIfTrue="1">
      <formula>IF(LEN(EZ9)&gt;0,1,0)</formula>
    </cfRule>
    <cfRule type="expression" dxfId="3" priority="901" stopIfTrue="1">
      <formula>IF(VLOOKUP($EZ$3,requiredAttributePTDMap,MATCH($A9,attributeMapFeedProductType,0)+1,FALSE)&gt;0,1,0)</formula>
    </cfRule>
    <cfRule type="expression" dxfId="2" priority="902" stopIfTrue="1">
      <formula>IF(VLOOKUP($EZ$3,optionalAttributePTDMap,MATCH($A9,attributeMapFeedProductType,0)+1,FALSE)&gt;0,1,0)</formula>
    </cfRule>
    <cfRule type="expression" dxfId="1" priority="903" stopIfTrue="1">
      <formula>IF(VLOOKUP($EZ$3,preferredAttributePTDMap,MATCH($A9,attributeMapFeedProductType,0)+1,FALSE)&gt;0,1,0)</formula>
    </cfRule>
    <cfRule type="expression" dxfId="0" priority="904" stopIfTrue="1">
      <formula>AND(IF(IFERROR(VLOOKUP($EZ$3,requiredAttributePTDMap,MATCH($A9,attributeMapFeedProductType,0)+1,FALSE),0)&gt;0,0,1),IF(IFERROR(VLOOKUP($EZ$3,optionalAttributePTDMap,MATCH($A9,attributeMapFeedProductType,0)+1,FALSE),0)&gt;0,0,1),IF(IFERROR(VLOOKUP($EZ$3,preferredAttributePTDMap,MATCH($A9,attributeMapFeedProductType,0)+1,FALSE),0)&gt;0,0,1),IF(IFERROR(MATCH($A9,attributeMapFeedProductType,0),0)&gt;0,1,0))</formula>
    </cfRule>
  </conditionalFormatting>
  <conditionalFormatting sqref="FA9">
    <cfRule type="expression" dxfId="4" priority="905" stopIfTrue="1">
      <formula>IF(LEN(FA9)&gt;0,1,0)</formula>
    </cfRule>
    <cfRule type="expression" dxfId="3" priority="906" stopIfTrue="1">
      <formula>IF(VLOOKUP($FA$3,requiredAttributePTDMap,MATCH($A9,attributeMapFeedProductType,0)+1,FALSE)&gt;0,1,0)</formula>
    </cfRule>
    <cfRule type="expression" dxfId="2" priority="907" stopIfTrue="1">
      <formula>IF(VLOOKUP($FA$3,optionalAttributePTDMap,MATCH($A9,attributeMapFeedProductType,0)+1,FALSE)&gt;0,1,0)</formula>
    </cfRule>
    <cfRule type="expression" dxfId="1" priority="908" stopIfTrue="1">
      <formula>IF(VLOOKUP($FA$3,preferredAttributePTDMap,MATCH($A9,attributeMapFeedProductType,0)+1,FALSE)&gt;0,1,0)</formula>
    </cfRule>
    <cfRule type="expression" dxfId="0" priority="909" stopIfTrue="1">
      <formula>AND(IF(IFERROR(VLOOKUP($FA$3,requiredAttributePTDMap,MATCH($A9,attributeMapFeedProductType,0)+1,FALSE),0)&gt;0,0,1),IF(IFERROR(VLOOKUP($FA$3,optionalAttributePTDMap,MATCH($A9,attributeMapFeedProductType,0)+1,FALSE),0)&gt;0,0,1),IF(IFERROR(VLOOKUP($FA$3,preferredAttributePTDMap,MATCH($A9,attributeMapFeedProductType,0)+1,FALSE),0)&gt;0,0,1),IF(IFERROR(MATCH($A9,attributeMapFeedProductType,0),0)&gt;0,1,0))</formula>
    </cfRule>
  </conditionalFormatting>
  <conditionalFormatting sqref="FB9">
    <cfRule type="expression" dxfId="4" priority="910" stopIfTrue="1">
      <formula>IF(LEN(FB9)&gt;0,1,0)</formula>
    </cfRule>
    <cfRule type="expression" dxfId="3" priority="911" stopIfTrue="1">
      <formula>IF(VLOOKUP($FB$3,requiredAttributePTDMap,MATCH($A9,attributeMapFeedProductType,0)+1,FALSE)&gt;0,1,0)</formula>
    </cfRule>
    <cfRule type="expression" dxfId="2" priority="912" stopIfTrue="1">
      <formula>IF(VLOOKUP($FB$3,optionalAttributePTDMap,MATCH($A9,attributeMapFeedProductType,0)+1,FALSE)&gt;0,1,0)</formula>
    </cfRule>
    <cfRule type="expression" dxfId="1" priority="913" stopIfTrue="1">
      <formula>IF(VLOOKUP($FB$3,preferredAttributePTDMap,MATCH($A9,attributeMapFeedProductType,0)+1,FALSE)&gt;0,1,0)</formula>
    </cfRule>
    <cfRule type="expression" dxfId="0" priority="914" stopIfTrue="1">
      <formula>AND(IF(IFERROR(VLOOKUP($FB$3,requiredAttributePTDMap,MATCH($A9,attributeMapFeedProductType,0)+1,FALSE),0)&gt;0,0,1),IF(IFERROR(VLOOKUP($FB$3,optionalAttributePTDMap,MATCH($A9,attributeMapFeedProductType,0)+1,FALSE),0)&gt;0,0,1),IF(IFERROR(VLOOKUP($FB$3,preferredAttributePTDMap,MATCH($A9,attributeMapFeedProductType,0)+1,FALSE),0)&gt;0,0,1),IF(IFERROR(MATCH($A9,attributeMapFeedProductType,0),0)&gt;0,1,0))</formula>
    </cfRule>
  </conditionalFormatting>
  <conditionalFormatting sqref="FC9">
    <cfRule type="expression" dxfId="4" priority="915" stopIfTrue="1">
      <formula>IF(LEN(FC9)&gt;0,1,0)</formula>
    </cfRule>
    <cfRule type="expression" dxfId="3" priority="916" stopIfTrue="1">
      <formula>IF(VLOOKUP($FC$3,requiredAttributePTDMap,MATCH($A9,attributeMapFeedProductType,0)+1,FALSE)&gt;0,1,0)</formula>
    </cfRule>
    <cfRule type="expression" dxfId="2" priority="917" stopIfTrue="1">
      <formula>IF(VLOOKUP($FC$3,optionalAttributePTDMap,MATCH($A9,attributeMapFeedProductType,0)+1,FALSE)&gt;0,1,0)</formula>
    </cfRule>
    <cfRule type="expression" dxfId="1" priority="918" stopIfTrue="1">
      <formula>IF(VLOOKUP($FC$3,preferredAttributePTDMap,MATCH($A9,attributeMapFeedProductType,0)+1,FALSE)&gt;0,1,0)</formula>
    </cfRule>
    <cfRule type="expression" dxfId="0" priority="919" stopIfTrue="1">
      <formula>AND(IF(IFERROR(VLOOKUP($FC$3,requiredAttributePTDMap,MATCH($A9,attributeMapFeedProductType,0)+1,FALSE),0)&gt;0,0,1),IF(IFERROR(VLOOKUP($FC$3,optionalAttributePTDMap,MATCH($A9,attributeMapFeedProductType,0)+1,FALSE),0)&gt;0,0,1),IF(IFERROR(VLOOKUP($FC$3,preferredAttributePTDMap,MATCH($A9,attributeMapFeedProductType,0)+1,FALSE),0)&gt;0,0,1),IF(IFERROR(MATCH($A9,attributeMapFeedProductType,0),0)&gt;0,1,0))</formula>
    </cfRule>
  </conditionalFormatting>
  <conditionalFormatting sqref="FE9">
    <cfRule type="expression" dxfId="4" priority="920" stopIfTrue="1">
      <formula>IF(LEN(FE9)&gt;0,1,0)</formula>
    </cfRule>
    <cfRule type="expression" dxfId="3" priority="921" stopIfTrue="1">
      <formula>IF(VLOOKUP($FE$3,requiredAttributePTDMap,MATCH($A9,attributeMapFeedProductType,0)+1,FALSE)&gt;0,1,0)</formula>
    </cfRule>
    <cfRule type="expression" dxfId="2" priority="922" stopIfTrue="1">
      <formula>IF(VLOOKUP($FE$3,optionalAttributePTDMap,MATCH($A9,attributeMapFeedProductType,0)+1,FALSE)&gt;0,1,0)</formula>
    </cfRule>
    <cfRule type="expression" dxfId="1" priority="923" stopIfTrue="1">
      <formula>IF(VLOOKUP($FE$3,preferredAttributePTDMap,MATCH($A9,attributeMapFeedProductType,0)+1,FALSE)&gt;0,1,0)</formula>
    </cfRule>
    <cfRule type="expression" dxfId="0" priority="924" stopIfTrue="1">
      <formula>AND(IF(IFERROR(VLOOKUP($FE$3,requiredAttributePTDMap,MATCH($A9,attributeMapFeedProductType,0)+1,FALSE),0)&gt;0,0,1),IF(IFERROR(VLOOKUP($FE$3,optionalAttributePTDMap,MATCH($A9,attributeMapFeedProductType,0)+1,FALSE),0)&gt;0,0,1),IF(IFERROR(VLOOKUP($FE$3,preferredAttributePTDMap,MATCH($A9,attributeMapFeedProductType,0)+1,FALSE),0)&gt;0,0,1),IF(IFERROR(MATCH($A9,attributeMapFeedProductType,0),0)&gt;0,1,0))</formula>
    </cfRule>
  </conditionalFormatting>
  <conditionalFormatting sqref="FF9">
    <cfRule type="expression" dxfId="4" priority="925" stopIfTrue="1">
      <formula>IF(LEN(FF9)&gt;0,1,0)</formula>
    </cfRule>
    <cfRule type="expression" dxfId="3" priority="926" stopIfTrue="1">
      <formula>IF(VLOOKUP($FF$3,requiredAttributePTDMap,MATCH($A9,attributeMapFeedProductType,0)+1,FALSE)&gt;0,1,0)</formula>
    </cfRule>
    <cfRule type="expression" dxfId="2" priority="927" stopIfTrue="1">
      <formula>IF(VLOOKUP($FF$3,optionalAttributePTDMap,MATCH($A9,attributeMapFeedProductType,0)+1,FALSE)&gt;0,1,0)</formula>
    </cfRule>
    <cfRule type="expression" dxfId="1" priority="928" stopIfTrue="1">
      <formula>IF(VLOOKUP($FF$3,preferredAttributePTDMap,MATCH($A9,attributeMapFeedProductType,0)+1,FALSE)&gt;0,1,0)</formula>
    </cfRule>
    <cfRule type="expression" dxfId="0" priority="929" stopIfTrue="1">
      <formula>AND(IF(IFERROR(VLOOKUP($FF$3,requiredAttributePTDMap,MATCH($A9,attributeMapFeedProductType,0)+1,FALSE),0)&gt;0,0,1),IF(IFERROR(VLOOKUP($FF$3,optionalAttributePTDMap,MATCH($A9,attributeMapFeedProductType,0)+1,FALSE),0)&gt;0,0,1),IF(IFERROR(VLOOKUP($FF$3,preferredAttributePTDMap,MATCH($A9,attributeMapFeedProductType,0)+1,FALSE),0)&gt;0,0,1),IF(IFERROR(MATCH($A9,attributeMapFeedProductType,0),0)&gt;0,1,0))</formula>
    </cfRule>
  </conditionalFormatting>
  <conditionalFormatting sqref="FG9">
    <cfRule type="expression" dxfId="4" priority="930" stopIfTrue="1">
      <formula>IF(LEN(FG9)&gt;0,1,0)</formula>
    </cfRule>
    <cfRule type="expression" dxfId="3" priority="931" stopIfTrue="1">
      <formula>IF(VLOOKUP($FG$3,requiredAttributePTDMap,MATCH($A9,attributeMapFeedProductType,0)+1,FALSE)&gt;0,1,0)</formula>
    </cfRule>
    <cfRule type="expression" dxfId="2" priority="932" stopIfTrue="1">
      <formula>IF(VLOOKUP($FG$3,optionalAttributePTDMap,MATCH($A9,attributeMapFeedProductType,0)+1,FALSE)&gt;0,1,0)</formula>
    </cfRule>
    <cfRule type="expression" dxfId="1" priority="933" stopIfTrue="1">
      <formula>IF(VLOOKUP($FG$3,preferredAttributePTDMap,MATCH($A9,attributeMapFeedProductType,0)+1,FALSE)&gt;0,1,0)</formula>
    </cfRule>
    <cfRule type="expression" dxfId="0" priority="934" stopIfTrue="1">
      <formula>AND(IF(IFERROR(VLOOKUP($FG$3,requiredAttributePTDMap,MATCH($A9,attributeMapFeedProductType,0)+1,FALSE),0)&gt;0,0,1),IF(IFERROR(VLOOKUP($FG$3,optionalAttributePTDMap,MATCH($A9,attributeMapFeedProductType,0)+1,FALSE),0)&gt;0,0,1),IF(IFERROR(VLOOKUP($FG$3,preferredAttributePTDMap,MATCH($A9,attributeMapFeedProductType,0)+1,FALSE),0)&gt;0,0,1),IF(IFERROR(MATCH($A9,attributeMapFeedProductType,0),0)&gt;0,1,0))</formula>
    </cfRule>
  </conditionalFormatting>
  <conditionalFormatting sqref="FH9">
    <cfRule type="expression" dxfId="4" priority="935" stopIfTrue="1">
      <formula>IF(LEN(FH9)&gt;0,1,0)</formula>
    </cfRule>
    <cfRule type="expression" dxfId="3" priority="936" stopIfTrue="1">
      <formula>IF(VLOOKUP($FH$3,requiredAttributePTDMap,MATCH($A9,attributeMapFeedProductType,0)+1,FALSE)&gt;0,1,0)</formula>
    </cfRule>
    <cfRule type="expression" dxfId="2" priority="937" stopIfTrue="1">
      <formula>IF(VLOOKUP($FH$3,optionalAttributePTDMap,MATCH($A9,attributeMapFeedProductType,0)+1,FALSE)&gt;0,1,0)</formula>
    </cfRule>
    <cfRule type="expression" dxfId="1" priority="938" stopIfTrue="1">
      <formula>IF(VLOOKUP($FH$3,preferredAttributePTDMap,MATCH($A9,attributeMapFeedProductType,0)+1,FALSE)&gt;0,1,0)</formula>
    </cfRule>
    <cfRule type="expression" dxfId="0" priority="939" stopIfTrue="1">
      <formula>AND(IF(IFERROR(VLOOKUP($FH$3,requiredAttributePTDMap,MATCH($A9,attributeMapFeedProductType,0)+1,FALSE),0)&gt;0,0,1),IF(IFERROR(VLOOKUP($FH$3,optionalAttributePTDMap,MATCH($A9,attributeMapFeedProductType,0)+1,FALSE),0)&gt;0,0,1),IF(IFERROR(VLOOKUP($FH$3,preferredAttributePTDMap,MATCH($A9,attributeMapFeedProductType,0)+1,FALSE),0)&gt;0,0,1),IF(IFERROR(MATCH($A9,attributeMapFeedProductType,0),0)&gt;0,1,0))</formula>
    </cfRule>
  </conditionalFormatting>
  <conditionalFormatting sqref="FI9">
    <cfRule type="expression" dxfId="4" priority="940" stopIfTrue="1">
      <formula>IF(LEN(FI9)&gt;0,1,0)</formula>
    </cfRule>
    <cfRule type="expression" dxfId="3" priority="941" stopIfTrue="1">
      <formula>IF(VLOOKUP($FI$3,requiredAttributePTDMap,MATCH($A9,attributeMapFeedProductType,0)+1,FALSE)&gt;0,1,0)</formula>
    </cfRule>
    <cfRule type="expression" dxfId="2" priority="942" stopIfTrue="1">
      <formula>IF(VLOOKUP($FI$3,optionalAttributePTDMap,MATCH($A9,attributeMapFeedProductType,0)+1,FALSE)&gt;0,1,0)</formula>
    </cfRule>
    <cfRule type="expression" dxfId="1" priority="943" stopIfTrue="1">
      <formula>IF(VLOOKUP($FI$3,preferredAttributePTDMap,MATCH($A9,attributeMapFeedProductType,0)+1,FALSE)&gt;0,1,0)</formula>
    </cfRule>
    <cfRule type="expression" dxfId="0" priority="944" stopIfTrue="1">
      <formula>AND(IF(IFERROR(VLOOKUP($FI$3,requiredAttributePTDMap,MATCH($A9,attributeMapFeedProductType,0)+1,FALSE),0)&gt;0,0,1),IF(IFERROR(VLOOKUP($FI$3,optionalAttributePTDMap,MATCH($A9,attributeMapFeedProductType,0)+1,FALSE),0)&gt;0,0,1),IF(IFERROR(VLOOKUP($FI$3,preferredAttributePTDMap,MATCH($A9,attributeMapFeedProductType,0)+1,FALSE),0)&gt;0,0,1),IF(IFERROR(MATCH($A9,attributeMapFeedProductType,0),0)&gt;0,1,0))</formula>
    </cfRule>
  </conditionalFormatting>
  <conditionalFormatting sqref="FJ9">
    <cfRule type="expression" dxfId="4" priority="945" stopIfTrue="1">
      <formula>IF(LEN(FJ9)&gt;0,1,0)</formula>
    </cfRule>
    <cfRule type="expression" dxfId="3" priority="946" stopIfTrue="1">
      <formula>IF(VLOOKUP($FJ$3,requiredAttributePTDMap,MATCH($A9,attributeMapFeedProductType,0)+1,FALSE)&gt;0,1,0)</formula>
    </cfRule>
    <cfRule type="expression" dxfId="2" priority="947" stopIfTrue="1">
      <formula>IF(VLOOKUP($FJ$3,optionalAttributePTDMap,MATCH($A9,attributeMapFeedProductType,0)+1,FALSE)&gt;0,1,0)</formula>
    </cfRule>
    <cfRule type="expression" dxfId="1" priority="948" stopIfTrue="1">
      <formula>IF(VLOOKUP($FJ$3,preferredAttributePTDMap,MATCH($A9,attributeMapFeedProductType,0)+1,FALSE)&gt;0,1,0)</formula>
    </cfRule>
    <cfRule type="expression" dxfId="0" priority="949" stopIfTrue="1">
      <formula>AND(IF(IFERROR(VLOOKUP($FJ$3,requiredAttributePTDMap,MATCH($A9,attributeMapFeedProductType,0)+1,FALSE),0)&gt;0,0,1),IF(IFERROR(VLOOKUP($FJ$3,optionalAttributePTDMap,MATCH($A9,attributeMapFeedProductType,0)+1,FALSE),0)&gt;0,0,1),IF(IFERROR(VLOOKUP($FJ$3,preferredAttributePTDMap,MATCH($A9,attributeMapFeedProductType,0)+1,FALSE),0)&gt;0,0,1),IF(IFERROR(MATCH($A9,attributeMapFeedProductType,0),0)&gt;0,1,0))</formula>
    </cfRule>
  </conditionalFormatting>
  <conditionalFormatting sqref="FK9">
    <cfRule type="expression" dxfId="4" priority="950" stopIfTrue="1">
      <formula>IF(LEN(FK9)&gt;0,1,0)</formula>
    </cfRule>
    <cfRule type="expression" dxfId="3" priority="951" stopIfTrue="1">
      <formula>IF(VLOOKUP($FK$3,requiredAttributePTDMap,MATCH($A9,attributeMapFeedProductType,0)+1,FALSE)&gt;0,1,0)</formula>
    </cfRule>
    <cfRule type="expression" dxfId="2" priority="952" stopIfTrue="1">
      <formula>IF(VLOOKUP($FK$3,optionalAttributePTDMap,MATCH($A9,attributeMapFeedProductType,0)+1,FALSE)&gt;0,1,0)</formula>
    </cfRule>
    <cfRule type="expression" dxfId="1" priority="953" stopIfTrue="1">
      <formula>IF(VLOOKUP($FK$3,preferredAttributePTDMap,MATCH($A9,attributeMapFeedProductType,0)+1,FALSE)&gt;0,1,0)</formula>
    </cfRule>
    <cfRule type="expression" dxfId="0" priority="954" stopIfTrue="1">
      <formula>AND(IF(IFERROR(VLOOKUP($FK$3,requiredAttributePTDMap,MATCH($A9,attributeMapFeedProductType,0)+1,FALSE),0)&gt;0,0,1),IF(IFERROR(VLOOKUP($FK$3,optionalAttributePTDMap,MATCH($A9,attributeMapFeedProductType,0)+1,FALSE),0)&gt;0,0,1),IF(IFERROR(VLOOKUP($FK$3,preferredAttributePTDMap,MATCH($A9,attributeMapFeedProductType,0)+1,FALSE),0)&gt;0,0,1),IF(IFERROR(MATCH($A9,attributeMapFeedProductType,0),0)&gt;0,1,0))</formula>
    </cfRule>
  </conditionalFormatting>
  <conditionalFormatting sqref="FL9">
    <cfRule type="expression" dxfId="4" priority="955" stopIfTrue="1">
      <formula>IF(LEN(FL9)&gt;0,1,0)</formula>
    </cfRule>
    <cfRule type="expression" dxfId="3" priority="956" stopIfTrue="1">
      <formula>IF(VLOOKUP($FL$3,requiredAttributePTDMap,MATCH($A9,attributeMapFeedProductType,0)+1,FALSE)&gt;0,1,0)</formula>
    </cfRule>
    <cfRule type="expression" dxfId="2" priority="957" stopIfTrue="1">
      <formula>IF(VLOOKUP($FL$3,optionalAttributePTDMap,MATCH($A9,attributeMapFeedProductType,0)+1,FALSE)&gt;0,1,0)</formula>
    </cfRule>
    <cfRule type="expression" dxfId="1" priority="958" stopIfTrue="1">
      <formula>IF(VLOOKUP($FL$3,preferredAttributePTDMap,MATCH($A9,attributeMapFeedProductType,0)+1,FALSE)&gt;0,1,0)</formula>
    </cfRule>
    <cfRule type="expression" dxfId="0" priority="959" stopIfTrue="1">
      <formula>AND(IF(IFERROR(VLOOKUP($FL$3,requiredAttributePTDMap,MATCH($A9,attributeMapFeedProductType,0)+1,FALSE),0)&gt;0,0,1),IF(IFERROR(VLOOKUP($FL$3,optionalAttributePTDMap,MATCH($A9,attributeMapFeedProductType,0)+1,FALSE),0)&gt;0,0,1),IF(IFERROR(VLOOKUP($FL$3,preferredAttributePTDMap,MATCH($A9,attributeMapFeedProductType,0)+1,FALSE),0)&gt;0,0,1),IF(IFERROR(MATCH($A9,attributeMapFeedProductType,0),0)&gt;0,1,0))</formula>
    </cfRule>
  </conditionalFormatting>
  <conditionalFormatting sqref="FM9">
    <cfRule type="expression" dxfId="4" priority="960" stopIfTrue="1">
      <formula>IF(LEN(FM9)&gt;0,1,0)</formula>
    </cfRule>
    <cfRule type="expression" dxfId="3" priority="961" stopIfTrue="1">
      <formula>IF(VLOOKUP($FM$3,requiredAttributePTDMap,MATCH($A9,attributeMapFeedProductType,0)+1,FALSE)&gt;0,1,0)</formula>
    </cfRule>
    <cfRule type="expression" dxfId="2" priority="962" stopIfTrue="1">
      <formula>IF(VLOOKUP($FM$3,optionalAttributePTDMap,MATCH($A9,attributeMapFeedProductType,0)+1,FALSE)&gt;0,1,0)</formula>
    </cfRule>
    <cfRule type="expression" dxfId="1" priority="963" stopIfTrue="1">
      <formula>IF(VLOOKUP($FM$3,preferredAttributePTDMap,MATCH($A9,attributeMapFeedProductType,0)+1,FALSE)&gt;0,1,0)</formula>
    </cfRule>
    <cfRule type="expression" dxfId="0" priority="964" stopIfTrue="1">
      <formula>AND(IF(IFERROR(VLOOKUP($FM$3,requiredAttributePTDMap,MATCH($A9,attributeMapFeedProductType,0)+1,FALSE),0)&gt;0,0,1),IF(IFERROR(VLOOKUP($FM$3,optionalAttributePTDMap,MATCH($A9,attributeMapFeedProductType,0)+1,FALSE),0)&gt;0,0,1),IF(IFERROR(VLOOKUP($FM$3,preferredAttributePTDMap,MATCH($A9,attributeMapFeedProductType,0)+1,FALSE),0)&gt;0,0,1),IF(IFERROR(MATCH($A9,attributeMapFeedProductType,0),0)&gt;0,1,0))</formula>
    </cfRule>
  </conditionalFormatting>
  <conditionalFormatting sqref="FN9">
    <cfRule type="expression" dxfId="4" priority="965" stopIfTrue="1">
      <formula>IF(LEN(FN9)&gt;0,1,0)</formula>
    </cfRule>
    <cfRule type="expression" dxfId="3" priority="966" stopIfTrue="1">
      <formula>IF(VLOOKUP($FN$3,requiredAttributePTDMap,MATCH($A9,attributeMapFeedProductType,0)+1,FALSE)&gt;0,1,0)</formula>
    </cfRule>
    <cfRule type="expression" dxfId="2" priority="967" stopIfTrue="1">
      <formula>IF(VLOOKUP($FN$3,optionalAttributePTDMap,MATCH($A9,attributeMapFeedProductType,0)+1,FALSE)&gt;0,1,0)</formula>
    </cfRule>
    <cfRule type="expression" dxfId="1" priority="968" stopIfTrue="1">
      <formula>IF(VLOOKUP($FN$3,preferredAttributePTDMap,MATCH($A9,attributeMapFeedProductType,0)+1,FALSE)&gt;0,1,0)</formula>
    </cfRule>
    <cfRule type="expression" dxfId="0" priority="969" stopIfTrue="1">
      <formula>AND(IF(IFERROR(VLOOKUP($FN$3,requiredAttributePTDMap,MATCH($A9,attributeMapFeedProductType,0)+1,FALSE),0)&gt;0,0,1),IF(IFERROR(VLOOKUP($FN$3,optionalAttributePTDMap,MATCH($A9,attributeMapFeedProductType,0)+1,FALSE),0)&gt;0,0,1),IF(IFERROR(VLOOKUP($FN$3,preferredAttributePTDMap,MATCH($A9,attributeMapFeedProductType,0)+1,FALSE),0)&gt;0,0,1),IF(IFERROR(MATCH($A9,attributeMapFeedProductType,0),0)&gt;0,1,0))</formula>
    </cfRule>
  </conditionalFormatting>
  <conditionalFormatting sqref="FO9">
    <cfRule type="expression" dxfId="4" priority="970" stopIfTrue="1">
      <formula>IF(LEN(FO9)&gt;0,1,0)</formula>
    </cfRule>
    <cfRule type="expression" dxfId="3" priority="971" stopIfTrue="1">
      <formula>IF(VLOOKUP($FO$3,requiredAttributePTDMap,MATCH($A9,attributeMapFeedProductType,0)+1,FALSE)&gt;0,1,0)</formula>
    </cfRule>
    <cfRule type="expression" dxfId="2" priority="972" stopIfTrue="1">
      <formula>IF(VLOOKUP($FO$3,optionalAttributePTDMap,MATCH($A9,attributeMapFeedProductType,0)+1,FALSE)&gt;0,1,0)</formula>
    </cfRule>
    <cfRule type="expression" dxfId="1" priority="973" stopIfTrue="1">
      <formula>IF(VLOOKUP($FO$3,preferredAttributePTDMap,MATCH($A9,attributeMapFeedProductType,0)+1,FALSE)&gt;0,1,0)</formula>
    </cfRule>
    <cfRule type="expression" dxfId="0" priority="974" stopIfTrue="1">
      <formula>AND(IF(IFERROR(VLOOKUP($FO$3,requiredAttributePTDMap,MATCH($A9,attributeMapFeedProductType,0)+1,FALSE),0)&gt;0,0,1),IF(IFERROR(VLOOKUP($FO$3,optionalAttributePTDMap,MATCH($A9,attributeMapFeedProductType,0)+1,FALSE),0)&gt;0,0,1),IF(IFERROR(VLOOKUP($FO$3,preferredAttributePTDMap,MATCH($A9,attributeMapFeedProductType,0)+1,FALSE),0)&gt;0,0,1),IF(IFERROR(MATCH($A9,attributeMapFeedProductType,0),0)&gt;0,1,0))</formula>
    </cfRule>
  </conditionalFormatting>
  <conditionalFormatting sqref="FP9">
    <cfRule type="expression" dxfId="4" priority="975" stopIfTrue="1">
      <formula>IF(LEN(FP9)&gt;0,1,0)</formula>
    </cfRule>
    <cfRule type="expression" dxfId="3" priority="976" stopIfTrue="1">
      <formula>IF(VLOOKUP($FP$3,requiredAttributePTDMap,MATCH($A9,attributeMapFeedProductType,0)+1,FALSE)&gt;0,1,0)</formula>
    </cfRule>
    <cfRule type="expression" dxfId="2" priority="977" stopIfTrue="1">
      <formula>IF(VLOOKUP($FP$3,optionalAttributePTDMap,MATCH($A9,attributeMapFeedProductType,0)+1,FALSE)&gt;0,1,0)</formula>
    </cfRule>
    <cfRule type="expression" dxfId="1" priority="978" stopIfTrue="1">
      <formula>IF(VLOOKUP($FP$3,preferredAttributePTDMap,MATCH($A9,attributeMapFeedProductType,0)+1,FALSE)&gt;0,1,0)</formula>
    </cfRule>
    <cfRule type="expression" dxfId="0" priority="979" stopIfTrue="1">
      <formula>AND(IF(IFERROR(VLOOKUP($FP$3,requiredAttributePTDMap,MATCH($A9,attributeMapFeedProductType,0)+1,FALSE),0)&gt;0,0,1),IF(IFERROR(VLOOKUP($FP$3,optionalAttributePTDMap,MATCH($A9,attributeMapFeedProductType,0)+1,FALSE),0)&gt;0,0,1),IF(IFERROR(VLOOKUP($FP$3,preferredAttributePTDMap,MATCH($A9,attributeMapFeedProductType,0)+1,FALSE),0)&gt;0,0,1),IF(IFERROR(MATCH($A9,attributeMapFeedProductType,0),0)&gt;0,1,0))</formula>
    </cfRule>
  </conditionalFormatting>
  <conditionalFormatting sqref="FQ9">
    <cfRule type="expression" dxfId="4" priority="980" stopIfTrue="1">
      <formula>IF(LEN(FQ9)&gt;0,1,0)</formula>
    </cfRule>
    <cfRule type="expression" dxfId="3" priority="981" stopIfTrue="1">
      <formula>IF(VLOOKUP($FQ$3,requiredAttributePTDMap,MATCH($A9,attributeMapFeedProductType,0)+1,FALSE)&gt;0,1,0)</formula>
    </cfRule>
    <cfRule type="expression" dxfId="2" priority="982" stopIfTrue="1">
      <formula>IF(VLOOKUP($FQ$3,optionalAttributePTDMap,MATCH($A9,attributeMapFeedProductType,0)+1,FALSE)&gt;0,1,0)</formula>
    </cfRule>
    <cfRule type="expression" dxfId="1" priority="983" stopIfTrue="1">
      <formula>IF(VLOOKUP($FQ$3,preferredAttributePTDMap,MATCH($A9,attributeMapFeedProductType,0)+1,FALSE)&gt;0,1,0)</formula>
    </cfRule>
    <cfRule type="expression" dxfId="0" priority="984" stopIfTrue="1">
      <formula>AND(IF(IFERROR(VLOOKUP($FQ$3,requiredAttributePTDMap,MATCH($A9,attributeMapFeedProductType,0)+1,FALSE),0)&gt;0,0,1),IF(IFERROR(VLOOKUP($FQ$3,optionalAttributePTDMap,MATCH($A9,attributeMapFeedProductType,0)+1,FALSE),0)&gt;0,0,1),IF(IFERROR(VLOOKUP($FQ$3,preferredAttributePTDMap,MATCH($A9,attributeMapFeedProductType,0)+1,FALSE),0)&gt;0,0,1),IF(IFERROR(MATCH($A9,attributeMapFeedProductType,0),0)&gt;0,1,0))</formula>
    </cfRule>
  </conditionalFormatting>
  <conditionalFormatting sqref="FR9">
    <cfRule type="expression" dxfId="4" priority="985" stopIfTrue="1">
      <formula>IF(LEN(FR9)&gt;0,1,0)</formula>
    </cfRule>
    <cfRule type="expression" dxfId="3" priority="986" stopIfTrue="1">
      <formula>IF(VLOOKUP($FR$3,requiredAttributePTDMap,MATCH($A9,attributeMapFeedProductType,0)+1,FALSE)&gt;0,1,0)</formula>
    </cfRule>
    <cfRule type="expression" dxfId="2" priority="987" stopIfTrue="1">
      <formula>IF(VLOOKUP($FR$3,optionalAttributePTDMap,MATCH($A9,attributeMapFeedProductType,0)+1,FALSE)&gt;0,1,0)</formula>
    </cfRule>
    <cfRule type="expression" dxfId="1" priority="988" stopIfTrue="1">
      <formula>IF(VLOOKUP($FR$3,preferredAttributePTDMap,MATCH($A9,attributeMapFeedProductType,0)+1,FALSE)&gt;0,1,0)</formula>
    </cfRule>
    <cfRule type="expression" dxfId="0" priority="989" stopIfTrue="1">
      <formula>AND(IF(IFERROR(VLOOKUP($FR$3,requiredAttributePTDMap,MATCH($A9,attributeMapFeedProductType,0)+1,FALSE),0)&gt;0,0,1),IF(IFERROR(VLOOKUP($FR$3,optionalAttributePTDMap,MATCH($A9,attributeMapFeedProductType,0)+1,FALSE),0)&gt;0,0,1),IF(IFERROR(VLOOKUP($FR$3,preferredAttributePTDMap,MATCH($A9,attributeMapFeedProductType,0)+1,FALSE),0)&gt;0,0,1),IF(IFERROR(MATCH($A9,attributeMapFeedProductType,0),0)&gt;0,1,0))</formula>
    </cfRule>
  </conditionalFormatting>
  <conditionalFormatting sqref="FS9">
    <cfRule type="expression" dxfId="4" priority="990" stopIfTrue="1">
      <formula>IF(LEN(FS9)&gt;0,1,0)</formula>
    </cfRule>
    <cfRule type="expression" dxfId="3" priority="991" stopIfTrue="1">
      <formula>IF(VLOOKUP($FS$3,requiredAttributePTDMap,MATCH($A9,attributeMapFeedProductType,0)+1,FALSE)&gt;0,1,0)</formula>
    </cfRule>
    <cfRule type="expression" dxfId="2" priority="992" stopIfTrue="1">
      <formula>IF(VLOOKUP($FS$3,optionalAttributePTDMap,MATCH($A9,attributeMapFeedProductType,0)+1,FALSE)&gt;0,1,0)</formula>
    </cfRule>
    <cfRule type="expression" dxfId="1" priority="993" stopIfTrue="1">
      <formula>IF(VLOOKUP($FS$3,preferredAttributePTDMap,MATCH($A9,attributeMapFeedProductType,0)+1,FALSE)&gt;0,1,0)</formula>
    </cfRule>
    <cfRule type="expression" dxfId="0" priority="994" stopIfTrue="1">
      <formula>AND(IF(IFERROR(VLOOKUP($FS$3,requiredAttributePTDMap,MATCH($A9,attributeMapFeedProductType,0)+1,FALSE),0)&gt;0,0,1),IF(IFERROR(VLOOKUP($FS$3,optionalAttributePTDMap,MATCH($A9,attributeMapFeedProductType,0)+1,FALSE),0)&gt;0,0,1),IF(IFERROR(VLOOKUP($FS$3,preferredAttributePTDMap,MATCH($A9,attributeMapFeedProductType,0)+1,FALSE),0)&gt;0,0,1),IF(IFERROR(MATCH($A9,attributeMapFeedProductType,0),0)&gt;0,1,0))</formula>
    </cfRule>
  </conditionalFormatting>
  <conditionalFormatting sqref="FT9">
    <cfRule type="expression" dxfId="4" priority="995" stopIfTrue="1">
      <formula>IF(LEN(FT9)&gt;0,1,0)</formula>
    </cfRule>
    <cfRule type="expression" dxfId="3" priority="996" stopIfTrue="1">
      <formula>IF(VLOOKUP($FT$3,requiredAttributePTDMap,MATCH($A9,attributeMapFeedProductType,0)+1,FALSE)&gt;0,1,0)</formula>
    </cfRule>
    <cfRule type="expression" dxfId="2" priority="997" stopIfTrue="1">
      <formula>IF(VLOOKUP($FT$3,optionalAttributePTDMap,MATCH($A9,attributeMapFeedProductType,0)+1,FALSE)&gt;0,1,0)</formula>
    </cfRule>
    <cfRule type="expression" dxfId="1" priority="998" stopIfTrue="1">
      <formula>IF(VLOOKUP($FT$3,preferredAttributePTDMap,MATCH($A9,attributeMapFeedProductType,0)+1,FALSE)&gt;0,1,0)</formula>
    </cfRule>
    <cfRule type="expression" dxfId="0" priority="999" stopIfTrue="1">
      <formula>AND(IF(IFERROR(VLOOKUP($FT$3,requiredAttributePTDMap,MATCH($A9,attributeMapFeedProductType,0)+1,FALSE),0)&gt;0,0,1),IF(IFERROR(VLOOKUP($FT$3,optionalAttributePTDMap,MATCH($A9,attributeMapFeedProductType,0)+1,FALSE),0)&gt;0,0,1),IF(IFERROR(VLOOKUP($FT$3,preferredAttributePTDMap,MATCH($A9,attributeMapFeedProductType,0)+1,FALSE),0)&gt;0,0,1),IF(IFERROR(MATCH($A9,attributeMapFeedProductType,0),0)&gt;0,1,0))</formula>
    </cfRule>
  </conditionalFormatting>
  <conditionalFormatting sqref="FU9">
    <cfRule type="expression" dxfId="4" priority="1000" stopIfTrue="1">
      <formula>IF(LEN(FU9)&gt;0,1,0)</formula>
    </cfRule>
    <cfRule type="expression" dxfId="3" priority="1001" stopIfTrue="1">
      <formula>IF(VLOOKUP($FU$3,requiredAttributePTDMap,MATCH($A9,attributeMapFeedProductType,0)+1,FALSE)&gt;0,1,0)</formula>
    </cfRule>
    <cfRule type="expression" dxfId="2" priority="1002" stopIfTrue="1">
      <formula>IF(VLOOKUP($FU$3,optionalAttributePTDMap,MATCH($A9,attributeMapFeedProductType,0)+1,FALSE)&gt;0,1,0)</formula>
    </cfRule>
    <cfRule type="expression" dxfId="1" priority="1003" stopIfTrue="1">
      <formula>IF(VLOOKUP($FU$3,preferredAttributePTDMap,MATCH($A9,attributeMapFeedProductType,0)+1,FALSE)&gt;0,1,0)</formula>
    </cfRule>
    <cfRule type="expression" dxfId="0" priority="1004" stopIfTrue="1">
      <formula>AND(IF(IFERROR(VLOOKUP($FU$3,requiredAttributePTDMap,MATCH($A9,attributeMapFeedProductType,0)+1,FALSE),0)&gt;0,0,1),IF(IFERROR(VLOOKUP($FU$3,optionalAttributePTDMap,MATCH($A9,attributeMapFeedProductType,0)+1,FALSE),0)&gt;0,0,1),IF(IFERROR(VLOOKUP($FU$3,preferredAttributePTDMap,MATCH($A9,attributeMapFeedProductType,0)+1,FALSE),0)&gt;0,0,1),IF(IFERROR(MATCH($A9,attributeMapFeedProductType,0),0)&gt;0,1,0))</formula>
    </cfRule>
  </conditionalFormatting>
  <conditionalFormatting sqref="FV9">
    <cfRule type="expression" dxfId="4" priority="1005" stopIfTrue="1">
      <formula>IF(LEN(FV9)&gt;0,1,0)</formula>
    </cfRule>
    <cfRule type="expression" dxfId="3" priority="1006" stopIfTrue="1">
      <formula>IF(VLOOKUP($FV$3,requiredAttributePTDMap,MATCH($A9,attributeMapFeedProductType,0)+1,FALSE)&gt;0,1,0)</formula>
    </cfRule>
    <cfRule type="expression" dxfId="2" priority="1007" stopIfTrue="1">
      <formula>IF(VLOOKUP($FV$3,optionalAttributePTDMap,MATCH($A9,attributeMapFeedProductType,0)+1,FALSE)&gt;0,1,0)</formula>
    </cfRule>
    <cfRule type="expression" dxfId="1" priority="1008" stopIfTrue="1">
      <formula>IF(VLOOKUP($FV$3,preferredAttributePTDMap,MATCH($A9,attributeMapFeedProductType,0)+1,FALSE)&gt;0,1,0)</formula>
    </cfRule>
    <cfRule type="expression" dxfId="0" priority="1009" stopIfTrue="1">
      <formula>AND(IF(IFERROR(VLOOKUP($FV$3,requiredAttributePTDMap,MATCH($A9,attributeMapFeedProductType,0)+1,FALSE),0)&gt;0,0,1),IF(IFERROR(VLOOKUP($FV$3,optionalAttributePTDMap,MATCH($A9,attributeMapFeedProductType,0)+1,FALSE),0)&gt;0,0,1),IF(IFERROR(VLOOKUP($FV$3,preferredAttributePTDMap,MATCH($A9,attributeMapFeedProductType,0)+1,FALSE),0)&gt;0,0,1),IF(IFERROR(MATCH($A9,attributeMapFeedProductType,0),0)&gt;0,1,0))</formula>
    </cfRule>
  </conditionalFormatting>
  <conditionalFormatting sqref="FW9">
    <cfRule type="expression" dxfId="4" priority="1010" stopIfTrue="1">
      <formula>IF(LEN(FW9)&gt;0,1,0)</formula>
    </cfRule>
    <cfRule type="expression" dxfId="3" priority="1011" stopIfTrue="1">
      <formula>IF(VLOOKUP($FW$3,requiredAttributePTDMap,MATCH($A9,attributeMapFeedProductType,0)+1,FALSE)&gt;0,1,0)</formula>
    </cfRule>
    <cfRule type="expression" dxfId="2" priority="1012" stopIfTrue="1">
      <formula>IF(VLOOKUP($FW$3,optionalAttributePTDMap,MATCH($A9,attributeMapFeedProductType,0)+1,FALSE)&gt;0,1,0)</formula>
    </cfRule>
    <cfRule type="expression" dxfId="1" priority="1013" stopIfTrue="1">
      <formula>IF(VLOOKUP($FW$3,preferredAttributePTDMap,MATCH($A9,attributeMapFeedProductType,0)+1,FALSE)&gt;0,1,0)</formula>
    </cfRule>
    <cfRule type="expression" dxfId="0" priority="1014" stopIfTrue="1">
      <formula>AND(IF(IFERROR(VLOOKUP($FW$3,requiredAttributePTDMap,MATCH($A9,attributeMapFeedProductType,0)+1,FALSE),0)&gt;0,0,1),IF(IFERROR(VLOOKUP($FW$3,optionalAttributePTDMap,MATCH($A9,attributeMapFeedProductType,0)+1,FALSE),0)&gt;0,0,1),IF(IFERROR(VLOOKUP($FW$3,preferredAttributePTDMap,MATCH($A9,attributeMapFeedProductType,0)+1,FALSE),0)&gt;0,0,1),IF(IFERROR(MATCH($A9,attributeMapFeedProductType,0),0)&gt;0,1,0))</formula>
    </cfRule>
  </conditionalFormatting>
  <conditionalFormatting sqref="FX9">
    <cfRule type="expression" dxfId="4" priority="1015" stopIfTrue="1">
      <formula>IF(LEN(FX9)&gt;0,1,0)</formula>
    </cfRule>
    <cfRule type="expression" dxfId="3" priority="1016" stopIfTrue="1">
      <formula>IF(VLOOKUP($FX$3,requiredAttributePTDMap,MATCH($A9,attributeMapFeedProductType,0)+1,FALSE)&gt;0,1,0)</formula>
    </cfRule>
    <cfRule type="expression" dxfId="2" priority="1017" stopIfTrue="1">
      <formula>IF(VLOOKUP($FX$3,optionalAttributePTDMap,MATCH($A9,attributeMapFeedProductType,0)+1,FALSE)&gt;0,1,0)</formula>
    </cfRule>
    <cfRule type="expression" dxfId="1" priority="1018" stopIfTrue="1">
      <formula>IF(VLOOKUP($FX$3,preferredAttributePTDMap,MATCH($A9,attributeMapFeedProductType,0)+1,FALSE)&gt;0,1,0)</formula>
    </cfRule>
    <cfRule type="expression" dxfId="0" priority="1019" stopIfTrue="1">
      <formula>AND(IF(IFERROR(VLOOKUP($FX$3,requiredAttributePTDMap,MATCH($A9,attributeMapFeedProductType,0)+1,FALSE),0)&gt;0,0,1),IF(IFERROR(VLOOKUP($FX$3,optionalAttributePTDMap,MATCH($A9,attributeMapFeedProductType,0)+1,FALSE),0)&gt;0,0,1),IF(IFERROR(VLOOKUP($FX$3,preferredAttributePTDMap,MATCH($A9,attributeMapFeedProductType,0)+1,FALSE),0)&gt;0,0,1),IF(IFERROR(MATCH($A9,attributeMapFeedProductType,0),0)&gt;0,1,0))</formula>
    </cfRule>
  </conditionalFormatting>
  <conditionalFormatting sqref="FY9">
    <cfRule type="expression" dxfId="4" priority="1020" stopIfTrue="1">
      <formula>IF(LEN(FY9)&gt;0,1,0)</formula>
    </cfRule>
    <cfRule type="expression" dxfId="3" priority="1021" stopIfTrue="1">
      <formula>IF(VLOOKUP($FY$3,requiredAttributePTDMap,MATCH($A9,attributeMapFeedProductType,0)+1,FALSE)&gt;0,1,0)</formula>
    </cfRule>
    <cfRule type="expression" dxfId="2" priority="1022" stopIfTrue="1">
      <formula>IF(VLOOKUP($FY$3,optionalAttributePTDMap,MATCH($A9,attributeMapFeedProductType,0)+1,FALSE)&gt;0,1,0)</formula>
    </cfRule>
    <cfRule type="expression" dxfId="1" priority="1023" stopIfTrue="1">
      <formula>IF(VLOOKUP($FY$3,preferredAttributePTDMap,MATCH($A9,attributeMapFeedProductType,0)+1,FALSE)&gt;0,1,0)</formula>
    </cfRule>
    <cfRule type="expression" dxfId="0" priority="1024" stopIfTrue="1">
      <formula>AND(IF(IFERROR(VLOOKUP($FY$3,requiredAttributePTDMap,MATCH($A9,attributeMapFeedProductType,0)+1,FALSE),0)&gt;0,0,1),IF(IFERROR(VLOOKUP($FY$3,optionalAttributePTDMap,MATCH($A9,attributeMapFeedProductType,0)+1,FALSE),0)&gt;0,0,1),IF(IFERROR(VLOOKUP($FY$3,preferredAttributePTDMap,MATCH($A9,attributeMapFeedProductType,0)+1,FALSE),0)&gt;0,0,1),IF(IFERROR(MATCH($A9,attributeMapFeedProductType,0),0)&gt;0,1,0))</formula>
    </cfRule>
  </conditionalFormatting>
  <conditionalFormatting sqref="FZ9">
    <cfRule type="expression" dxfId="4" priority="1025" stopIfTrue="1">
      <formula>IF(LEN(FZ9)&gt;0,1,0)</formula>
    </cfRule>
    <cfRule type="expression" dxfId="3" priority="1026" stopIfTrue="1">
      <formula>IF(VLOOKUP($FZ$3,requiredAttributePTDMap,MATCH($A9,attributeMapFeedProductType,0)+1,FALSE)&gt;0,1,0)</formula>
    </cfRule>
    <cfRule type="expression" dxfId="2" priority="1027" stopIfTrue="1">
      <formula>IF(VLOOKUP($FZ$3,optionalAttributePTDMap,MATCH($A9,attributeMapFeedProductType,0)+1,FALSE)&gt;0,1,0)</formula>
    </cfRule>
    <cfRule type="expression" dxfId="1" priority="1028" stopIfTrue="1">
      <formula>IF(VLOOKUP($FZ$3,preferredAttributePTDMap,MATCH($A9,attributeMapFeedProductType,0)+1,FALSE)&gt;0,1,0)</formula>
    </cfRule>
    <cfRule type="expression" dxfId="0" priority="1029" stopIfTrue="1">
      <formula>AND(IF(IFERROR(VLOOKUP($FZ$3,requiredAttributePTDMap,MATCH($A9,attributeMapFeedProductType,0)+1,FALSE),0)&gt;0,0,1),IF(IFERROR(VLOOKUP($FZ$3,optionalAttributePTDMap,MATCH($A9,attributeMapFeedProductType,0)+1,FALSE),0)&gt;0,0,1),IF(IFERROR(VLOOKUP($FZ$3,preferredAttributePTDMap,MATCH($A9,attributeMapFeedProductType,0)+1,FALSE),0)&gt;0,0,1),IF(IFERROR(MATCH($A9,attributeMapFeedProductType,0),0)&gt;0,1,0))</formula>
    </cfRule>
  </conditionalFormatting>
  <conditionalFormatting sqref="GA9">
    <cfRule type="expression" dxfId="4" priority="1030" stopIfTrue="1">
      <formula>IF(LEN(GA9)&gt;0,1,0)</formula>
    </cfRule>
    <cfRule type="expression" dxfId="3" priority="1031" stopIfTrue="1">
      <formula>IF(VLOOKUP($GA$3,requiredAttributePTDMap,MATCH($A9,attributeMapFeedProductType,0)+1,FALSE)&gt;0,1,0)</formula>
    </cfRule>
    <cfRule type="expression" dxfId="2" priority="1032" stopIfTrue="1">
      <formula>IF(VLOOKUP($GA$3,optionalAttributePTDMap,MATCH($A9,attributeMapFeedProductType,0)+1,FALSE)&gt;0,1,0)</formula>
    </cfRule>
    <cfRule type="expression" dxfId="1" priority="1033" stopIfTrue="1">
      <formula>IF(VLOOKUP($GA$3,preferredAttributePTDMap,MATCH($A9,attributeMapFeedProductType,0)+1,FALSE)&gt;0,1,0)</formula>
    </cfRule>
    <cfRule type="expression" dxfId="0" priority="1034" stopIfTrue="1">
      <formula>AND(IF(IFERROR(VLOOKUP($GA$3,requiredAttributePTDMap,MATCH($A9,attributeMapFeedProductType,0)+1,FALSE),0)&gt;0,0,1),IF(IFERROR(VLOOKUP($GA$3,optionalAttributePTDMap,MATCH($A9,attributeMapFeedProductType,0)+1,FALSE),0)&gt;0,0,1),IF(IFERROR(VLOOKUP($GA$3,preferredAttributePTDMap,MATCH($A9,attributeMapFeedProductType,0)+1,FALSE),0)&gt;0,0,1),IF(IFERROR(MATCH($A9,attributeMapFeedProductType,0),0)&gt;0,1,0))</formula>
    </cfRule>
  </conditionalFormatting>
  <conditionalFormatting sqref="GB9">
    <cfRule type="expression" dxfId="4" priority="1035" stopIfTrue="1">
      <formula>IF(LEN(GB9)&gt;0,1,0)</formula>
    </cfRule>
    <cfRule type="expression" dxfId="3" priority="1036" stopIfTrue="1">
      <formula>IF(VLOOKUP($GB$3,requiredAttributePTDMap,MATCH($A9,attributeMapFeedProductType,0)+1,FALSE)&gt;0,1,0)</formula>
    </cfRule>
    <cfRule type="expression" dxfId="2" priority="1037" stopIfTrue="1">
      <formula>IF(VLOOKUP($GB$3,optionalAttributePTDMap,MATCH($A9,attributeMapFeedProductType,0)+1,FALSE)&gt;0,1,0)</formula>
    </cfRule>
    <cfRule type="expression" dxfId="1" priority="1038" stopIfTrue="1">
      <formula>IF(VLOOKUP($GB$3,preferredAttributePTDMap,MATCH($A9,attributeMapFeedProductType,0)+1,FALSE)&gt;0,1,0)</formula>
    </cfRule>
    <cfRule type="expression" dxfId="0" priority="1039" stopIfTrue="1">
      <formula>AND(IF(IFERROR(VLOOKUP($GB$3,requiredAttributePTDMap,MATCH($A9,attributeMapFeedProductType,0)+1,FALSE),0)&gt;0,0,1),IF(IFERROR(VLOOKUP($GB$3,optionalAttributePTDMap,MATCH($A9,attributeMapFeedProductType,0)+1,FALSE),0)&gt;0,0,1),IF(IFERROR(VLOOKUP($GB$3,preferredAttributePTDMap,MATCH($A9,attributeMapFeedProductType,0)+1,FALSE),0)&gt;0,0,1),IF(IFERROR(MATCH($A9,attributeMapFeedProductType,0),0)&gt;0,1,0))</formula>
    </cfRule>
  </conditionalFormatting>
  <conditionalFormatting sqref="GC9">
    <cfRule type="expression" dxfId="4" priority="1040" stopIfTrue="1">
      <formula>IF(LEN(GC9)&gt;0,1,0)</formula>
    </cfRule>
    <cfRule type="expression" dxfId="3" priority="1041" stopIfTrue="1">
      <formula>IF(VLOOKUP($GC$3,requiredAttributePTDMap,MATCH($A9,attributeMapFeedProductType,0)+1,FALSE)&gt;0,1,0)</formula>
    </cfRule>
    <cfRule type="expression" dxfId="2" priority="1042" stopIfTrue="1">
      <formula>IF(VLOOKUP($GC$3,optionalAttributePTDMap,MATCH($A9,attributeMapFeedProductType,0)+1,FALSE)&gt;0,1,0)</formula>
    </cfRule>
    <cfRule type="expression" dxfId="1" priority="1043" stopIfTrue="1">
      <formula>IF(VLOOKUP($GC$3,preferredAttributePTDMap,MATCH($A9,attributeMapFeedProductType,0)+1,FALSE)&gt;0,1,0)</formula>
    </cfRule>
    <cfRule type="expression" dxfId="0" priority="1044" stopIfTrue="1">
      <formula>AND(IF(IFERROR(VLOOKUP($GC$3,requiredAttributePTDMap,MATCH($A9,attributeMapFeedProductType,0)+1,FALSE),0)&gt;0,0,1),IF(IFERROR(VLOOKUP($GC$3,optionalAttributePTDMap,MATCH($A9,attributeMapFeedProductType,0)+1,FALSE),0)&gt;0,0,1),IF(IFERROR(VLOOKUP($GC$3,preferredAttributePTDMap,MATCH($A9,attributeMapFeedProductType,0)+1,FALSE),0)&gt;0,0,1),IF(IFERROR(MATCH($A9,attributeMapFeedProductType,0),0)&gt;0,1,0))</formula>
    </cfRule>
  </conditionalFormatting>
  <conditionalFormatting sqref="GD9">
    <cfRule type="expression" dxfId="4" priority="1045" stopIfTrue="1">
      <formula>IF(LEN(GD9)&gt;0,1,0)</formula>
    </cfRule>
    <cfRule type="expression" dxfId="3" priority="1046" stopIfTrue="1">
      <formula>IF(VLOOKUP($GD$3,requiredAttributePTDMap,MATCH($A9,attributeMapFeedProductType,0)+1,FALSE)&gt;0,1,0)</formula>
    </cfRule>
    <cfRule type="expression" dxfId="2" priority="1047" stopIfTrue="1">
      <formula>IF(VLOOKUP($GD$3,optionalAttributePTDMap,MATCH($A9,attributeMapFeedProductType,0)+1,FALSE)&gt;0,1,0)</formula>
    </cfRule>
    <cfRule type="expression" dxfId="1" priority="1048" stopIfTrue="1">
      <formula>IF(VLOOKUP($GD$3,preferredAttributePTDMap,MATCH($A9,attributeMapFeedProductType,0)+1,FALSE)&gt;0,1,0)</formula>
    </cfRule>
    <cfRule type="expression" dxfId="0" priority="1049" stopIfTrue="1">
      <formula>AND(IF(IFERROR(VLOOKUP($GD$3,requiredAttributePTDMap,MATCH($A9,attributeMapFeedProductType,0)+1,FALSE),0)&gt;0,0,1),IF(IFERROR(VLOOKUP($GD$3,optionalAttributePTDMap,MATCH($A9,attributeMapFeedProductType,0)+1,FALSE),0)&gt;0,0,1),IF(IFERROR(VLOOKUP($GD$3,preferredAttributePTDMap,MATCH($A9,attributeMapFeedProductType,0)+1,FALSE),0)&gt;0,0,1),IF(IFERROR(MATCH($A9,attributeMapFeedProductType,0),0)&gt;0,1,0))</formula>
    </cfRule>
  </conditionalFormatting>
  <conditionalFormatting sqref="GE9">
    <cfRule type="expression" dxfId="4" priority="1050" stopIfTrue="1">
      <formula>IF(LEN(GE9)&gt;0,1,0)</formula>
    </cfRule>
    <cfRule type="expression" dxfId="3" priority="1051" stopIfTrue="1">
      <formula>IF(VLOOKUP($GE$3,requiredAttributePTDMap,MATCH($A9,attributeMapFeedProductType,0)+1,FALSE)&gt;0,1,0)</formula>
    </cfRule>
    <cfRule type="expression" dxfId="2" priority="1052" stopIfTrue="1">
      <formula>IF(VLOOKUP($GE$3,optionalAttributePTDMap,MATCH($A9,attributeMapFeedProductType,0)+1,FALSE)&gt;0,1,0)</formula>
    </cfRule>
    <cfRule type="expression" dxfId="1" priority="1053" stopIfTrue="1">
      <formula>IF(VLOOKUP($GE$3,preferredAttributePTDMap,MATCH($A9,attributeMapFeedProductType,0)+1,FALSE)&gt;0,1,0)</formula>
    </cfRule>
    <cfRule type="expression" dxfId="0" priority="1054" stopIfTrue="1">
      <formula>AND(IF(IFERROR(VLOOKUP($GE$3,requiredAttributePTDMap,MATCH($A9,attributeMapFeedProductType,0)+1,FALSE),0)&gt;0,0,1),IF(IFERROR(VLOOKUP($GE$3,optionalAttributePTDMap,MATCH($A9,attributeMapFeedProductType,0)+1,FALSE),0)&gt;0,0,1),IF(IFERROR(VLOOKUP($GE$3,preferredAttributePTDMap,MATCH($A9,attributeMapFeedProductType,0)+1,FALSE),0)&gt;0,0,1),IF(IFERROR(MATCH($A9,attributeMapFeedProductType,0),0)&gt;0,1,0))</formula>
    </cfRule>
  </conditionalFormatting>
  <conditionalFormatting sqref="GF9">
    <cfRule type="expression" dxfId="4" priority="1055" stopIfTrue="1">
      <formula>IF(LEN(GF9)&gt;0,1,0)</formula>
    </cfRule>
    <cfRule type="expression" dxfId="3" priority="1056" stopIfTrue="1">
      <formula>IF(VLOOKUP($GF$3,requiredAttributePTDMap,MATCH($A9,attributeMapFeedProductType,0)+1,FALSE)&gt;0,1,0)</formula>
    </cfRule>
    <cfRule type="expression" dxfId="2" priority="1057" stopIfTrue="1">
      <formula>IF(VLOOKUP($GF$3,optionalAttributePTDMap,MATCH($A9,attributeMapFeedProductType,0)+1,FALSE)&gt;0,1,0)</formula>
    </cfRule>
    <cfRule type="expression" dxfId="1" priority="1058" stopIfTrue="1">
      <formula>IF(VLOOKUP($GF$3,preferredAttributePTDMap,MATCH($A9,attributeMapFeedProductType,0)+1,FALSE)&gt;0,1,0)</formula>
    </cfRule>
    <cfRule type="expression" dxfId="0" priority="1059" stopIfTrue="1">
      <formula>AND(IF(IFERROR(VLOOKUP($GF$3,requiredAttributePTDMap,MATCH($A9,attributeMapFeedProductType,0)+1,FALSE),0)&gt;0,0,1),IF(IFERROR(VLOOKUP($GF$3,optionalAttributePTDMap,MATCH($A9,attributeMapFeedProductType,0)+1,FALSE),0)&gt;0,0,1),IF(IFERROR(VLOOKUP($GF$3,preferredAttributePTDMap,MATCH($A9,attributeMapFeedProductType,0)+1,FALSE),0)&gt;0,0,1),IF(IFERROR(MATCH($A9,attributeMapFeedProductType,0),0)&gt;0,1,0))</formula>
    </cfRule>
  </conditionalFormatting>
  <conditionalFormatting sqref="GG9">
    <cfRule type="expression" dxfId="4" priority="1060" stopIfTrue="1">
      <formula>IF(LEN(GG9)&gt;0,1,0)</formula>
    </cfRule>
    <cfRule type="expression" dxfId="3" priority="1061" stopIfTrue="1">
      <formula>IF(VLOOKUP($GG$3,requiredAttributePTDMap,MATCH($A9,attributeMapFeedProductType,0)+1,FALSE)&gt;0,1,0)</formula>
    </cfRule>
    <cfRule type="expression" dxfId="2" priority="1062" stopIfTrue="1">
      <formula>IF(VLOOKUP($GG$3,optionalAttributePTDMap,MATCH($A9,attributeMapFeedProductType,0)+1,FALSE)&gt;0,1,0)</formula>
    </cfRule>
    <cfRule type="expression" dxfId="1" priority="1063" stopIfTrue="1">
      <formula>IF(VLOOKUP($GG$3,preferredAttributePTDMap,MATCH($A9,attributeMapFeedProductType,0)+1,FALSE)&gt;0,1,0)</formula>
    </cfRule>
    <cfRule type="expression" dxfId="0" priority="1064" stopIfTrue="1">
      <formula>AND(IF(IFERROR(VLOOKUP($GG$3,requiredAttributePTDMap,MATCH($A9,attributeMapFeedProductType,0)+1,FALSE),0)&gt;0,0,1),IF(IFERROR(VLOOKUP($GG$3,optionalAttributePTDMap,MATCH($A9,attributeMapFeedProductType,0)+1,FALSE),0)&gt;0,0,1),IF(IFERROR(VLOOKUP($GG$3,preferredAttributePTDMap,MATCH($A9,attributeMapFeedProductType,0)+1,FALSE),0)&gt;0,0,1),IF(IFERROR(MATCH($A9,attributeMapFeedProductType,0),0)&gt;0,1,0))</formula>
    </cfRule>
  </conditionalFormatting>
  <conditionalFormatting sqref="GH9">
    <cfRule type="expression" dxfId="4" priority="1065" stopIfTrue="1">
      <formula>IF(LEN(GH9)&gt;0,1,0)</formula>
    </cfRule>
    <cfRule type="expression" dxfId="3" priority="1066" stopIfTrue="1">
      <formula>IF(VLOOKUP($GH$3,requiredAttributePTDMap,MATCH($A9,attributeMapFeedProductType,0)+1,FALSE)&gt;0,1,0)</formula>
    </cfRule>
    <cfRule type="expression" dxfId="2" priority="1067" stopIfTrue="1">
      <formula>IF(VLOOKUP($GH$3,optionalAttributePTDMap,MATCH($A9,attributeMapFeedProductType,0)+1,FALSE)&gt;0,1,0)</formula>
    </cfRule>
    <cfRule type="expression" dxfId="1" priority="1068" stopIfTrue="1">
      <formula>IF(VLOOKUP($GH$3,preferredAttributePTDMap,MATCH($A9,attributeMapFeedProductType,0)+1,FALSE)&gt;0,1,0)</formula>
    </cfRule>
    <cfRule type="expression" dxfId="0" priority="1069" stopIfTrue="1">
      <formula>AND(IF(IFERROR(VLOOKUP($GH$3,requiredAttributePTDMap,MATCH($A9,attributeMapFeedProductType,0)+1,FALSE),0)&gt;0,0,1),IF(IFERROR(VLOOKUP($GH$3,optionalAttributePTDMap,MATCH($A9,attributeMapFeedProductType,0)+1,FALSE),0)&gt;0,0,1),IF(IFERROR(VLOOKUP($GH$3,preferredAttributePTDMap,MATCH($A9,attributeMapFeedProductType,0)+1,FALSE),0)&gt;0,0,1),IF(IFERROR(MATCH($A9,attributeMapFeedProductType,0),0)&gt;0,1,0))</formula>
    </cfRule>
  </conditionalFormatting>
  <conditionalFormatting sqref="GI9">
    <cfRule type="expression" dxfId="4" priority="1070" stopIfTrue="1">
      <formula>IF(LEN(GI9)&gt;0,1,0)</formula>
    </cfRule>
    <cfRule type="expression" dxfId="3" priority="1071" stopIfTrue="1">
      <formula>IF(VLOOKUP($GI$3,requiredAttributePTDMap,MATCH($A9,attributeMapFeedProductType,0)+1,FALSE)&gt;0,1,0)</formula>
    </cfRule>
    <cfRule type="expression" dxfId="2" priority="1072" stopIfTrue="1">
      <formula>IF(VLOOKUP($GI$3,optionalAttributePTDMap,MATCH($A9,attributeMapFeedProductType,0)+1,FALSE)&gt;0,1,0)</formula>
    </cfRule>
    <cfRule type="expression" dxfId="1" priority="1073" stopIfTrue="1">
      <formula>IF(VLOOKUP($GI$3,preferredAttributePTDMap,MATCH($A9,attributeMapFeedProductType,0)+1,FALSE)&gt;0,1,0)</formula>
    </cfRule>
    <cfRule type="expression" dxfId="0" priority="1074" stopIfTrue="1">
      <formula>AND(IF(IFERROR(VLOOKUP($GI$3,requiredAttributePTDMap,MATCH($A9,attributeMapFeedProductType,0)+1,FALSE),0)&gt;0,0,1),IF(IFERROR(VLOOKUP($GI$3,optionalAttributePTDMap,MATCH($A9,attributeMapFeedProductType,0)+1,FALSE),0)&gt;0,0,1),IF(IFERROR(VLOOKUP($GI$3,preferredAttributePTDMap,MATCH($A9,attributeMapFeedProductType,0)+1,FALSE),0)&gt;0,0,1),IF(IFERROR(MATCH($A9,attributeMapFeedProductType,0),0)&gt;0,1,0))</formula>
    </cfRule>
  </conditionalFormatting>
  <conditionalFormatting sqref="B11">
    <cfRule type="expression" dxfId="4" priority="21" stopIfTrue="1">
      <formula>IF(LEN(B11)&gt;0,1,0)</formula>
    </cfRule>
    <cfRule type="expression" dxfId="3" priority="22" stopIfTrue="1">
      <formula>IF(VLOOKUP($B$3,requiredAttributePTDMap,MATCH($A11,attributeMapFeedProductType,0)+1,FALSE)&gt;0,1,0)</formula>
    </cfRule>
    <cfRule type="expression" dxfId="2" priority="23" stopIfTrue="1">
      <formula>IF(VLOOKUP($B$3,EP02093IT,MATCH($A11,attributeMapFeedProductType,0)+1,FALSE)&gt;0,1,0)</formula>
    </cfRule>
    <cfRule type="expression" dxfId="1" priority="24" stopIfTrue="1">
      <formula>IF(VLOOKUP($B$3,preferredAttributePTDMap,MATCH($A11,attributeMapFeedProductType,0)+1,FALSE)&gt;0,1,0)</formula>
    </cfRule>
    <cfRule type="expression" dxfId="0" priority="25" stopIfTrue="1">
      <formula>AND(IF(IFERROR(VLOOKUP($B$3,requiredAttributePTDMap,MATCH($A11,attributeMapFeedProductType,0)+1,FALSE),0)&gt;0,0,1),IF(IFERROR(VLOOKUP($B$3,EP02093IT,MATCH($A11,attributeMapFeedProductType,0)+1,FALSE),0)&gt;0,0,1),IF(IFERROR(VLOOKUP($B$3,preferredAttributePTDMap,MATCH($A11,attributeMapFeedProductType,0)+1,FALSE),0)&gt;0,0,1),IF(IFERROR(MATCH($A11,attributeMapFeedProductType,0),0)&gt;0,1,0))</formula>
    </cfRule>
  </conditionalFormatting>
  <conditionalFormatting sqref="CQ11">
    <cfRule type="expression" dxfId="4" priority="1129" stopIfTrue="1">
      <formula>IF(LEN(CQ11)&gt;0,1,0)</formula>
    </cfRule>
    <cfRule type="expression" dxfId="3" priority="1134" stopIfTrue="1">
      <formula>IF(VLOOKUP($CO$3,requiredAttributePTDMap,MATCH($A11,attributeMapFeedProductType,0)+1,FALSE)&gt;0,1,0)</formula>
    </cfRule>
    <cfRule type="expression" dxfId="2" priority="1139" stopIfTrue="1">
      <formula>IF(VLOOKUP($CO$3,optionalAttributePTDMap,MATCH($A11,attributeMapFeedProductType,0)+1,FALSE)&gt;0,1,0)</formula>
    </cfRule>
    <cfRule type="expression" dxfId="1" priority="1144" stopIfTrue="1">
      <formula>IF(VLOOKUP($CO$3,preferredAttributePTDMap,MATCH($A11,attributeMapFeedProductType,0)+1,FALSE)&gt;0,1,0)</formula>
    </cfRule>
    <cfRule type="expression" dxfId="0" priority="1149" stopIfTrue="1">
      <formula>AND(IF(IFERROR(VLOOKUP($CO$3,requiredAttributePTDMap,MATCH($A11,attributeMapFeedProductType,0)+1,FALSE),0)&gt;0,0,1),IF(IFERROR(VLOOKUP($CO$3,optionalAttributePTDMap,MATCH($A11,attributeMapFeedProductType,0)+1,FALSE),0)&gt;0,0,1),IF(IFERROR(VLOOKUP($CO$3,preferredAttributePTDMap,MATCH($A11,attributeMapFeedProductType,0)+1,FALSE),0)&gt;0,0,1),IF(IFERROR(MATCH($A11,attributeMapFeedProductType,0),0)&gt;0,1,0))</formula>
    </cfRule>
  </conditionalFormatting>
  <conditionalFormatting sqref="CR11">
    <cfRule type="expression" dxfId="4" priority="1111" stopIfTrue="1">
      <formula>IF(LEN(CR11)&gt;0,1,0)</formula>
    </cfRule>
    <cfRule type="expression" dxfId="3" priority="1113" stopIfTrue="1">
      <formula>IF(VLOOKUP($CP$3,requiredAttributePTDMap,MATCH($A11,attributeMapFeedProductType,0)+1,FALSE)&gt;0,1,0)</formula>
    </cfRule>
    <cfRule type="expression" dxfId="2" priority="1115" stopIfTrue="1">
      <formula>IF(VLOOKUP($CP$3,optionalAttributePTDMap,MATCH($A11,attributeMapFeedProductType,0)+1,FALSE)&gt;0,1,0)</formula>
    </cfRule>
    <cfRule type="expression" dxfId="1" priority="1117" stopIfTrue="1">
      <formula>IF(VLOOKUP($CP$3,preferredAttributePTDMap,MATCH($A11,attributeMapFeedProductType,0)+1,FALSE)&gt;0,1,0)</formula>
    </cfRule>
    <cfRule type="expression" dxfId="0" priority="1119" stopIfTrue="1">
      <formula>AND(IF(IFERROR(VLOOKUP($CP$3,requiredAttributePTDMap,MATCH($A11,attributeMapFeedProductType,0)+1,FALSE),0)&gt;0,0,1),IF(IFERROR(VLOOKUP($CP$3,optionalAttributePTDMap,MATCH($A11,attributeMapFeedProductType,0)+1,FALSE),0)&gt;0,0,1),IF(IFERROR(VLOOKUP($CP$3,preferredAttributePTDMap,MATCH($A11,attributeMapFeedProductType,0)+1,FALSE),0)&gt;0,0,1),IF(IFERROR(MATCH($A11,attributeMapFeedProductType,0),0)&gt;0,1,0))</formula>
    </cfRule>
  </conditionalFormatting>
  <conditionalFormatting sqref="CQ12">
    <cfRule type="expression" dxfId="4" priority="1128" stopIfTrue="1">
      <formula>IF(LEN(CQ12)&gt;0,1,0)</formula>
    </cfRule>
    <cfRule type="expression" dxfId="3" priority="1133" stopIfTrue="1">
      <formula>IF(VLOOKUP($CO$3,requiredAttributePTDMap,MATCH($A12,attributeMapFeedProductType,0)+1,FALSE)&gt;0,1,0)</formula>
    </cfRule>
    <cfRule type="expression" dxfId="2" priority="1138" stopIfTrue="1">
      <formula>IF(VLOOKUP($CO$3,optionalAttributePTDMap,MATCH($A12,attributeMapFeedProductType,0)+1,FALSE)&gt;0,1,0)</formula>
    </cfRule>
    <cfRule type="expression" dxfId="1" priority="1143" stopIfTrue="1">
      <formula>IF(VLOOKUP($CO$3,preferredAttributePTDMap,MATCH($A12,attributeMapFeedProductType,0)+1,FALSE)&gt;0,1,0)</formula>
    </cfRule>
    <cfRule type="expression" dxfId="0" priority="1148" stopIfTrue="1">
      <formula>AND(IF(IFERROR(VLOOKUP($CO$3,requiredAttributePTDMap,MATCH($A12,attributeMapFeedProductType,0)+1,FALSE),0)&gt;0,0,1),IF(IFERROR(VLOOKUP($CO$3,optionalAttributePTDMap,MATCH($A12,attributeMapFeedProductType,0)+1,FALSE),0)&gt;0,0,1),IF(IFERROR(VLOOKUP($CO$3,preferredAttributePTDMap,MATCH($A12,attributeMapFeedProductType,0)+1,FALSE),0)&gt;0,0,1),IF(IFERROR(MATCH($A12,attributeMapFeedProductType,0),0)&gt;0,1,0))</formula>
    </cfRule>
  </conditionalFormatting>
  <conditionalFormatting sqref="B14">
    <cfRule type="expression" dxfId="4" priority="16" stopIfTrue="1">
      <formula>IF(LEN(B14)&gt;0,1,0)</formula>
    </cfRule>
    <cfRule type="expression" dxfId="3" priority="17" stopIfTrue="1">
      <formula>IF(VLOOKUP($B$3,requiredAttributePTDMap,MATCH($A14,attributeMapFeedProductType,0)+1,FALSE)&gt;0,1,0)</formula>
    </cfRule>
    <cfRule type="expression" dxfId="2" priority="18" stopIfTrue="1">
      <formula>IF(VLOOKUP($B$3,EP02093IT,MATCH($A14,attributeMapFeedProductType,0)+1,FALSE)&gt;0,1,0)</formula>
    </cfRule>
    <cfRule type="expression" dxfId="1" priority="19" stopIfTrue="1">
      <formula>IF(VLOOKUP($B$3,preferredAttributePTDMap,MATCH($A14,attributeMapFeedProductType,0)+1,FALSE)&gt;0,1,0)</formula>
    </cfRule>
    <cfRule type="expression" dxfId="0" priority="20" stopIfTrue="1">
      <formula>AND(IF(IFERROR(VLOOKUP($B$3,requiredAttributePTDMap,MATCH($A14,attributeMapFeedProductType,0)+1,FALSE),0)&gt;0,0,1),IF(IFERROR(VLOOKUP($B$3,EP02093IT,MATCH($A14,attributeMapFeedProductType,0)+1,FALSE),0)&gt;0,0,1),IF(IFERROR(VLOOKUP($B$3,preferredAttributePTDMap,MATCH($A14,attributeMapFeedProductType,0)+1,FALSE),0)&gt;0,0,1),IF(IFERROR(MATCH($A14,attributeMapFeedProductType,0),0)&gt;0,1,0))</formula>
    </cfRule>
  </conditionalFormatting>
  <conditionalFormatting sqref="B21">
    <cfRule type="expression" dxfId="4" priority="11" stopIfTrue="1">
      <formula>IF(LEN(B21)&gt;0,1,0)</formula>
    </cfRule>
    <cfRule type="expression" dxfId="3" priority="12" stopIfTrue="1">
      <formula>IF(VLOOKUP($B$3,requiredAttributePTDMap,MATCH($A21,attributeMapFeedProductType,0)+1,FALSE)&gt;0,1,0)</formula>
    </cfRule>
    <cfRule type="expression" dxfId="2" priority="13" stopIfTrue="1">
      <formula>IF(VLOOKUP($B$3,EP02093IT,MATCH($A21,attributeMapFeedProductType,0)+1,FALSE)&gt;0,1,0)</formula>
    </cfRule>
    <cfRule type="expression" dxfId="1" priority="14" stopIfTrue="1">
      <formula>IF(VLOOKUP($B$3,preferredAttributePTDMap,MATCH($A21,attributeMapFeedProductType,0)+1,FALSE)&gt;0,1,0)</formula>
    </cfRule>
    <cfRule type="expression" dxfId="0" priority="15" stopIfTrue="1">
      <formula>AND(IF(IFERROR(VLOOKUP($B$3,requiredAttributePTDMap,MATCH($A21,attributeMapFeedProductType,0)+1,FALSE),0)&gt;0,0,1),IF(IFERROR(VLOOKUP($B$3,EP02093IT,MATCH($A21,attributeMapFeedProductType,0)+1,FALSE),0)&gt;0,0,1),IF(IFERROR(VLOOKUP($B$3,preferredAttributePTDMap,MATCH($A21,attributeMapFeedProductType,0)+1,FALSE),0)&gt;0,0,1),IF(IFERROR(MATCH($A21,attributeMapFeedProductType,0),0)&gt;0,1,0))</formula>
    </cfRule>
  </conditionalFormatting>
  <conditionalFormatting sqref="B24">
    <cfRule type="expression" dxfId="4" priority="6" stopIfTrue="1">
      <formula>IF(LEN(B24)&gt;0,1,0)</formula>
    </cfRule>
    <cfRule type="expression" dxfId="3" priority="7" stopIfTrue="1">
      <formula>IF(VLOOKUP($B$3,requiredAttributePTDMap,MATCH($A24,attributeMapFeedProductType,0)+1,FALSE)&gt;0,1,0)</formula>
    </cfRule>
    <cfRule type="expression" dxfId="2" priority="8" stopIfTrue="1">
      <formula>IF(VLOOKUP($B$3,EP02093IT,MATCH($A24,attributeMapFeedProductType,0)+1,FALSE)&gt;0,1,0)</formula>
    </cfRule>
    <cfRule type="expression" dxfId="1" priority="9" stopIfTrue="1">
      <formula>IF(VLOOKUP($B$3,preferredAttributePTDMap,MATCH($A24,attributeMapFeedProductType,0)+1,FALSE)&gt;0,1,0)</formula>
    </cfRule>
    <cfRule type="expression" dxfId="0" priority="10" stopIfTrue="1">
      <formula>AND(IF(IFERROR(VLOOKUP($B$3,requiredAttributePTDMap,MATCH($A24,attributeMapFeedProductType,0)+1,FALSE),0)&gt;0,0,1),IF(IFERROR(VLOOKUP($B$3,EP02093IT,MATCH($A24,attributeMapFeedProductType,0)+1,FALSE),0)&gt;0,0,1),IF(IFERROR(VLOOKUP($B$3,preferredAttributePTDMap,MATCH($A24,attributeMapFeedProductType,0)+1,FALSE),0)&gt;0,0,1),IF(IFERROR(MATCH($A24,attributeMapFeedProductType,0),0)&gt;0,1,0))</formula>
    </cfRule>
  </conditionalFormatting>
  <conditionalFormatting sqref="B36">
    <cfRule type="expression" dxfId="4" priority="31" stopIfTrue="1">
      <formula>IF(LEN(B36)&gt;0,1,0)</formula>
    </cfRule>
    <cfRule type="expression" dxfId="3" priority="32" stopIfTrue="1">
      <formula>IF(VLOOKUP($B$3,requiredAttributePTDMap,MATCH($A36,attributeMapFeedProductType,0)+1,FALSE)&gt;0,1,0)</formula>
    </cfRule>
    <cfRule type="expression" dxfId="2" priority="33" stopIfTrue="1">
      <formula>IF(VLOOKUP($B$3,EP02093IT,MATCH($A36,attributeMapFeedProductType,0)+1,FALSE)&gt;0,1,0)</formula>
    </cfRule>
    <cfRule type="expression" dxfId="1" priority="34" stopIfTrue="1">
      <formula>IF(VLOOKUP($B$3,preferredAttributePTDMap,MATCH($A36,attributeMapFeedProductType,0)+1,FALSE)&gt;0,1,0)</formula>
    </cfRule>
    <cfRule type="expression" dxfId="0" priority="35" stopIfTrue="1">
      <formula>AND(IF(IFERROR(VLOOKUP($B$3,requiredAttributePTDMap,MATCH($A36,attributeMapFeedProductType,0)+1,FALSE),0)&gt;0,0,1),IF(IFERROR(VLOOKUP($B$3,EP02093IT,MATCH($A36,attributeMapFeedProductType,0)+1,FALSE),0)&gt;0,0,1),IF(IFERROR(VLOOKUP($B$3,preferredAttributePTDMap,MATCH($A36,attributeMapFeedProductType,0)+1,FALSE),0)&gt;0,0,1),IF(IFERROR(MATCH($A36,attributeMapFeedProductType,0),0)&gt;0,1,0))</formula>
    </cfRule>
  </conditionalFormatting>
  <conditionalFormatting sqref="B37:B84">
    <cfRule type="expression" dxfId="4" priority="41" stopIfTrue="1">
      <formula>IF(LEN(B37)&gt;0,1,0)</formula>
    </cfRule>
    <cfRule type="expression" dxfId="3" priority="42" stopIfTrue="1">
      <formula>IF(VLOOKUP($B$3,requiredAttributePTDMap,MATCH($A37,attributeMapFeedProductType,0)+1,FALSE)&gt;0,1,0)</formula>
    </cfRule>
    <cfRule type="expression" dxfId="2" priority="43" stopIfTrue="1">
      <formula>IF(VLOOKUP($B$3,optionalAttributePTDMap,MATCH($A37,attributeMapFeedProductType,0)+1,FALSE)&gt;0,1,0)</formula>
    </cfRule>
    <cfRule type="expression" dxfId="1" priority="44" stopIfTrue="1">
      <formula>IF(VLOOKUP($B$3,preferredAttributePTDMap,MATCH($A37,attributeMapFeedProductType,0)+1,FALSE)&gt;0,1,0)</formula>
    </cfRule>
    <cfRule type="expression" dxfId="0" priority="45"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onditionalFormatting>
  <conditionalFormatting sqref="B37:B47">
    <cfRule type="expression" dxfId="4" priority="46" stopIfTrue="1">
      <formula>IF(LEN(B37)&gt;0,1,0)</formula>
    </cfRule>
    <cfRule type="expression" dxfId="3" priority="47" stopIfTrue="1">
      <formula>IF(VLOOKUP($E$3,requiredAttributePTDMap,MATCH($A37,attributeMapFeedProductType,0)+1,FALSE)&gt;0,1,0)</formula>
    </cfRule>
    <cfRule type="expression" dxfId="2" priority="48" stopIfTrue="1">
      <formula>IF(VLOOKUP($E$3,optionalAttributePTDMap,MATCH($A37,attributeMapFeedProductType,0)+1,FALSE)&gt;0,1,0)</formula>
    </cfRule>
    <cfRule type="expression" dxfId="1" priority="49" stopIfTrue="1">
      <formula>IF(VLOOKUP($E$3,preferredAttributePTDMap,MATCH($A37,attributeMapFeedProductType,0)+1,FALSE)&gt;0,1,0)</formula>
    </cfRule>
    <cfRule type="expression" dxfId="0" priority="50"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3" priority="51" stopIfTrue="1">
      <formula>IF(VLOOKUP($F$3,requiredAttributePTDMap,MATCH($A37,attributeMapFeedProductType,0)+1,FALSE)&gt;0,1,0)</formula>
    </cfRule>
    <cfRule type="expression" dxfId="2" priority="52" stopIfTrue="1">
      <formula>IF(VLOOKUP($F$3,optionalAttributePTDMap,MATCH($A37,attributeMapFeedProductType,0)+1,FALSE)&gt;0,1,0)</formula>
    </cfRule>
    <cfRule type="expression" dxfId="1" priority="53" stopIfTrue="1">
      <formula>IF(VLOOKUP($F$3,preferredAttributePTDMap,MATCH($A37,attributeMapFeedProductType,0)+1,FALSE)&gt;0,1,0)</formula>
    </cfRule>
    <cfRule type="expression" dxfId="0" priority="54" stopIfTrue="1">
      <formula>AND(IF(IFERROR(VLOOKUP($F$3,requiredAttributePTDMap,MATCH($A37,attributeMapFeedProductType,0)+1,FALSE),0)&gt;0,0,1),IF(IFERROR(VLOOKUP($F$3,optionalAttributePTDMap,MATCH($A37,attributeMapFeedProductType,0)+1,FALSE),0)&gt;0,0,1),IF(IFERROR(VLOOKUP($F$3,preferredAttributePTDMap,MATCH($A37,attributeMapFeedProductType,0)+1,FALSE),0)&gt;0,0,1),IF(IFERROR(MATCH($A37,attributeMapFeedProductType,0),0)&gt;0,1,0))</formula>
    </cfRule>
  </conditionalFormatting>
  <conditionalFormatting sqref="B156:B1048576">
    <cfRule type="expression" dxfId="4" priority="1325" stopIfTrue="1">
      <formula>IF(LEN(B156)&gt;0,1,0)</formula>
    </cfRule>
    <cfRule type="expression" dxfId="3" priority="1326" stopIfTrue="1">
      <formula>IF(VLOOKUP($B$3,requiredAttributePTDMap,MATCH($A156,attributeMapFeedProductType,0)+1,FALSE)&gt;0,1,0)</formula>
    </cfRule>
    <cfRule type="expression" dxfId="2" priority="1327" stopIfTrue="1">
      <formula>IF(VLOOKUP($B$3,optionalAttributePTDMap,MATCH($A156,attributeMapFeedProductType,0)+1,FALSE)&gt;0,1,0)</formula>
    </cfRule>
    <cfRule type="expression" dxfId="1" priority="1328" stopIfTrue="1">
      <formula>IF(VLOOKUP($B$3,preferredAttributePTDMap,MATCH($A156,attributeMapFeedProductType,0)+1,FALSE)&gt;0,1,0)</formula>
    </cfRule>
    <cfRule type="expression" dxfId="0" priority="1329" stopIfTrue="1">
      <formula>AND(IF(IFERROR(VLOOKUP($B$3,requiredAttributePTDMap,MATCH($A156,attributeMapFeedProductType,0)+1,FALSE),0)&gt;0,0,1),IF(IFERROR(VLOOKUP($B$3,optionalAttributePTDMap,MATCH($A156,attributeMapFeedProductType,0)+1,FALSE),0)&gt;0,0,1),IF(IFERROR(VLOOKUP($B$3,preferredAttributePTDMap,MATCH($A156,attributeMapFeedProductType,0)+1,FALSE),0)&gt;0,0,1),IF(IFERROR(MATCH($A156,attributeMapFeedProductType,0),0)&gt;0,1,0))</formula>
    </cfRule>
  </conditionalFormatting>
  <conditionalFormatting sqref="D156:D1048576">
    <cfRule type="expression" dxfId="4" priority="1340" stopIfTrue="1">
      <formula>IF(LEN(D156)&gt;0,1,0)</formula>
    </cfRule>
    <cfRule type="expression" dxfId="3" priority="1341" stopIfTrue="1">
      <formula>IF(VLOOKUP($D$3,requiredAttributePTDMap,MATCH($A156,attributeMapFeedProductType,0)+1,FALSE)&gt;0,1,0)</formula>
    </cfRule>
    <cfRule type="expression" dxfId="2" priority="1342" stopIfTrue="1">
      <formula>IF(VLOOKUP($D$3,optionalAttributePTDMap,MATCH($A156,attributeMapFeedProductType,0)+1,FALSE)&gt;0,1,0)</formula>
    </cfRule>
    <cfRule type="expression" dxfId="1" priority="1343" stopIfTrue="1">
      <formula>IF(VLOOKUP($D$3,preferredAttributePTDMap,MATCH($A156,attributeMapFeedProductType,0)+1,FALSE)&gt;0,1,0)</formula>
    </cfRule>
    <cfRule type="expression" dxfId="0" priority="1344" stopIfTrue="1">
      <formula>AND(IF(IFERROR(VLOOKUP($D$3,requiredAttributePTDMap,MATCH($A156,attributeMapFeedProductType,0)+1,FALSE),0)&gt;0,0,1),IF(IFERROR(VLOOKUP($D$3,optionalAttributePTDMap,MATCH($A156,attributeMapFeedProductType,0)+1,FALSE),0)&gt;0,0,1),IF(IFERROR(VLOOKUP($D$3,preferredAttributePTDMap,MATCH($A156,attributeMapFeedProductType,0)+1,FALSE),0)&gt;0,0,1),IF(IFERROR(MATCH($A156,attributeMapFeedProductType,0),0)&gt;0,1,0))</formula>
    </cfRule>
  </conditionalFormatting>
  <conditionalFormatting sqref="E4:E12">
    <cfRule type="expression" dxfId="4" priority="2344" stopIfTrue="1">
      <formula>IF(LEN(E4)&gt;0,1,0)</formula>
    </cfRule>
    <cfRule type="expression" dxfId="3" priority="2345" stopIfTrue="1">
      <formula>IF(VLOOKUP($E$3,requiredAttributePTDMap,MATCH($A5,attributeMapFeedProductType,0)+1,FALSE)&gt;0,1,0)</formula>
    </cfRule>
    <cfRule type="expression" dxfId="2" priority="2346" stopIfTrue="1">
      <formula>IF(VLOOKUP($E$3,optionalAttributePTDMap,MATCH($A5,attributeMapFeedProductType,0)+1,FALSE)&gt;0,1,0)</formula>
    </cfRule>
    <cfRule type="expression" dxfId="1" priority="2347" stopIfTrue="1">
      <formula>IF(VLOOKUP($E$3,preferredAttributePTDMap,MATCH($A5,attributeMapFeedProductType,0)+1,FALSE)&gt;0,1,0)</formula>
    </cfRule>
    <cfRule type="expression" dxfId="0" priority="2348"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E13:E15">
    <cfRule type="expression" dxfId="4" priority="1080" stopIfTrue="1">
      <formula>IF(LEN(E13)&gt;0,1,0)</formula>
    </cfRule>
    <cfRule type="expression" dxfId="3" priority="1081" stopIfTrue="1">
      <formula>IF(VLOOKUP($E$3,requiredAttributePTDMap,MATCH($A13,attributeMapFeedProductType,0)+1,FALSE)&gt;0,1,0)</formula>
    </cfRule>
    <cfRule type="expression" dxfId="2" priority="1082" stopIfTrue="1">
      <formula>IF(VLOOKUP($E$3,optionalAttributePTDMap,MATCH($A13,attributeMapFeedProductType,0)+1,FALSE)&gt;0,1,0)</formula>
    </cfRule>
    <cfRule type="expression" dxfId="1" priority="1083" stopIfTrue="1">
      <formula>IF(VLOOKUP($E$3,preferredAttributePTDMap,MATCH($A13,attributeMapFeedProductType,0)+1,FALSE)&gt;0,1,0)</formula>
    </cfRule>
    <cfRule type="expression" dxfId="0" priority="1084"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onditionalFormatting>
  <conditionalFormatting sqref="E156:E1048576">
    <cfRule type="expression" dxfId="4" priority="1345" stopIfTrue="1">
      <formula>IF(LEN(E156)&gt;0,1,0)</formula>
    </cfRule>
    <cfRule type="expression" dxfId="3" priority="1346" stopIfTrue="1">
      <formula>IF(VLOOKUP($E$3,requiredAttributePTDMap,MATCH($A156,attributeMapFeedProductType,0)+1,FALSE)&gt;0,1,0)</formula>
    </cfRule>
    <cfRule type="expression" dxfId="2" priority="1347" stopIfTrue="1">
      <formula>IF(VLOOKUP($E$3,optionalAttributePTDMap,MATCH($A156,attributeMapFeedProductType,0)+1,FALSE)&gt;0,1,0)</formula>
    </cfRule>
    <cfRule type="expression" dxfId="1" priority="1348" stopIfTrue="1">
      <formula>IF(VLOOKUP($E$3,preferredAttributePTDMap,MATCH($A156,attributeMapFeedProductType,0)+1,FALSE)&gt;0,1,0)</formula>
    </cfRule>
    <cfRule type="expression" dxfId="0" priority="1349" stopIfTrue="1">
      <formula>AND(IF(IFERROR(VLOOKUP($E$3,requiredAttributePTDMap,MATCH($A156,attributeMapFeedProductType,0)+1,FALSE),0)&gt;0,0,1),IF(IFERROR(VLOOKUP($E$3,optionalAttributePTDMap,MATCH($A156,attributeMapFeedProductType,0)+1,FALSE),0)&gt;0,0,1),IF(IFERROR(VLOOKUP($E$3,preferredAttributePTDMap,MATCH($A156,attributeMapFeedProductType,0)+1,FALSE),0)&gt;0,0,1),IF(IFERROR(MATCH($A156,attributeMapFeedProductType,0),0)&gt;0,1,0))</formula>
    </cfRule>
  </conditionalFormatting>
  <conditionalFormatting sqref="F4:F95">
    <cfRule type="expression" dxfId="4" priority="1205" stopIfTrue="1">
      <formula>IF(LEN(F4)&gt;0,1,0)</formula>
    </cfRule>
    <cfRule type="expression" dxfId="3" priority="1206" stopIfTrue="1">
      <formula>IF(VLOOKUP($G$3,requiredAttributePTDMap,MATCH($A4,attributeMapFeedProductType,0)+1,FALSE)&gt;0,1,0)</formula>
    </cfRule>
    <cfRule type="expression" dxfId="2" priority="1207" stopIfTrue="1">
      <formula>IF(VLOOKUP($G$3,optionalAttributePTDMap,MATCH($A4,attributeMapFeedProductType,0)+1,FALSE)&gt;0,1,0)</formula>
    </cfRule>
    <cfRule type="expression" dxfId="1" priority="1208" stopIfTrue="1">
      <formula>IF(VLOOKUP($G$3,preferredAttributePTDMap,MATCH($A4,attributeMapFeedProductType,0)+1,FALSE)&gt;0,1,0)</formula>
    </cfRule>
    <cfRule type="expression" dxfId="0" priority="1209"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F156:F1048576">
    <cfRule type="expression" dxfId="4" priority="1350" stopIfTrue="1">
      <formula>IF(LEN(F156)&gt;0,1,0)</formula>
    </cfRule>
    <cfRule type="expression" dxfId="3" priority="1351" stopIfTrue="1">
      <formula>IF(VLOOKUP($F$3,requiredAttributePTDMap,MATCH($A156,attributeMapFeedProductType,0)+1,FALSE)&gt;0,1,0)</formula>
    </cfRule>
    <cfRule type="expression" dxfId="2" priority="1352" stopIfTrue="1">
      <formula>IF(VLOOKUP($F$3,optionalAttributePTDMap,MATCH($A156,attributeMapFeedProductType,0)+1,FALSE)&gt;0,1,0)</formula>
    </cfRule>
    <cfRule type="expression" dxfId="1" priority="1353" stopIfTrue="1">
      <formula>IF(VLOOKUP($F$3,preferredAttributePTDMap,MATCH($A156,attributeMapFeedProductType,0)+1,FALSE)&gt;0,1,0)</formula>
    </cfRule>
    <cfRule type="expression" dxfId="0" priority="1354" stopIfTrue="1">
      <formula>AND(IF(IFERROR(VLOOKUP($F$3,requiredAttributePTDMap,MATCH($A156,attributeMapFeedProductType,0)+1,FALSE),0)&gt;0,0,1),IF(IFERROR(VLOOKUP($F$3,optionalAttributePTDMap,MATCH($A156,attributeMapFeedProductType,0)+1,FALSE),0)&gt;0,0,1),IF(IFERROR(VLOOKUP($F$3,preferredAttributePTDMap,MATCH($A156,attributeMapFeedProductType,0)+1,FALSE),0)&gt;0,0,1),IF(IFERROR(MATCH($A156,attributeMapFeedProductType,0),0)&gt;0,1,0))</formula>
    </cfRule>
  </conditionalFormatting>
  <conditionalFormatting sqref="AF5:AF12">
    <cfRule type="expression" dxfId="4" priority="55" stopIfTrue="1">
      <formula>IF(LEN(AF5)&gt;0,1,0)</formula>
    </cfRule>
    <cfRule type="expression" dxfId="3" priority="56" stopIfTrue="1">
      <formula>IF(VLOOKUP($AG$3,requiredAttributePTDMap,MATCH($A5,attributeMapFeedProductType,0)+1,FALSE)&gt;0,1,0)</formula>
    </cfRule>
    <cfRule type="expression" dxfId="2" priority="57" stopIfTrue="1">
      <formula>IF(VLOOKUP($AG$3,optionalAttributePTDMap,MATCH($A5,attributeMapFeedProductType,0)+1,FALSE)&gt;0,1,0)</formula>
    </cfRule>
    <cfRule type="expression" dxfId="1" priority="58" stopIfTrue="1">
      <formula>IF(VLOOKUP($AG$3,preferredAttributePTDMap,MATCH($A5,attributeMapFeedProductType,0)+1,FALSE)&gt;0,1,0)</formula>
    </cfRule>
    <cfRule type="expression" dxfId="0" priority="59"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G5:AG12">
    <cfRule type="expression" dxfId="4" priority="60" stopIfTrue="1">
      <formula>IF(LEN(AG5)&gt;0,1,0)</formula>
    </cfRule>
    <cfRule type="expression" dxfId="3" priority="61" stopIfTrue="1">
      <formula>IF(VLOOKUP($AH$3,requiredAttributePTDMap,MATCH($A5,attributeMapFeedProductType,0)+1,FALSE)&gt;0,1,0)</formula>
    </cfRule>
    <cfRule type="expression" dxfId="2" priority="62" stopIfTrue="1">
      <formula>IF(VLOOKUP($AH$3,optionalAttributePTDMap,MATCH($A5,attributeMapFeedProductType,0)+1,FALSE)&gt;0,1,0)</formula>
    </cfRule>
    <cfRule type="expression" dxfId="1" priority="63" stopIfTrue="1">
      <formula>IF(VLOOKUP($AH$3,preferredAttributePTDMap,MATCH($A5,attributeMapFeedProductType,0)+1,FALSE)&gt;0,1,0)</formula>
    </cfRule>
    <cfRule type="expression" dxfId="0" priority="6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H5:AH95">
    <cfRule type="expression" dxfId="4" priority="65" stopIfTrue="1">
      <formula>IF(LEN(AH5)&gt;0,1,0)</formula>
    </cfRule>
    <cfRule type="expression" dxfId="3" priority="66" stopIfTrue="1">
      <formula>IF(VLOOKUP($AI$3,requiredAttributePTDMap,MATCH($A5,attributeMapFeedProductType,0)+1,FALSE)&gt;0,1,0)</formula>
    </cfRule>
    <cfRule type="expression" dxfId="2" priority="67" stopIfTrue="1">
      <formula>IF(VLOOKUP($AI$3,optionalAttributePTDMap,MATCH($A5,attributeMapFeedProductType,0)+1,FALSE)&gt;0,1,0)</formula>
    </cfRule>
    <cfRule type="expression" dxfId="1" priority="68" stopIfTrue="1">
      <formula>IF(VLOOKUP($AI$3,preferredAttributePTDMap,MATCH($A5,attributeMapFeedProductType,0)+1,FALSE)&gt;0,1,0)</formula>
    </cfRule>
    <cfRule type="expression" dxfId="0" priority="69"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V5:AV95">
    <cfRule type="expression" dxfId="4" priority="1200" stopIfTrue="1">
      <formula>IF(LEN(AV5)&gt;0,1,0)</formula>
    </cfRule>
    <cfRule type="expression" dxfId="3" priority="1201" stopIfTrue="1">
      <formula>IF(VLOOKUP($B$3,requiredAttributePTDMap,MATCH($A5,attributeMapFeedProductType,0)+1,FALSE)&gt;0,1,0)</formula>
    </cfRule>
    <cfRule type="expression" dxfId="2" priority="1202" stopIfTrue="1">
      <formula>IF(VLOOKUP($B$3,optionalAttributePTDMap,MATCH($A5,attributeMapFeedProductType,0)+1,FALSE)&gt;0,1,0)</formula>
    </cfRule>
    <cfRule type="expression" dxfId="1" priority="1203" stopIfTrue="1">
      <formula>IF(VLOOKUP($B$3,preferredAttributePTDMap,MATCH($A5,attributeMapFeedProductType,0)+1,FALSE)&gt;0,1,0)</formula>
    </cfRule>
    <cfRule type="expression" dxfId="0" priority="120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Z5:AZ95">
    <cfRule type="expression" dxfId="4" priority="1294" stopIfTrue="1">
      <formula>IF(LEN(AZ5)&gt;0,1,0)</formula>
    </cfRule>
    <cfRule type="expression" dxfId="3" priority="1295" stopIfTrue="1">
      <formula>IF(VLOOKUP($H$3,requiredAttributePTDMap,MATCH($A5,attributeMapFeedProductType,0)+1,FALSE)&gt;0,1,0)</formula>
    </cfRule>
    <cfRule type="expression" dxfId="2" priority="1296" stopIfTrue="1">
      <formula>IF(VLOOKUP($H$3,optionalAttributePTDMap,MATCH($A5,attributeMapFeedProductType,0)+1,FALSE)&gt;0,1,0)</formula>
    </cfRule>
    <cfRule type="expression" dxfId="1" priority="1297" stopIfTrue="1">
      <formula>IF(VLOOKUP($H$3,preferredAttributePTDMap,MATCH($A5,attributeMapFeedProductType,0)+1,FALSE)&gt;0,1,0)</formula>
    </cfRule>
    <cfRule type="expression" dxfId="0" priority="129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BB156:BB259">
    <cfRule type="expression" dxfId="3" priority="1266" stopIfTrue="1">
      <formula>IF(VLOOKUP($B$3,requiredAttributePTDMap,MATCH($A156,attributeMapFeedProductType,0)+1,FALSE)&gt;0,1,0)</formula>
    </cfRule>
    <cfRule type="expression" dxfId="2" priority="1267" stopIfTrue="1">
      <formula>IF(VLOOKUP($B$3,optionalAttributePTDMap,MATCH($A156,attributeMapFeedProductType,0)+1,FALSE)&gt;0,1,0)</formula>
    </cfRule>
    <cfRule type="expression" dxfId="1" priority="1268" stopIfTrue="1">
      <formula>IF(VLOOKUP($B$3,preferredAttributePTDMap,MATCH($A156,attributeMapFeedProductType,0)+1,FALSE)&gt;0,1,0)</formula>
    </cfRule>
    <cfRule type="expression" dxfId="0" priority="1269" stopIfTrue="1">
      <formula>AND(IF(IFERROR(VLOOKUP($B$3,requiredAttributePTDMap,MATCH($A156,attributeMapFeedProductType,0)+1,FALSE),0)&gt;0,0,1),IF(IFERROR(VLOOKUP($B$3,optionalAttributePTDMap,MATCH($A156,attributeMapFeedProductType,0)+1,FALSE),0)&gt;0,0,1),IF(IFERROR(VLOOKUP($B$3,preferredAttributePTDMap,MATCH($A156,attributeMapFeedProductType,0)+1,FALSE),0)&gt;0,0,1),IF(IFERROR(MATCH($A156,attributeMapFeedProductType,0),0)&gt;0,1,0))</formula>
    </cfRule>
  </conditionalFormatting>
  <conditionalFormatting sqref="BF5:BF95">
    <cfRule type="expression" dxfId="3" priority="1176" stopIfTrue="1">
      <formula>IF(VLOOKUP($BM$3,requiredAttributePTDMap,MATCH($A5,attributeMapFeedProductType,0)+1,FALSE)&gt;0,1,0)</formula>
    </cfRule>
    <cfRule type="expression" dxfId="2" priority="1177" stopIfTrue="1">
      <formula>IF(VLOOKUP($BM$3,optionalAttributePTDMap,MATCH($A5,attributeMapFeedProductType,0)+1,FALSE)&gt;0,1,0)</formula>
    </cfRule>
    <cfRule type="expression" dxfId="1" priority="1178" stopIfTrue="1">
      <formula>IF(VLOOKUP($BM$3,preferredAttributePTDMap,MATCH($A5,attributeMapFeedProductType,0)+1,FALSE)&gt;0,1,0)</formula>
    </cfRule>
    <cfRule type="expression" dxfId="0" priority="1179"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G5:BG95">
    <cfRule type="expression" dxfId="3" priority="1180" stopIfTrue="1">
      <formula>IF(VLOOKUP($BN$3,requiredAttributePTDMap,MATCH($A5,attributeMapFeedProductType,0)+1,FALSE)&gt;0,1,0)</formula>
    </cfRule>
    <cfRule type="expression" dxfId="2" priority="1181" stopIfTrue="1">
      <formula>IF(VLOOKUP($BN$3,optionalAttributePTDMap,MATCH($A5,attributeMapFeedProductType,0)+1,FALSE)&gt;0,1,0)</formula>
    </cfRule>
    <cfRule type="expression" dxfId="1" priority="1182" stopIfTrue="1">
      <formula>IF(VLOOKUP($BN$3,preferredAttributePTDMap,MATCH($A5,attributeMapFeedProductType,0)+1,FALSE)&gt;0,1,0)</formula>
    </cfRule>
    <cfRule type="expression" dxfId="0" priority="1183"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I5:BI95">
    <cfRule type="expression" dxfId="3" priority="1188" stopIfTrue="1">
      <formula>IF(VLOOKUP($BP$3,requiredAttributePTDMap,MATCH($A5,attributeMapFeedProductType,0)+1,FALSE)&gt;0,1,0)</formula>
    </cfRule>
    <cfRule type="expression" dxfId="2" priority="1189" stopIfTrue="1">
      <formula>IF(VLOOKUP($BP$3,optionalAttributePTDMap,MATCH($A5,attributeMapFeedProductType,0)+1,FALSE)&gt;0,1,0)</formula>
    </cfRule>
    <cfRule type="expression" dxfId="1" priority="1190" stopIfTrue="1">
      <formula>IF(VLOOKUP($BP$3,preferredAttributePTDMap,MATCH($A5,attributeMapFeedProductType,0)+1,FALSE)&gt;0,1,0)</formula>
    </cfRule>
    <cfRule type="expression" dxfId="0" priority="1191"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J5:BJ95">
    <cfRule type="expression" dxfId="3" priority="1192" stopIfTrue="1">
      <formula>IF(VLOOKUP($BQ$3,requiredAttributePTDMap,MATCH($A5,attributeMapFeedProductType,0)+1,FALSE)&gt;0,1,0)</formula>
    </cfRule>
    <cfRule type="expression" dxfId="2" priority="1193" stopIfTrue="1">
      <formula>IF(VLOOKUP($BQ$3,optionalAttributePTDMap,MATCH($A5,attributeMapFeedProductType,0)+1,FALSE)&gt;0,1,0)</formula>
    </cfRule>
    <cfRule type="expression" dxfId="1" priority="1194" stopIfTrue="1">
      <formula>IF(VLOOKUP($BQ$3,preferredAttributePTDMap,MATCH($A5,attributeMapFeedProductType,0)+1,FALSE)&gt;0,1,0)</formula>
    </cfRule>
    <cfRule type="expression" dxfId="0" priority="1195"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K5:BK95">
    <cfRule type="expression" dxfId="3" priority="1196" stopIfTrue="1">
      <formula>IF(VLOOKUP($BR$3,requiredAttributePTDMap,MATCH($A5,attributeMapFeedProductType,0)+1,FALSE)&gt;0,1,0)</formula>
    </cfRule>
    <cfRule type="expression" dxfId="2" priority="1197" stopIfTrue="1">
      <formula>IF(VLOOKUP($BR$3,optionalAttributePTDMap,MATCH($A5,attributeMapFeedProductType,0)+1,FALSE)&gt;0,1,0)</formula>
    </cfRule>
    <cfRule type="expression" dxfId="1" priority="1198" stopIfTrue="1">
      <formula>IF(VLOOKUP($BR$3,preferredAttributePTDMap,MATCH($A5,attributeMapFeedProductType,0)+1,FALSE)&gt;0,1,0)</formula>
    </cfRule>
    <cfRule type="expression" dxfId="0" priority="1199"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CQ13:CQ95">
    <cfRule type="expression" dxfId="4" priority="1126" stopIfTrue="1">
      <formula>IF(LEN(CQ13)&gt;0,1,0)</formula>
    </cfRule>
    <cfRule type="expression" dxfId="3" priority="1131" stopIfTrue="1">
      <formula>IF(VLOOKUP($CO$3,requiredAttributePTDMap,MATCH($A13,attributeMapFeedProductType,0)+1,FALSE)&gt;0,1,0)</formula>
    </cfRule>
    <cfRule type="expression" dxfId="2" priority="1136" stopIfTrue="1">
      <formula>IF(VLOOKUP($CO$3,optionalAttributePTDMap,MATCH($A13,attributeMapFeedProductType,0)+1,FALSE)&gt;0,1,0)</formula>
    </cfRule>
    <cfRule type="expression" dxfId="1" priority="1141" stopIfTrue="1">
      <formula>IF(VLOOKUP($CO$3,preferredAttributePTDMap,MATCH($A13,attributeMapFeedProductType,0)+1,FALSE)&gt;0,1,0)</formula>
    </cfRule>
    <cfRule type="expression" dxfId="0" priority="1146" stopIfTrue="1">
      <formula>AND(IF(IFERROR(VLOOKUP($CO$3,requiredAttributePTDMap,MATCH($A13,attributeMapFeedProductType,0)+1,FALSE),0)&gt;0,0,1),IF(IFERROR(VLOOKUP($CO$3,optionalAttributePTDMap,MATCH($A13,attributeMapFeedProductType,0)+1,FALSE),0)&gt;0,0,1),IF(IFERROR(VLOOKUP($CO$3,preferredAttributePTDMap,MATCH($A13,attributeMapFeedProductType,0)+1,FALSE),0)&gt;0,0,1),IF(IFERROR(MATCH($A13,attributeMapFeedProductType,0),0)&gt;0,1,0))</formula>
    </cfRule>
  </conditionalFormatting>
  <conditionalFormatting sqref="CR12:CR95">
    <cfRule type="expression" dxfId="4" priority="1110" stopIfTrue="1">
      <formula>IF(LEN(CR12)&gt;0,1,0)</formula>
    </cfRule>
    <cfRule type="expression" dxfId="3" priority="1112" stopIfTrue="1">
      <formula>IF(VLOOKUP($CP$3,requiredAttributePTDMap,MATCH($A12,attributeMapFeedProductType,0)+1,FALSE)&gt;0,1,0)</formula>
    </cfRule>
    <cfRule type="expression" dxfId="2" priority="1114" stopIfTrue="1">
      <formula>IF(VLOOKUP($CP$3,optionalAttributePTDMap,MATCH($A12,attributeMapFeedProductType,0)+1,FALSE)&gt;0,1,0)</formula>
    </cfRule>
    <cfRule type="expression" dxfId="1" priority="1116" stopIfTrue="1">
      <formula>IF(VLOOKUP($CP$3,preferredAttributePTDMap,MATCH($A12,attributeMapFeedProductType,0)+1,FALSE)&gt;0,1,0)</formula>
    </cfRule>
    <cfRule type="expression" dxfId="0" priority="1118" stopIfTrue="1">
      <formula>AND(IF(IFERROR(VLOOKUP($CP$3,requiredAttributePTDMap,MATCH($A12,attributeMapFeedProductType,0)+1,FALSE),0)&gt;0,0,1),IF(IFERROR(VLOOKUP($CP$3,optionalAttributePTDMap,MATCH($A12,attributeMapFeedProductType,0)+1,FALSE),0)&gt;0,0,1),IF(IFERROR(VLOOKUP($CP$3,preferredAttributePTDMap,MATCH($A12,attributeMapFeedProductType,0)+1,FALSE),0)&gt;0,0,1),IF(IFERROR(MATCH($A12,attributeMapFeedProductType,0),0)&gt;0,1,0))</formula>
    </cfRule>
  </conditionalFormatting>
  <conditionalFormatting sqref="ED5:ED95">
    <cfRule type="expression" dxfId="4" priority="1170" stopIfTrue="1">
      <formula>IF(LEN(ED5)&gt;0,1,0)</formula>
    </cfRule>
    <cfRule type="expression" dxfId="3" priority="1171" stopIfTrue="1">
      <formula>IF(VLOOKUP($T$3,requiredAttributePTDMap,MATCH($A5,attributeMapFeedProductType,0)+1,FALSE)&gt;0,1,0)</formula>
    </cfRule>
    <cfRule type="expression" dxfId="2" priority="1172" stopIfTrue="1">
      <formula>IF(VLOOKUP($T$3,optionalAttributePTDMap,MATCH($A5,attributeMapFeedProductType,0)+1,FALSE)&gt;0,1,0)</formula>
    </cfRule>
    <cfRule type="expression" dxfId="1" priority="1173" stopIfTrue="1">
      <formula>IF(VLOOKUP($T$3,preferredAttributePTDMap,MATCH($A5,attributeMapFeedProductType,0)+1,FALSE)&gt;0,1,0)</formula>
    </cfRule>
    <cfRule type="expression" dxfId="0" priority="117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B4:B10 B12:B13 B15:B20 B22:B23 B25:B35">
    <cfRule type="expression" dxfId="4" priority="36" stopIfTrue="1">
      <formula>IF(LEN(B4)&gt;0,1,0)</formula>
    </cfRule>
    <cfRule type="expression" dxfId="3" priority="37" stopIfTrue="1">
      <formula>IF(VLOOKUP($B$3,requiredAttributePTDMap,MATCH($A4,attributeMapFeedProductType,0)+1,FALSE)&gt;0,1,0)</formula>
    </cfRule>
    <cfRule type="expression" dxfId="2" priority="38" stopIfTrue="1">
      <formula>IF(VLOOKUP($B$3,EP02093IT,MATCH($A4,attributeMapFeedProductType,0)+1,FALSE)&gt;0,1,0)</formula>
    </cfRule>
    <cfRule type="expression" dxfId="1" priority="39" stopIfTrue="1">
      <formula>IF(VLOOKUP($B$3,preferredAttributePTDMap,MATCH($A4,attributeMapFeedProductType,0)+1,FALSE)&gt;0,1,0)</formula>
    </cfRule>
    <cfRule type="expression" dxfId="0" priority="40" stopIfTrue="1">
      <formula>AND(IF(IFERROR(VLOOKUP($B$3,requiredAttributePTDMap,MATCH($A4,attributeMapFeedProductType,0)+1,FALSE),0)&gt;0,0,1),IF(IFERROR(VLOOKUP($B$3,EP02093IT,MATCH($A4,attributeMapFeedProductType,0)+1,FALSE),0)&gt;0,0,1),IF(IFERROR(VLOOKUP($B$3,preferredAttributePTDMap,MATCH($A4,attributeMapFeedProductType,0)+1,FALSE),0)&gt;0,0,1),IF(IFERROR(MATCH($A4,attributeMapFeedProductType,0),0)&gt;0,1,0))</formula>
    </cfRule>
  </conditionalFormatting>
  <conditionalFormatting sqref="C4:C8 C10:C95 C156:C1048576">
    <cfRule type="expression" dxfId="4" priority="1330" stopIfTrue="1">
      <formula>IF(LEN(C4)&gt;0,1,0)</formula>
    </cfRule>
    <cfRule type="expression" dxfId="3" priority="1331" stopIfTrue="1">
      <formula>IF(VLOOKUP($C$3,requiredAttributePTDMap,MATCH($A4,attributeMapFeedProductType,0)+1,FALSE)&gt;0,1,0)</formula>
    </cfRule>
    <cfRule type="expression" dxfId="2" priority="1332" stopIfTrue="1">
      <formula>IF(VLOOKUP($C$3,optionalAttributePTDMap,MATCH($A4,attributeMapFeedProductType,0)+1,FALSE)&gt;0,1,0)</formula>
    </cfRule>
    <cfRule type="expression" dxfId="1" priority="1333" stopIfTrue="1">
      <formula>IF(VLOOKUP($C$3,preferredAttributePTDMap,MATCH($A4,attributeMapFeedProductType,0)+1,FALSE)&gt;0,1,0)</formula>
    </cfRule>
    <cfRule type="expression" dxfId="0" priority="1334"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G4 G156:G1048576">
    <cfRule type="expression" dxfId="4" priority="1355" stopIfTrue="1">
      <formula>IF(LEN(G4)&gt;0,1,0)</formula>
    </cfRule>
    <cfRule type="expression" dxfId="3" priority="1356" stopIfTrue="1">
      <formula>IF(VLOOKUP($G$3,requiredAttributePTDMap,MATCH($A4,attributeMapFeedProductType,0)+1,FALSE)&gt;0,1,0)</formula>
    </cfRule>
    <cfRule type="expression" dxfId="2" priority="1357" stopIfTrue="1">
      <formula>IF(VLOOKUP($G$3,optionalAttributePTDMap,MATCH($A4,attributeMapFeedProductType,0)+1,FALSE)&gt;0,1,0)</formula>
    </cfRule>
    <cfRule type="expression" dxfId="1" priority="1358" stopIfTrue="1">
      <formula>IF(VLOOKUP($G$3,preferredAttributePTDMap,MATCH($A4,attributeMapFeedProductType,0)+1,FALSE)&gt;0,1,0)</formula>
    </cfRule>
    <cfRule type="expression" dxfId="0" priority="1359"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56:H1048576">
    <cfRule type="expression" dxfId="4" priority="1360" stopIfTrue="1">
      <formula>IF(LEN(H4)&gt;0,1,0)</formula>
    </cfRule>
    <cfRule type="expression" dxfId="3" priority="1361" stopIfTrue="1">
      <formula>IF(VLOOKUP($H$3,requiredAttributePTDMap,MATCH($A4,attributeMapFeedProductType,0)+1,FALSE)&gt;0,1,0)</formula>
    </cfRule>
    <cfRule type="expression" dxfId="2" priority="1362" stopIfTrue="1">
      <formula>IF(VLOOKUP($H$3,optionalAttributePTDMap,MATCH($A4,attributeMapFeedProductType,0)+1,FALSE)&gt;0,1,0)</formula>
    </cfRule>
    <cfRule type="expression" dxfId="1" priority="1363" stopIfTrue="1">
      <formula>IF(VLOOKUP($H$3,preferredAttributePTDMap,MATCH($A4,attributeMapFeedProductType,0)+1,FALSE)&gt;0,1,0)</formula>
    </cfRule>
    <cfRule type="expression" dxfId="0" priority="1364"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8 I10:I95 I156:I1048576">
    <cfRule type="expression" dxfId="4" priority="1365" stopIfTrue="1">
      <formula>IF(LEN(I4)&gt;0,1,0)</formula>
    </cfRule>
    <cfRule type="expression" dxfId="3" priority="1366" stopIfTrue="1">
      <formula>IF(VLOOKUP($I$3,requiredAttributePTDMap,MATCH($A4,attributeMapFeedProductType,0)+1,FALSE)&gt;0,1,0)</formula>
    </cfRule>
    <cfRule type="expression" dxfId="2" priority="1367" stopIfTrue="1">
      <formula>IF(VLOOKUP($I$3,optionalAttributePTDMap,MATCH($A4,attributeMapFeedProductType,0)+1,FALSE)&gt;0,1,0)</formula>
    </cfRule>
    <cfRule type="expression" dxfId="1" priority="1368" stopIfTrue="1">
      <formula>IF(VLOOKUP($I$3,preferredAttributePTDMap,MATCH($A4,attributeMapFeedProductType,0)+1,FALSE)&gt;0,1,0)</formula>
    </cfRule>
    <cfRule type="expression" dxfId="0" priority="1369"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8 J10:J95 J156:J1048576">
    <cfRule type="expression" dxfId="4" priority="1370" stopIfTrue="1">
      <formula>IF(LEN(J4)&gt;0,1,0)</formula>
    </cfRule>
    <cfRule type="expression" dxfId="3" priority="1371" stopIfTrue="1">
      <formula>IF(VLOOKUP($J$3,requiredAttributePTDMap,MATCH($A4,attributeMapFeedProductType,0)+1,FALSE)&gt;0,1,0)</formula>
    </cfRule>
    <cfRule type="expression" dxfId="2" priority="1372" stopIfTrue="1">
      <formula>IF(VLOOKUP($J$3,optionalAttributePTDMap,MATCH($A4,attributeMapFeedProductType,0)+1,FALSE)&gt;0,1,0)</formula>
    </cfRule>
    <cfRule type="expression" dxfId="1" priority="1373" stopIfTrue="1">
      <formula>IF(VLOOKUP($J$3,preferredAttributePTDMap,MATCH($A4,attributeMapFeedProductType,0)+1,FALSE)&gt;0,1,0)</formula>
    </cfRule>
    <cfRule type="expression" dxfId="0" priority="1374"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8 K10:K12 K156:K1048576">
    <cfRule type="expression" dxfId="4" priority="1375" stopIfTrue="1">
      <formula>IF(LEN(K4)&gt;0,1,0)</formula>
    </cfRule>
    <cfRule type="expression" dxfId="3" priority="1376" stopIfTrue="1">
      <formula>IF(VLOOKUP($K$3,requiredAttributePTDMap,MATCH($A4,attributeMapFeedProductType,0)+1,FALSE)&gt;0,1,0)</formula>
    </cfRule>
    <cfRule type="expression" dxfId="2" priority="1377" stopIfTrue="1">
      <formula>IF(VLOOKUP($K$3,optionalAttributePTDMap,MATCH($A4,attributeMapFeedProductType,0)+1,FALSE)&gt;0,1,0)</formula>
    </cfRule>
    <cfRule type="expression" dxfId="1" priority="1378" stopIfTrue="1">
      <formula>IF(VLOOKUP($K$3,preferredAttributePTDMap,MATCH($A4,attributeMapFeedProductType,0)+1,FALSE)&gt;0,1,0)</formula>
    </cfRule>
    <cfRule type="expression" dxfId="0" priority="1379"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56:L1048576">
    <cfRule type="expression" dxfId="4" priority="1380" stopIfTrue="1">
      <formula>IF(LEN(L4)&gt;0,1,0)</formula>
    </cfRule>
    <cfRule type="expression" dxfId="3" priority="1381" stopIfTrue="1">
      <formula>IF(VLOOKUP($L$3,requiredAttributePTDMap,MATCH($A4,attributeMapFeedProductType,0)+1,FALSE)&gt;0,1,0)</formula>
    </cfRule>
    <cfRule type="expression" dxfId="2" priority="1382" stopIfTrue="1">
      <formula>IF(VLOOKUP($L$3,optionalAttributePTDMap,MATCH($A4,attributeMapFeedProductType,0)+1,FALSE)&gt;0,1,0)</formula>
    </cfRule>
    <cfRule type="expression" dxfId="1" priority="1383" stopIfTrue="1">
      <formula>IF(VLOOKUP($L$3,preferredAttributePTDMap,MATCH($A4,attributeMapFeedProductType,0)+1,FALSE)&gt;0,1,0)</formula>
    </cfRule>
    <cfRule type="expression" dxfId="0" priority="1384"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8 M10:M12 M156:M1048576">
    <cfRule type="expression" dxfId="4" priority="1385" stopIfTrue="1">
      <formula>IF(LEN(M4)&gt;0,1,0)</formula>
    </cfRule>
    <cfRule type="expression" dxfId="3" priority="1386" stopIfTrue="1">
      <formula>IF(VLOOKUP($M$3,requiredAttributePTDMap,MATCH($A4,attributeMapFeedProductType,0)+1,FALSE)&gt;0,1,0)</formula>
    </cfRule>
    <cfRule type="expression" dxfId="2" priority="1387" stopIfTrue="1">
      <formula>IF(VLOOKUP($M$3,optionalAttributePTDMap,MATCH($A4,attributeMapFeedProductType,0)+1,FALSE)&gt;0,1,0)</formula>
    </cfRule>
    <cfRule type="expression" dxfId="1" priority="1388" stopIfTrue="1">
      <formula>IF(VLOOKUP($M$3,preferredAttributePTDMap,MATCH($A4,attributeMapFeedProductType,0)+1,FALSE)&gt;0,1,0)</formula>
    </cfRule>
    <cfRule type="expression" dxfId="0" priority="1389"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8 N10:N12 N156:N1048576">
    <cfRule type="expression" dxfId="4" priority="1390" stopIfTrue="1">
      <formula>IF(LEN(N4)&gt;0,1,0)</formula>
    </cfRule>
    <cfRule type="expression" dxfId="3" priority="1391" stopIfTrue="1">
      <formula>IF(VLOOKUP($N$3,requiredAttributePTDMap,MATCH($A4,attributeMapFeedProductType,0)+1,FALSE)&gt;0,1,0)</formula>
    </cfRule>
    <cfRule type="expression" dxfId="2" priority="1392" stopIfTrue="1">
      <formula>IF(VLOOKUP($N$3,optionalAttributePTDMap,MATCH($A4,attributeMapFeedProductType,0)+1,FALSE)&gt;0,1,0)</formula>
    </cfRule>
    <cfRule type="expression" dxfId="1" priority="1393" stopIfTrue="1">
      <formula>IF(VLOOKUP($N$3,preferredAttributePTDMap,MATCH($A4,attributeMapFeedProductType,0)+1,FALSE)&gt;0,1,0)</formula>
    </cfRule>
    <cfRule type="expression" dxfId="0" priority="1394"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8 O10:O12 O156:O1048576">
    <cfRule type="expression" dxfId="4" priority="1395" stopIfTrue="1">
      <formula>IF(LEN(O4)&gt;0,1,0)</formula>
    </cfRule>
    <cfRule type="expression" dxfId="3" priority="1396" stopIfTrue="1">
      <formula>IF(VLOOKUP($O$3,requiredAttributePTDMap,MATCH($A4,attributeMapFeedProductType,0)+1,FALSE)&gt;0,1,0)</formula>
    </cfRule>
    <cfRule type="expression" dxfId="2" priority="1397" stopIfTrue="1">
      <formula>IF(VLOOKUP($O$3,optionalAttributePTDMap,MATCH($A4,attributeMapFeedProductType,0)+1,FALSE)&gt;0,1,0)</formula>
    </cfRule>
    <cfRule type="expression" dxfId="1" priority="1398" stopIfTrue="1">
      <formula>IF(VLOOKUP($O$3,preferredAttributePTDMap,MATCH($A4,attributeMapFeedProductType,0)+1,FALSE)&gt;0,1,0)</formula>
    </cfRule>
    <cfRule type="expression" dxfId="0" priority="1399"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8 P10:P12 P156:P1048576">
    <cfRule type="expression" dxfId="4" priority="1400" stopIfTrue="1">
      <formula>IF(LEN(P4)&gt;0,1,0)</formula>
    </cfRule>
    <cfRule type="expression" dxfId="3" priority="1401" stopIfTrue="1">
      <formula>IF(VLOOKUP($P$3,requiredAttributePTDMap,MATCH($A4,attributeMapFeedProductType,0)+1,FALSE)&gt;0,1,0)</formula>
    </cfRule>
    <cfRule type="expression" dxfId="2" priority="1402" stopIfTrue="1">
      <formula>IF(VLOOKUP($P$3,optionalAttributePTDMap,MATCH($A4,attributeMapFeedProductType,0)+1,FALSE)&gt;0,1,0)</formula>
    </cfRule>
    <cfRule type="expression" dxfId="1" priority="1403" stopIfTrue="1">
      <formula>IF(VLOOKUP($P$3,preferredAttributePTDMap,MATCH($A4,attributeMapFeedProductType,0)+1,FALSE)&gt;0,1,0)</formula>
    </cfRule>
    <cfRule type="expression" dxfId="0" priority="1404"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8 Q10:Q12 Q156:Q1048576">
    <cfRule type="expression" dxfId="4" priority="1405" stopIfTrue="1">
      <formula>IF(LEN(Q4)&gt;0,1,0)</formula>
    </cfRule>
    <cfRule type="expression" dxfId="3" priority="1406" stopIfTrue="1">
      <formula>IF(VLOOKUP($Q$3,requiredAttributePTDMap,MATCH($A4,attributeMapFeedProductType,0)+1,FALSE)&gt;0,1,0)</formula>
    </cfRule>
    <cfRule type="expression" dxfId="2" priority="1407" stopIfTrue="1">
      <formula>IF(VLOOKUP($Q$3,optionalAttributePTDMap,MATCH($A4,attributeMapFeedProductType,0)+1,FALSE)&gt;0,1,0)</formula>
    </cfRule>
    <cfRule type="expression" dxfId="1" priority="1408" stopIfTrue="1">
      <formula>IF(VLOOKUP($Q$3,preferredAttributePTDMap,MATCH($A4,attributeMapFeedProductType,0)+1,FALSE)&gt;0,1,0)</formula>
    </cfRule>
    <cfRule type="expression" dxfId="0" priority="1409"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8 R10:R12 R156:R1048576">
    <cfRule type="expression" dxfId="4" priority="1410" stopIfTrue="1">
      <formula>IF(LEN(R4)&gt;0,1,0)</formula>
    </cfRule>
    <cfRule type="expression" dxfId="3" priority="1411" stopIfTrue="1">
      <formula>IF(VLOOKUP($R$3,requiredAttributePTDMap,MATCH($A4,attributeMapFeedProductType,0)+1,FALSE)&gt;0,1,0)</formula>
    </cfRule>
    <cfRule type="expression" dxfId="2" priority="1412" stopIfTrue="1">
      <formula>IF(VLOOKUP($R$3,optionalAttributePTDMap,MATCH($A4,attributeMapFeedProductType,0)+1,FALSE)&gt;0,1,0)</formula>
    </cfRule>
    <cfRule type="expression" dxfId="1" priority="1413" stopIfTrue="1">
      <formula>IF(VLOOKUP($R$3,preferredAttributePTDMap,MATCH($A4,attributeMapFeedProductType,0)+1,FALSE)&gt;0,1,0)</formula>
    </cfRule>
    <cfRule type="expression" dxfId="0" priority="1414"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8 S10:S12 S156:S1048576">
    <cfRule type="expression" dxfId="4" priority="1415" stopIfTrue="1">
      <formula>IF(LEN(S4)&gt;0,1,0)</formula>
    </cfRule>
    <cfRule type="expression" dxfId="3" priority="1416" stopIfTrue="1">
      <formula>IF(VLOOKUP($S$3,requiredAttributePTDMap,MATCH($A4,attributeMapFeedProductType,0)+1,FALSE)&gt;0,1,0)</formula>
    </cfRule>
    <cfRule type="expression" dxfId="2" priority="1417" stopIfTrue="1">
      <formula>IF(VLOOKUP($S$3,optionalAttributePTDMap,MATCH($A4,attributeMapFeedProductType,0)+1,FALSE)&gt;0,1,0)</formula>
    </cfRule>
    <cfRule type="expression" dxfId="1" priority="1418" stopIfTrue="1">
      <formula>IF(VLOOKUP($S$3,preferredAttributePTDMap,MATCH($A4,attributeMapFeedProductType,0)+1,FALSE)&gt;0,1,0)</formula>
    </cfRule>
    <cfRule type="expression" dxfId="0" priority="1419"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8 T10:T12 T156:T1048576">
    <cfRule type="expression" dxfId="4" priority="1420" stopIfTrue="1">
      <formula>IF(LEN(T4)&gt;0,1,0)</formula>
    </cfRule>
    <cfRule type="expression" dxfId="3" priority="1421" stopIfTrue="1">
      <formula>IF(VLOOKUP($T$3,requiredAttributePTDMap,MATCH($A4,attributeMapFeedProductType,0)+1,FALSE)&gt;0,1,0)</formula>
    </cfRule>
    <cfRule type="expression" dxfId="2" priority="1422" stopIfTrue="1">
      <formula>IF(VLOOKUP($T$3,optionalAttributePTDMap,MATCH($A4,attributeMapFeedProductType,0)+1,FALSE)&gt;0,1,0)</formula>
    </cfRule>
    <cfRule type="expression" dxfId="1" priority="1423" stopIfTrue="1">
      <formula>IF(VLOOKUP($T$3,preferredAttributePTDMap,MATCH($A4,attributeMapFeedProductType,0)+1,FALSE)&gt;0,1,0)</formula>
    </cfRule>
    <cfRule type="expression" dxfId="0" priority="142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8 U10:U12 U156:U1048576">
    <cfRule type="expression" dxfId="4" priority="1425" stopIfTrue="1">
      <formula>IF(LEN(U4)&gt;0,1,0)</formula>
    </cfRule>
    <cfRule type="expression" dxfId="3" priority="1426" stopIfTrue="1">
      <formula>IF(VLOOKUP($U$3,requiredAttributePTDMap,MATCH($A4,attributeMapFeedProductType,0)+1,FALSE)&gt;0,1,0)</formula>
    </cfRule>
    <cfRule type="expression" dxfId="2" priority="1427" stopIfTrue="1">
      <formula>IF(VLOOKUP($U$3,optionalAttributePTDMap,MATCH($A4,attributeMapFeedProductType,0)+1,FALSE)&gt;0,1,0)</formula>
    </cfRule>
    <cfRule type="expression" dxfId="1" priority="1428" stopIfTrue="1">
      <formula>IF(VLOOKUP($U$3,preferredAttributePTDMap,MATCH($A4,attributeMapFeedProductType,0)+1,FALSE)&gt;0,1,0)</formula>
    </cfRule>
    <cfRule type="expression" dxfId="0" priority="1429"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95 V156:V1048576">
    <cfRule type="expression" dxfId="4" priority="1430" stopIfTrue="1">
      <formula>IF(LEN(V4)&gt;0,1,0)</formula>
    </cfRule>
    <cfRule type="expression" dxfId="3" priority="1431" stopIfTrue="1">
      <formula>IF(VLOOKUP($V$3,requiredAttributePTDMap,MATCH($A4,attributeMapFeedProductType,0)+1,FALSE)&gt;0,1,0)</formula>
    </cfRule>
    <cfRule type="expression" dxfId="2" priority="1432" stopIfTrue="1">
      <formula>IF(VLOOKUP($V$3,optionalAttributePTDMap,MATCH($A4,attributeMapFeedProductType,0)+1,FALSE)&gt;0,1,0)</formula>
    </cfRule>
    <cfRule type="expression" dxfId="1" priority="1433" stopIfTrue="1">
      <formula>IF(VLOOKUP($V$3,preferredAttributePTDMap,MATCH($A4,attributeMapFeedProductType,0)+1,FALSE)&gt;0,1,0)</formula>
    </cfRule>
    <cfRule type="expression" dxfId="0" priority="1434"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8 W10:W95 W156:W1048576">
    <cfRule type="expression" dxfId="4" priority="1435" stopIfTrue="1">
      <formula>IF(LEN(W4)&gt;0,1,0)</formula>
    </cfRule>
    <cfRule type="expression" dxfId="3" priority="1436" stopIfTrue="1">
      <formula>IF(VLOOKUP($W$3,requiredAttributePTDMap,MATCH($A4,attributeMapFeedProductType,0)+1,FALSE)&gt;0,1,0)</formula>
    </cfRule>
    <cfRule type="expression" dxfId="2" priority="1437" stopIfTrue="1">
      <formula>IF(VLOOKUP($W$3,optionalAttributePTDMap,MATCH($A4,attributeMapFeedProductType,0)+1,FALSE)&gt;0,1,0)</formula>
    </cfRule>
    <cfRule type="expression" dxfId="1" priority="1438" stopIfTrue="1">
      <formula>IF(VLOOKUP($W$3,preferredAttributePTDMap,MATCH($A4,attributeMapFeedProductType,0)+1,FALSE)&gt;0,1,0)</formula>
    </cfRule>
    <cfRule type="expression" dxfId="0" priority="1439"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8 X10:X95 X156:X1048576">
    <cfRule type="expression" dxfId="4" priority="1440" stopIfTrue="1">
      <formula>IF(LEN(X4)&gt;0,1,0)</formula>
    </cfRule>
    <cfRule type="expression" dxfId="3" priority="1441" stopIfTrue="1">
      <formula>IF(VLOOKUP($X$3,requiredAttributePTDMap,MATCH($A4,attributeMapFeedProductType,0)+1,FALSE)&gt;0,1,0)</formula>
    </cfRule>
    <cfRule type="expression" dxfId="2" priority="1442" stopIfTrue="1">
      <formula>IF(VLOOKUP($X$3,optionalAttributePTDMap,MATCH($A4,attributeMapFeedProductType,0)+1,FALSE)&gt;0,1,0)</formula>
    </cfRule>
    <cfRule type="expression" dxfId="1" priority="1443" stopIfTrue="1">
      <formula>IF(VLOOKUP($X$3,preferredAttributePTDMap,MATCH($A4,attributeMapFeedProductType,0)+1,FALSE)&gt;0,1,0)</formula>
    </cfRule>
    <cfRule type="expression" dxfId="0" priority="1444"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8 Y10:Y95 Y156:Y1048576">
    <cfRule type="expression" dxfId="4" priority="1445" stopIfTrue="1">
      <formula>IF(LEN(Y4)&gt;0,1,0)</formula>
    </cfRule>
    <cfRule type="expression" dxfId="3" priority="1446" stopIfTrue="1">
      <formula>IF(VLOOKUP($Y$3,requiredAttributePTDMap,MATCH($A4,attributeMapFeedProductType,0)+1,FALSE)&gt;0,1,0)</formula>
    </cfRule>
    <cfRule type="expression" dxfId="2" priority="1447" stopIfTrue="1">
      <formula>IF(VLOOKUP($Y$3,optionalAttributePTDMap,MATCH($A4,attributeMapFeedProductType,0)+1,FALSE)&gt;0,1,0)</formula>
    </cfRule>
    <cfRule type="expression" dxfId="1" priority="1448" stopIfTrue="1">
      <formula>IF(VLOOKUP($Y$3,preferredAttributePTDMap,MATCH($A4,attributeMapFeedProductType,0)+1,FALSE)&gt;0,1,0)</formula>
    </cfRule>
    <cfRule type="expression" dxfId="0" priority="1449"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8 Z10:Z95 Z156:Z1048576">
    <cfRule type="expression" dxfId="4" priority="1450" stopIfTrue="1">
      <formula>IF(LEN(Z4)&gt;0,1,0)</formula>
    </cfRule>
    <cfRule type="expression" dxfId="3" priority="1451" stopIfTrue="1">
      <formula>IF(VLOOKUP($Z$3,requiredAttributePTDMap,MATCH($A4,attributeMapFeedProductType,0)+1,FALSE)&gt;0,1,0)</formula>
    </cfRule>
    <cfRule type="expression" dxfId="2" priority="1452" stopIfTrue="1">
      <formula>IF(VLOOKUP($Z$3,optionalAttributePTDMap,MATCH($A4,attributeMapFeedProductType,0)+1,FALSE)&gt;0,1,0)</formula>
    </cfRule>
    <cfRule type="expression" dxfId="1" priority="1453" stopIfTrue="1">
      <formula>IF(VLOOKUP($Z$3,preferredAttributePTDMap,MATCH($A4,attributeMapFeedProductType,0)+1,FALSE)&gt;0,1,0)</formula>
    </cfRule>
    <cfRule type="expression" dxfId="0" priority="1454"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8 AA10:AA95 AA156:AA1048576">
    <cfRule type="expression" dxfId="4" priority="1455" stopIfTrue="1">
      <formula>IF(LEN(AA4)&gt;0,1,0)</formula>
    </cfRule>
    <cfRule type="expression" dxfId="3" priority="1456" stopIfTrue="1">
      <formula>IF(VLOOKUP($AA$3,requiredAttributePTDMap,MATCH($A4,attributeMapFeedProductType,0)+1,FALSE)&gt;0,1,0)</formula>
    </cfRule>
    <cfRule type="expression" dxfId="2" priority="1457" stopIfTrue="1">
      <formula>IF(VLOOKUP($AA$3,optionalAttributePTDMap,MATCH($A4,attributeMapFeedProductType,0)+1,FALSE)&gt;0,1,0)</formula>
    </cfRule>
    <cfRule type="expression" dxfId="1" priority="1458" stopIfTrue="1">
      <formula>IF(VLOOKUP($AA$3,preferredAttributePTDMap,MATCH($A4,attributeMapFeedProductType,0)+1,FALSE)&gt;0,1,0)</formula>
    </cfRule>
    <cfRule type="expression" dxfId="0" priority="1459"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56:AB1048576">
    <cfRule type="expression" dxfId="4" priority="1460" stopIfTrue="1">
      <formula>IF(LEN(AB4)&gt;0,1,0)</formula>
    </cfRule>
    <cfRule type="expression" dxfId="3" priority="1461" stopIfTrue="1">
      <formula>IF(VLOOKUP($AB$3,requiredAttributePTDMap,MATCH($A4,attributeMapFeedProductType,0)+1,FALSE)&gt;0,1,0)</formula>
    </cfRule>
    <cfRule type="expression" dxfId="2" priority="1462" stopIfTrue="1">
      <formula>IF(VLOOKUP($AB$3,optionalAttributePTDMap,MATCH($A4,attributeMapFeedProductType,0)+1,FALSE)&gt;0,1,0)</formula>
    </cfRule>
    <cfRule type="expression" dxfId="1" priority="1463" stopIfTrue="1">
      <formula>IF(VLOOKUP($AB$3,preferredAttributePTDMap,MATCH($A4,attributeMapFeedProductType,0)+1,FALSE)&gt;0,1,0)</formula>
    </cfRule>
    <cfRule type="expression" dxfId="0" priority="1464"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D4:AD8 AD10:AD95 AD156:AD1048576">
    <cfRule type="expression" dxfId="4" priority="1470" stopIfTrue="1">
      <formula>IF(LEN(AD4)&gt;0,1,0)</formula>
    </cfRule>
    <cfRule type="expression" dxfId="3" priority="1471" stopIfTrue="1">
      <formula>IF(VLOOKUP($AD$3,requiredAttributePTDMap,MATCH($A4,attributeMapFeedProductType,0)+1,FALSE)&gt;0,1,0)</formula>
    </cfRule>
    <cfRule type="expression" dxfId="2" priority="1472" stopIfTrue="1">
      <formula>IF(VLOOKUP($AD$3,optionalAttributePTDMap,MATCH($A4,attributeMapFeedProductType,0)+1,FALSE)&gt;0,1,0)</formula>
    </cfRule>
    <cfRule type="expression" dxfId="1" priority="1473" stopIfTrue="1">
      <formula>IF(VLOOKUP($AD$3,preferredAttributePTDMap,MATCH($A4,attributeMapFeedProductType,0)+1,FALSE)&gt;0,1,0)</formula>
    </cfRule>
    <cfRule type="expression" dxfId="0" priority="1474"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F4 AF156:AF1048576">
    <cfRule type="expression" dxfId="4" priority="1480" stopIfTrue="1">
      <formula>IF(LEN(AF4)&gt;0,1,0)</formula>
    </cfRule>
    <cfRule type="expression" dxfId="3" priority="1481" stopIfTrue="1">
      <formula>IF(VLOOKUP($AF$3,requiredAttributePTDMap,MATCH($A4,attributeMapFeedProductType,0)+1,FALSE)&gt;0,1,0)</formula>
    </cfRule>
    <cfRule type="expression" dxfId="2" priority="1482" stopIfTrue="1">
      <formula>IF(VLOOKUP($AF$3,optionalAttributePTDMap,MATCH($A4,attributeMapFeedProductType,0)+1,FALSE)&gt;0,1,0)</formula>
    </cfRule>
    <cfRule type="expression" dxfId="1" priority="1483" stopIfTrue="1">
      <formula>IF(VLOOKUP($AF$3,preferredAttributePTDMap,MATCH($A4,attributeMapFeedProductType,0)+1,FALSE)&gt;0,1,0)</formula>
    </cfRule>
    <cfRule type="expression" dxfId="0" priority="1484"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56:AG1048576">
    <cfRule type="expression" dxfId="4" priority="1485" stopIfTrue="1">
      <formula>IF(LEN(AG4)&gt;0,1,0)</formula>
    </cfRule>
    <cfRule type="expression" dxfId="3" priority="1486" stopIfTrue="1">
      <formula>IF(VLOOKUP($AG$3,requiredAttributePTDMap,MATCH($A4,attributeMapFeedProductType,0)+1,FALSE)&gt;0,1,0)</formula>
    </cfRule>
    <cfRule type="expression" dxfId="2" priority="1487" stopIfTrue="1">
      <formula>IF(VLOOKUP($AG$3,optionalAttributePTDMap,MATCH($A4,attributeMapFeedProductType,0)+1,FALSE)&gt;0,1,0)</formula>
    </cfRule>
    <cfRule type="expression" dxfId="1" priority="1488" stopIfTrue="1">
      <formula>IF(VLOOKUP($AG$3,preferredAttributePTDMap,MATCH($A4,attributeMapFeedProductType,0)+1,FALSE)&gt;0,1,0)</formula>
    </cfRule>
    <cfRule type="expression" dxfId="0" priority="1489"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56:AH1048576">
    <cfRule type="expression" dxfId="4" priority="1490" stopIfTrue="1">
      <formula>IF(LEN(AH4)&gt;0,1,0)</formula>
    </cfRule>
    <cfRule type="expression" dxfId="3" priority="1491" stopIfTrue="1">
      <formula>IF(VLOOKUP($AH$3,requiredAttributePTDMap,MATCH($A4,attributeMapFeedProductType,0)+1,FALSE)&gt;0,1,0)</formula>
    </cfRule>
    <cfRule type="expression" dxfId="2" priority="1492" stopIfTrue="1">
      <formula>IF(VLOOKUP($AH$3,optionalAttributePTDMap,MATCH($A4,attributeMapFeedProductType,0)+1,FALSE)&gt;0,1,0)</formula>
    </cfRule>
    <cfRule type="expression" dxfId="1" priority="1493" stopIfTrue="1">
      <formula>IF(VLOOKUP($AH$3,preferredAttributePTDMap,MATCH($A4,attributeMapFeedProductType,0)+1,FALSE)&gt;0,1,0)</formula>
    </cfRule>
    <cfRule type="expression" dxfId="0" priority="1494"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56:AI1048576">
    <cfRule type="expression" dxfId="4" priority="1495" stopIfTrue="1">
      <formula>IF(LEN(AI4)&gt;0,1,0)</formula>
    </cfRule>
    <cfRule type="expression" dxfId="3" priority="1496" stopIfTrue="1">
      <formula>IF(VLOOKUP($AI$3,requiredAttributePTDMap,MATCH($A4,attributeMapFeedProductType,0)+1,FALSE)&gt;0,1,0)</formula>
    </cfRule>
    <cfRule type="expression" dxfId="2" priority="1497" stopIfTrue="1">
      <formula>IF(VLOOKUP($AI$3,optionalAttributePTDMap,MATCH($A4,attributeMapFeedProductType,0)+1,FALSE)&gt;0,1,0)</formula>
    </cfRule>
    <cfRule type="expression" dxfId="1" priority="1498" stopIfTrue="1">
      <formula>IF(VLOOKUP($AI$3,preferredAttributePTDMap,MATCH($A4,attributeMapFeedProductType,0)+1,FALSE)&gt;0,1,0)</formula>
    </cfRule>
    <cfRule type="expression" dxfId="0" priority="1499"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56:AJ1048576">
    <cfRule type="expression" dxfId="4" priority="1500" stopIfTrue="1">
      <formula>IF(LEN(AJ4)&gt;0,1,0)</formula>
    </cfRule>
    <cfRule type="expression" dxfId="3" priority="1501" stopIfTrue="1">
      <formula>IF(VLOOKUP($AJ$3,requiredAttributePTDMap,MATCH($A4,attributeMapFeedProductType,0)+1,FALSE)&gt;0,1,0)</formula>
    </cfRule>
    <cfRule type="expression" dxfId="2" priority="1502" stopIfTrue="1">
      <formula>IF(VLOOKUP($AJ$3,optionalAttributePTDMap,MATCH($A4,attributeMapFeedProductType,0)+1,FALSE)&gt;0,1,0)</formula>
    </cfRule>
    <cfRule type="expression" dxfId="1" priority="1503" stopIfTrue="1">
      <formula>IF(VLOOKUP($AJ$3,preferredAttributePTDMap,MATCH($A4,attributeMapFeedProductType,0)+1,FALSE)&gt;0,1,0)</formula>
    </cfRule>
    <cfRule type="expression" dxfId="0" priority="1504"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56:AK1048576">
    <cfRule type="expression" dxfId="4" priority="1505" stopIfTrue="1">
      <formula>IF(LEN(AK4)&gt;0,1,0)</formula>
    </cfRule>
    <cfRule type="expression" dxfId="3" priority="1506" stopIfTrue="1">
      <formula>IF(VLOOKUP($AK$3,requiredAttributePTDMap,MATCH($A4,attributeMapFeedProductType,0)+1,FALSE)&gt;0,1,0)</formula>
    </cfRule>
    <cfRule type="expression" dxfId="2" priority="1507" stopIfTrue="1">
      <formula>IF(VLOOKUP($AK$3,optionalAttributePTDMap,MATCH($A4,attributeMapFeedProductType,0)+1,FALSE)&gt;0,1,0)</formula>
    </cfRule>
    <cfRule type="expression" dxfId="1" priority="1508" stopIfTrue="1">
      <formula>IF(VLOOKUP($AK$3,preferredAttributePTDMap,MATCH($A4,attributeMapFeedProductType,0)+1,FALSE)&gt;0,1,0)</formula>
    </cfRule>
    <cfRule type="expression" dxfId="0" priority="1509"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8 AL10:AL12 AL156:AL1048576">
    <cfRule type="expression" dxfId="4" priority="1510" stopIfTrue="1">
      <formula>IF(LEN(AL4)&gt;0,1,0)</formula>
    </cfRule>
    <cfRule type="expression" dxfId="3" priority="1511" stopIfTrue="1">
      <formula>IF(VLOOKUP($AL$3,requiredAttributePTDMap,MATCH($A4,attributeMapFeedProductType,0)+1,FALSE)&gt;0,1,0)</formula>
    </cfRule>
    <cfRule type="expression" dxfId="2" priority="1512" stopIfTrue="1">
      <formula>IF(VLOOKUP($AL$3,optionalAttributePTDMap,MATCH($A4,attributeMapFeedProductType,0)+1,FALSE)&gt;0,1,0)</formula>
    </cfRule>
    <cfRule type="expression" dxfId="1" priority="1513" stopIfTrue="1">
      <formula>IF(VLOOKUP($AL$3,preferredAttributePTDMap,MATCH($A4,attributeMapFeedProductType,0)+1,FALSE)&gt;0,1,0)</formula>
    </cfRule>
    <cfRule type="expression" dxfId="0" priority="1514"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8 AM10:AM12 AM156:AM1048576">
    <cfRule type="expression" dxfId="4" priority="1515" stopIfTrue="1">
      <formula>IF(LEN(AM4)&gt;0,1,0)</formula>
    </cfRule>
    <cfRule type="expression" dxfId="3" priority="1516" stopIfTrue="1">
      <formula>IF(VLOOKUP($AM$3,requiredAttributePTDMap,MATCH($A4,attributeMapFeedProductType,0)+1,FALSE)&gt;0,1,0)</formula>
    </cfRule>
    <cfRule type="expression" dxfId="2" priority="1517" stopIfTrue="1">
      <formula>IF(VLOOKUP($AM$3,optionalAttributePTDMap,MATCH($A4,attributeMapFeedProductType,0)+1,FALSE)&gt;0,1,0)</formula>
    </cfRule>
    <cfRule type="expression" dxfId="1" priority="1518" stopIfTrue="1">
      <formula>IF(VLOOKUP($AM$3,preferredAttributePTDMap,MATCH($A4,attributeMapFeedProductType,0)+1,FALSE)&gt;0,1,0)</formula>
    </cfRule>
    <cfRule type="expression" dxfId="0" priority="1519"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8 AN10:AN12 AN156:AN1048576">
    <cfRule type="expression" dxfId="4" priority="1520" stopIfTrue="1">
      <formula>IF(LEN(AN4)&gt;0,1,0)</formula>
    </cfRule>
    <cfRule type="expression" dxfId="3" priority="1521" stopIfTrue="1">
      <formula>IF(VLOOKUP($AN$3,requiredAttributePTDMap,MATCH($A4,attributeMapFeedProductType,0)+1,FALSE)&gt;0,1,0)</formula>
    </cfRule>
    <cfRule type="expression" dxfId="2" priority="1522" stopIfTrue="1">
      <formula>IF(VLOOKUP($AN$3,optionalAttributePTDMap,MATCH($A4,attributeMapFeedProductType,0)+1,FALSE)&gt;0,1,0)</formula>
    </cfRule>
    <cfRule type="expression" dxfId="1" priority="1523" stopIfTrue="1">
      <formula>IF(VLOOKUP($AN$3,preferredAttributePTDMap,MATCH($A4,attributeMapFeedProductType,0)+1,FALSE)&gt;0,1,0)</formula>
    </cfRule>
    <cfRule type="expression" dxfId="0" priority="1524"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8 AO10:AO12 AO156:AO1048576">
    <cfRule type="expression" dxfId="4" priority="1525" stopIfTrue="1">
      <formula>IF(LEN(AO4)&gt;0,1,0)</formula>
    </cfRule>
    <cfRule type="expression" dxfId="3" priority="1526" stopIfTrue="1">
      <formula>IF(VLOOKUP($AO$3,requiredAttributePTDMap,MATCH($A4,attributeMapFeedProductType,0)+1,FALSE)&gt;0,1,0)</formula>
    </cfRule>
    <cfRule type="expression" dxfId="2" priority="1527" stopIfTrue="1">
      <formula>IF(VLOOKUP($AO$3,optionalAttributePTDMap,MATCH($A4,attributeMapFeedProductType,0)+1,FALSE)&gt;0,1,0)</formula>
    </cfRule>
    <cfRule type="expression" dxfId="1" priority="1528" stopIfTrue="1">
      <formula>IF(VLOOKUP($AO$3,preferredAttributePTDMap,MATCH($A4,attributeMapFeedProductType,0)+1,FALSE)&gt;0,1,0)</formula>
    </cfRule>
    <cfRule type="expression" dxfId="0" priority="1529"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8 AP10:AP12 AP156:AP1048576">
    <cfRule type="expression" dxfId="4" priority="1530" stopIfTrue="1">
      <formula>IF(LEN(AP4)&gt;0,1,0)</formula>
    </cfRule>
    <cfRule type="expression" dxfId="3" priority="1531" stopIfTrue="1">
      <formula>IF(VLOOKUP($AP$3,requiredAttributePTDMap,MATCH($A4,attributeMapFeedProductType,0)+1,FALSE)&gt;0,1,0)</formula>
    </cfRule>
    <cfRule type="expression" dxfId="2" priority="1532" stopIfTrue="1">
      <formula>IF(VLOOKUP($AP$3,optionalAttributePTDMap,MATCH($A4,attributeMapFeedProductType,0)+1,FALSE)&gt;0,1,0)</formula>
    </cfRule>
    <cfRule type="expression" dxfId="1" priority="1533" stopIfTrue="1">
      <formula>IF(VLOOKUP($AP$3,preferredAttributePTDMap,MATCH($A4,attributeMapFeedProductType,0)+1,FALSE)&gt;0,1,0)</formula>
    </cfRule>
    <cfRule type="expression" dxfId="0" priority="1534"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8 AQ10:AQ12 AQ156:AQ1048576">
    <cfRule type="expression" dxfId="4" priority="1535" stopIfTrue="1">
      <formula>IF(LEN(AQ4)&gt;0,1,0)</formula>
    </cfRule>
    <cfRule type="expression" dxfId="3" priority="1536" stopIfTrue="1">
      <formula>IF(VLOOKUP($AQ$3,requiredAttributePTDMap,MATCH($A4,attributeMapFeedProductType,0)+1,FALSE)&gt;0,1,0)</formula>
    </cfRule>
    <cfRule type="expression" dxfId="2" priority="1537" stopIfTrue="1">
      <formula>IF(VLOOKUP($AQ$3,optionalAttributePTDMap,MATCH($A4,attributeMapFeedProductType,0)+1,FALSE)&gt;0,1,0)</formula>
    </cfRule>
    <cfRule type="expression" dxfId="1" priority="1538" stopIfTrue="1">
      <formula>IF(VLOOKUP($AQ$3,preferredAttributePTDMap,MATCH($A4,attributeMapFeedProductType,0)+1,FALSE)&gt;0,1,0)</formula>
    </cfRule>
    <cfRule type="expression" dxfId="0" priority="1539"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8 AR10:AR12 AR156:AR1048576">
    <cfRule type="expression" dxfId="4" priority="1540" stopIfTrue="1">
      <formula>IF(LEN(AR4)&gt;0,1,0)</formula>
    </cfRule>
    <cfRule type="expression" dxfId="3" priority="1541" stopIfTrue="1">
      <formula>IF(VLOOKUP($AR$3,requiredAttributePTDMap,MATCH($A4,attributeMapFeedProductType,0)+1,FALSE)&gt;0,1,0)</formula>
    </cfRule>
    <cfRule type="expression" dxfId="2" priority="1542" stopIfTrue="1">
      <formula>IF(VLOOKUP($AR$3,optionalAttributePTDMap,MATCH($A4,attributeMapFeedProductType,0)+1,FALSE)&gt;0,1,0)</formula>
    </cfRule>
    <cfRule type="expression" dxfId="1" priority="1543" stopIfTrue="1">
      <formula>IF(VLOOKUP($AR$3,preferredAttributePTDMap,MATCH($A4,attributeMapFeedProductType,0)+1,FALSE)&gt;0,1,0)</formula>
    </cfRule>
    <cfRule type="expression" dxfId="0" priority="1544"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8 AS10:AS12 AS156:AS1048576">
    <cfRule type="expression" dxfId="4" priority="1545" stopIfTrue="1">
      <formula>IF(LEN(AS4)&gt;0,1,0)</formula>
    </cfRule>
    <cfRule type="expression" dxfId="3" priority="1546" stopIfTrue="1">
      <formula>IF(VLOOKUP($AS$3,requiredAttributePTDMap,MATCH($A4,attributeMapFeedProductType,0)+1,FALSE)&gt;0,1,0)</formula>
    </cfRule>
    <cfRule type="expression" dxfId="2" priority="1547" stopIfTrue="1">
      <formula>IF(VLOOKUP($AS$3,optionalAttributePTDMap,MATCH($A4,attributeMapFeedProductType,0)+1,FALSE)&gt;0,1,0)</formula>
    </cfRule>
    <cfRule type="expression" dxfId="1" priority="1548" stopIfTrue="1">
      <formula>IF(VLOOKUP($AS$3,preferredAttributePTDMap,MATCH($A4,attributeMapFeedProductType,0)+1,FALSE)&gt;0,1,0)</formula>
    </cfRule>
    <cfRule type="expression" dxfId="0" priority="1549"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8 AT10:AT12 AT156:AT1048576">
    <cfRule type="expression" dxfId="4" priority="1550" stopIfTrue="1">
      <formula>IF(LEN(AT4)&gt;0,1,0)</formula>
    </cfRule>
    <cfRule type="expression" dxfId="3" priority="1551" stopIfTrue="1">
      <formula>IF(VLOOKUP($AT$3,requiredAttributePTDMap,MATCH($A4,attributeMapFeedProductType,0)+1,FALSE)&gt;0,1,0)</formula>
    </cfRule>
    <cfRule type="expression" dxfId="2" priority="1552" stopIfTrue="1">
      <formula>IF(VLOOKUP($AT$3,optionalAttributePTDMap,MATCH($A4,attributeMapFeedProductType,0)+1,FALSE)&gt;0,1,0)</formula>
    </cfRule>
    <cfRule type="expression" dxfId="1" priority="1553" stopIfTrue="1">
      <formula>IF(VLOOKUP($AT$3,preferredAttributePTDMap,MATCH($A4,attributeMapFeedProductType,0)+1,FALSE)&gt;0,1,0)</formula>
    </cfRule>
    <cfRule type="expression" dxfId="0" priority="1554"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8 AU10:AU95 AU156:AU1048576">
    <cfRule type="expression" dxfId="4" priority="1555" stopIfTrue="1">
      <formula>IF(LEN(AU4)&gt;0,1,0)</formula>
    </cfRule>
    <cfRule type="expression" dxfId="3" priority="1556" stopIfTrue="1">
      <formula>IF(VLOOKUP($AU$3,requiredAttributePTDMap,MATCH($A4,attributeMapFeedProductType,0)+1,FALSE)&gt;0,1,0)</formula>
    </cfRule>
    <cfRule type="expression" dxfId="2" priority="1557" stopIfTrue="1">
      <formula>IF(VLOOKUP($AU$3,optionalAttributePTDMap,MATCH($A4,attributeMapFeedProductType,0)+1,FALSE)&gt;0,1,0)</formula>
    </cfRule>
    <cfRule type="expression" dxfId="1" priority="1558" stopIfTrue="1">
      <formula>IF(VLOOKUP($AU$3,preferredAttributePTDMap,MATCH($A4,attributeMapFeedProductType,0)+1,FALSE)&gt;0,1,0)</formula>
    </cfRule>
    <cfRule type="expression" dxfId="0" priority="1559"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56:AV1048576">
    <cfRule type="expression" dxfId="4" priority="1560" stopIfTrue="1">
      <formula>IF(LEN(AV4)&gt;0,1,0)</formula>
    </cfRule>
    <cfRule type="expression" dxfId="3" priority="1561" stopIfTrue="1">
      <formula>IF(VLOOKUP($AV$3,requiredAttributePTDMap,MATCH($A4,attributeMapFeedProductType,0)+1,FALSE)&gt;0,1,0)</formula>
    </cfRule>
    <cfRule type="expression" dxfId="2" priority="1562" stopIfTrue="1">
      <formula>IF(VLOOKUP($AV$3,optionalAttributePTDMap,MATCH($A4,attributeMapFeedProductType,0)+1,FALSE)&gt;0,1,0)</formula>
    </cfRule>
    <cfRule type="expression" dxfId="1" priority="1563" stopIfTrue="1">
      <formula>IF(VLOOKUP($AV$3,preferredAttributePTDMap,MATCH($A4,attributeMapFeedProductType,0)+1,FALSE)&gt;0,1,0)</formula>
    </cfRule>
    <cfRule type="expression" dxfId="0" priority="1564"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8 AW10:AW95 AW156:AW1048576">
    <cfRule type="expression" dxfId="4" priority="1565" stopIfTrue="1">
      <formula>IF(LEN(AW4)&gt;0,1,0)</formula>
    </cfRule>
    <cfRule type="expression" dxfId="3" priority="1566" stopIfTrue="1">
      <formula>IF(VLOOKUP($AW$3,requiredAttributePTDMap,MATCH($A4,attributeMapFeedProductType,0)+1,FALSE)&gt;0,1,0)</formula>
    </cfRule>
    <cfRule type="expression" dxfId="2" priority="1567" stopIfTrue="1">
      <formula>IF(VLOOKUP($AW$3,optionalAttributePTDMap,MATCH($A4,attributeMapFeedProductType,0)+1,FALSE)&gt;0,1,0)</formula>
    </cfRule>
    <cfRule type="expression" dxfId="1" priority="1568" stopIfTrue="1">
      <formula>IF(VLOOKUP($AW$3,preferredAttributePTDMap,MATCH($A4,attributeMapFeedProductType,0)+1,FALSE)&gt;0,1,0)</formula>
    </cfRule>
    <cfRule type="expression" dxfId="0" priority="1569"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8 AX10:AX95 AX156:AX1048576">
    <cfRule type="expression" dxfId="4" priority="1570" stopIfTrue="1">
      <formula>IF(LEN(AX4)&gt;0,1,0)</formula>
    </cfRule>
    <cfRule type="expression" dxfId="3" priority="1571" stopIfTrue="1">
      <formula>IF(VLOOKUP($AX$3,requiredAttributePTDMap,MATCH($A4,attributeMapFeedProductType,0)+1,FALSE)&gt;0,1,0)</formula>
    </cfRule>
    <cfRule type="expression" dxfId="2" priority="1572" stopIfTrue="1">
      <formula>IF(VLOOKUP($AX$3,optionalAttributePTDMap,MATCH($A4,attributeMapFeedProductType,0)+1,FALSE)&gt;0,1,0)</formula>
    </cfRule>
    <cfRule type="expression" dxfId="1" priority="1573" stopIfTrue="1">
      <formula>IF(VLOOKUP($AX$3,preferredAttributePTDMap,MATCH($A4,attributeMapFeedProductType,0)+1,FALSE)&gt;0,1,0)</formula>
    </cfRule>
    <cfRule type="expression" dxfId="0" priority="1574"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8 AY10:AY95 AY156:AY1048576">
    <cfRule type="expression" dxfId="4" priority="1575" stopIfTrue="1">
      <formula>IF(LEN(AY4)&gt;0,1,0)</formula>
    </cfRule>
    <cfRule type="expression" dxfId="3" priority="1576" stopIfTrue="1">
      <formula>IF(VLOOKUP($AY$3,requiredAttributePTDMap,MATCH($A4,attributeMapFeedProductType,0)+1,FALSE)&gt;0,1,0)</formula>
    </cfRule>
    <cfRule type="expression" dxfId="2" priority="1577" stopIfTrue="1">
      <formula>IF(VLOOKUP($AY$3,optionalAttributePTDMap,MATCH($A4,attributeMapFeedProductType,0)+1,FALSE)&gt;0,1,0)</formula>
    </cfRule>
    <cfRule type="expression" dxfId="1" priority="1578" stopIfTrue="1">
      <formula>IF(VLOOKUP($AY$3,preferredAttributePTDMap,MATCH($A4,attributeMapFeedProductType,0)+1,FALSE)&gt;0,1,0)</formula>
    </cfRule>
    <cfRule type="expression" dxfId="0" priority="1579"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56:AZ1048576">
    <cfRule type="expression" dxfId="4" priority="1620" stopIfTrue="1">
      <formula>IF(LEN(AZ4)&gt;0,1,0)</formula>
    </cfRule>
    <cfRule type="expression" dxfId="3" priority="1621" stopIfTrue="1">
      <formula>IF(VLOOKUP($AZ$3,requiredAttributePTDMap,MATCH($A4,attributeMapFeedProductType,0)+1,FALSE)&gt;0,1,0)</formula>
    </cfRule>
    <cfRule type="expression" dxfId="2" priority="1622" stopIfTrue="1">
      <formula>IF(VLOOKUP($AZ$3,optionalAttributePTDMap,MATCH($A4,attributeMapFeedProductType,0)+1,FALSE)&gt;0,1,0)</formula>
    </cfRule>
    <cfRule type="expression" dxfId="1" priority="1623" stopIfTrue="1">
      <formula>IF(VLOOKUP($AZ$3,preferredAttributePTDMap,MATCH($A4,attributeMapFeedProductType,0)+1,FALSE)&gt;0,1,0)</formula>
    </cfRule>
    <cfRule type="expression" dxfId="0" priority="1624"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56:BA1048576">
    <cfRule type="expression" dxfId="4" priority="1625" stopIfTrue="1">
      <formula>IF(LEN(BA4)&gt;0,1,0)</formula>
    </cfRule>
    <cfRule type="expression" dxfId="3" priority="1626" stopIfTrue="1">
      <formula>IF(VLOOKUP($BA$3,requiredAttributePTDMap,MATCH($A4,attributeMapFeedProductType,0)+1,FALSE)&gt;0,1,0)</formula>
    </cfRule>
    <cfRule type="expression" dxfId="2" priority="1627" stopIfTrue="1">
      <formula>IF(VLOOKUP($BA$3,optionalAttributePTDMap,MATCH($A4,attributeMapFeedProductType,0)+1,FALSE)&gt;0,1,0)</formula>
    </cfRule>
    <cfRule type="expression" dxfId="1" priority="1628" stopIfTrue="1">
      <formula>IF(VLOOKUP($BA$3,preferredAttributePTDMap,MATCH($A4,attributeMapFeedProductType,0)+1,FALSE)&gt;0,1,0)</formula>
    </cfRule>
    <cfRule type="expression" dxfId="0" priority="1629"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8 BB10:BB95 BB156:BB1048576">
    <cfRule type="expression" dxfId="4" priority="1265" stopIfTrue="1">
      <formula>IF(LEN(BB4)&gt;0,1,0)</formula>
    </cfRule>
  </conditionalFormatting>
  <conditionalFormatting sqref="BB4:BB8 BB10:BB95 BB260:BB1048576">
    <cfRule type="expression" dxfId="3" priority="1270" stopIfTrue="1">
      <formula>IF(VLOOKUP($J$3,requiredAttributePTDMap,MATCH($A4,attributeMapFeedProductType,0)+1,FALSE)&gt;0,1,0)</formula>
    </cfRule>
    <cfRule type="expression" dxfId="2" priority="1271" stopIfTrue="1">
      <formula>IF(VLOOKUP($J$3,optionalAttributePTDMap,MATCH($A4,attributeMapFeedProductType,0)+1,FALSE)&gt;0,1,0)</formula>
    </cfRule>
    <cfRule type="expression" dxfId="1" priority="1272" stopIfTrue="1">
      <formula>IF(VLOOKUP($J$3,preferredAttributePTDMap,MATCH($A4,attributeMapFeedProductType,0)+1,FALSE)&gt;0,1,0)</formula>
    </cfRule>
    <cfRule type="expression" dxfId="0" priority="1273"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BC4:BC95 BC156:BC1048576">
    <cfRule type="expression" dxfId="4" priority="1335" stopIfTrue="1">
      <formula>IF(LEN(BC4)&gt;0,1,0)</formula>
    </cfRule>
    <cfRule type="expression" dxfId="3" priority="1336" stopIfTrue="1">
      <formula>IF(VLOOKUP($BC$3,requiredAttributePTDMap,MATCH($A4,attributeMapFeedProductType,0)+1,FALSE)&gt;0,1,0)</formula>
    </cfRule>
    <cfRule type="expression" dxfId="2" priority="1337" stopIfTrue="1">
      <formula>IF(VLOOKUP($BC$3,optionalAttributePTDMap,MATCH($A4,attributeMapFeedProductType,0)+1,FALSE)&gt;0,1,0)</formula>
    </cfRule>
    <cfRule type="expression" dxfId="1" priority="1338" stopIfTrue="1">
      <formula>IF(VLOOKUP($BC$3,preferredAttributePTDMap,MATCH($A4,attributeMapFeedProductType,0)+1,FALSE)&gt;0,1,0)</formula>
    </cfRule>
    <cfRule type="expression" dxfId="0" priority="1339"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8 BD10:BD12 BD156:BD1048576">
    <cfRule type="expression" dxfId="4" priority="1580" stopIfTrue="1">
      <formula>IF(LEN(BD4)&gt;0,1,0)</formula>
    </cfRule>
    <cfRule type="expression" dxfId="3" priority="1581" stopIfTrue="1">
      <formula>IF(VLOOKUP($BD$3,requiredAttributePTDMap,MATCH($A4,attributeMapFeedProductType,0)+1,FALSE)&gt;0,1,0)</formula>
    </cfRule>
    <cfRule type="expression" dxfId="2" priority="1582" stopIfTrue="1">
      <formula>IF(VLOOKUP($BD$3,optionalAttributePTDMap,MATCH($A4,attributeMapFeedProductType,0)+1,FALSE)&gt;0,1,0)</formula>
    </cfRule>
    <cfRule type="expression" dxfId="1" priority="1583" stopIfTrue="1">
      <formula>IF(VLOOKUP($BD$3,preferredAttributePTDMap,MATCH($A4,attributeMapFeedProductType,0)+1,FALSE)&gt;0,1,0)</formula>
    </cfRule>
    <cfRule type="expression" dxfId="0" priority="1584"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8 BE10:BE12 BE156:BE1048576">
    <cfRule type="expression" dxfId="4" priority="1585" stopIfTrue="1">
      <formula>IF(LEN(BE4)&gt;0,1,0)</formula>
    </cfRule>
    <cfRule type="expression" dxfId="3" priority="1586" stopIfTrue="1">
      <formula>IF(VLOOKUP($BE$3,requiredAttributePTDMap,MATCH($A4,attributeMapFeedProductType,0)+1,FALSE)&gt;0,1,0)</formula>
    </cfRule>
    <cfRule type="expression" dxfId="2" priority="1587" stopIfTrue="1">
      <formula>IF(VLOOKUP($BE$3,optionalAttributePTDMap,MATCH($A4,attributeMapFeedProductType,0)+1,FALSE)&gt;0,1,0)</formula>
    </cfRule>
    <cfRule type="expression" dxfId="1" priority="1588" stopIfTrue="1">
      <formula>IF(VLOOKUP($BE$3,preferredAttributePTDMap,MATCH($A4,attributeMapFeedProductType,0)+1,FALSE)&gt;0,1,0)</formula>
    </cfRule>
    <cfRule type="expression" dxfId="0" priority="1589"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56:BF1048576">
    <cfRule type="expression" dxfId="4" priority="1590" stopIfTrue="1">
      <formula>IF(LEN(BF4)&gt;0,1,0)</formula>
    </cfRule>
    <cfRule type="expression" dxfId="3" priority="1591" stopIfTrue="1">
      <formula>IF(VLOOKUP($BF$3,requiredAttributePTDMap,MATCH($A4,attributeMapFeedProductType,0)+1,FALSE)&gt;0,1,0)</formula>
    </cfRule>
    <cfRule type="expression" dxfId="2" priority="1592" stopIfTrue="1">
      <formula>IF(VLOOKUP($BF$3,optionalAttributePTDMap,MATCH($A4,attributeMapFeedProductType,0)+1,FALSE)&gt;0,1,0)</formula>
    </cfRule>
    <cfRule type="expression" dxfId="1" priority="1593" stopIfTrue="1">
      <formula>IF(VLOOKUP($BF$3,preferredAttributePTDMap,MATCH($A4,attributeMapFeedProductType,0)+1,FALSE)&gt;0,1,0)</formula>
    </cfRule>
    <cfRule type="expression" dxfId="0" priority="1594"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56:BG1048576">
    <cfRule type="expression" dxfId="4" priority="1595" stopIfTrue="1">
      <formula>IF(LEN(BG4)&gt;0,1,0)</formula>
    </cfRule>
    <cfRule type="expression" dxfId="3" priority="1596" stopIfTrue="1">
      <formula>IF(VLOOKUP($BG$3,requiredAttributePTDMap,MATCH($A4,attributeMapFeedProductType,0)+1,FALSE)&gt;0,1,0)</formula>
    </cfRule>
    <cfRule type="expression" dxfId="2" priority="1597" stopIfTrue="1">
      <formula>IF(VLOOKUP($BG$3,optionalAttributePTDMap,MATCH($A4,attributeMapFeedProductType,0)+1,FALSE)&gt;0,1,0)</formula>
    </cfRule>
    <cfRule type="expression" dxfId="1" priority="1598" stopIfTrue="1">
      <formula>IF(VLOOKUP($BG$3,preferredAttributePTDMap,MATCH($A4,attributeMapFeedProductType,0)+1,FALSE)&gt;0,1,0)</formula>
    </cfRule>
    <cfRule type="expression" dxfId="0" priority="1599"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56:BH1048576">
    <cfRule type="expression" dxfId="4" priority="1600" stopIfTrue="1">
      <formula>IF(LEN(BH4)&gt;0,1,0)</formula>
    </cfRule>
    <cfRule type="expression" dxfId="3" priority="1601" stopIfTrue="1">
      <formula>IF(VLOOKUP($BH$3,requiredAttributePTDMap,MATCH($A4,attributeMapFeedProductType,0)+1,FALSE)&gt;0,1,0)</formula>
    </cfRule>
    <cfRule type="expression" dxfId="2" priority="1602" stopIfTrue="1">
      <formula>IF(VLOOKUP($BH$3,optionalAttributePTDMap,MATCH($A4,attributeMapFeedProductType,0)+1,FALSE)&gt;0,1,0)</formula>
    </cfRule>
    <cfRule type="expression" dxfId="1" priority="1603" stopIfTrue="1">
      <formula>IF(VLOOKUP($BH$3,preferredAttributePTDMap,MATCH($A4,attributeMapFeedProductType,0)+1,FALSE)&gt;0,1,0)</formula>
    </cfRule>
    <cfRule type="expression" dxfId="0" priority="1604"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56:BI1048576">
    <cfRule type="expression" dxfId="4" priority="1605" stopIfTrue="1">
      <formula>IF(LEN(BI4)&gt;0,1,0)</formula>
    </cfRule>
    <cfRule type="expression" dxfId="3" priority="1606" stopIfTrue="1">
      <formula>IF(VLOOKUP($BI$3,requiredAttributePTDMap,MATCH($A4,attributeMapFeedProductType,0)+1,FALSE)&gt;0,1,0)</formula>
    </cfRule>
    <cfRule type="expression" dxfId="2" priority="1607" stopIfTrue="1">
      <formula>IF(VLOOKUP($BI$3,optionalAttributePTDMap,MATCH($A4,attributeMapFeedProductType,0)+1,FALSE)&gt;0,1,0)</formula>
    </cfRule>
    <cfRule type="expression" dxfId="1" priority="1608" stopIfTrue="1">
      <formula>IF(VLOOKUP($BI$3,preferredAttributePTDMap,MATCH($A4,attributeMapFeedProductType,0)+1,FALSE)&gt;0,1,0)</formula>
    </cfRule>
    <cfRule type="expression" dxfId="0" priority="1609"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56:BJ1048576">
    <cfRule type="expression" dxfId="4" priority="1610" stopIfTrue="1">
      <formula>IF(LEN(BJ4)&gt;0,1,0)</formula>
    </cfRule>
    <cfRule type="expression" dxfId="3" priority="1611" stopIfTrue="1">
      <formula>IF(VLOOKUP($BJ$3,requiredAttributePTDMap,MATCH($A4,attributeMapFeedProductType,0)+1,FALSE)&gt;0,1,0)</formula>
    </cfRule>
    <cfRule type="expression" dxfId="2" priority="1612" stopIfTrue="1">
      <formula>IF(VLOOKUP($BJ$3,optionalAttributePTDMap,MATCH($A4,attributeMapFeedProductType,0)+1,FALSE)&gt;0,1,0)</formula>
    </cfRule>
    <cfRule type="expression" dxfId="1" priority="1613" stopIfTrue="1">
      <formula>IF(VLOOKUP($BJ$3,preferredAttributePTDMap,MATCH($A4,attributeMapFeedProductType,0)+1,FALSE)&gt;0,1,0)</formula>
    </cfRule>
    <cfRule type="expression" dxfId="0" priority="1614"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56:BK1048576">
    <cfRule type="expression" dxfId="4" priority="1615" stopIfTrue="1">
      <formula>IF(LEN(BK4)&gt;0,1,0)</formula>
    </cfRule>
    <cfRule type="expression" dxfId="3" priority="1616" stopIfTrue="1">
      <formula>IF(VLOOKUP($BK$3,requiredAttributePTDMap,MATCH($A4,attributeMapFeedProductType,0)+1,FALSE)&gt;0,1,0)</formula>
    </cfRule>
    <cfRule type="expression" dxfId="2" priority="1617" stopIfTrue="1">
      <formula>IF(VLOOKUP($BK$3,optionalAttributePTDMap,MATCH($A4,attributeMapFeedProductType,0)+1,FALSE)&gt;0,1,0)</formula>
    </cfRule>
    <cfRule type="expression" dxfId="1" priority="1618" stopIfTrue="1">
      <formula>IF(VLOOKUP($BK$3,preferredAttributePTDMap,MATCH($A4,attributeMapFeedProductType,0)+1,FALSE)&gt;0,1,0)</formula>
    </cfRule>
    <cfRule type="expression" dxfId="0" priority="1619"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8 BL10:BL95 BL156:BL1048576">
    <cfRule type="expression" dxfId="4" priority="1635" stopIfTrue="1">
      <formula>IF(LEN(BL4)&gt;0,1,0)</formula>
    </cfRule>
    <cfRule type="expression" dxfId="3" priority="1636" stopIfTrue="1">
      <formula>IF(VLOOKUP($BL$3,requiredAttributePTDMap,MATCH($A4,attributeMapFeedProductType,0)+1,FALSE)&gt;0,1,0)</formula>
    </cfRule>
    <cfRule type="expression" dxfId="2" priority="1637" stopIfTrue="1">
      <formula>IF(VLOOKUP($BL$3,optionalAttributePTDMap,MATCH($A4,attributeMapFeedProductType,0)+1,FALSE)&gt;0,1,0)</formula>
    </cfRule>
    <cfRule type="expression" dxfId="1" priority="1638" stopIfTrue="1">
      <formula>IF(VLOOKUP($BL$3,preferredAttributePTDMap,MATCH($A4,attributeMapFeedProductType,0)+1,FALSE)&gt;0,1,0)</formula>
    </cfRule>
    <cfRule type="expression" dxfId="0" priority="1639"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95 BM156:BM1048576">
    <cfRule type="expression" dxfId="4" priority="1640" stopIfTrue="1">
      <formula>IF(LEN(BM4)&gt;0,1,0)</formula>
    </cfRule>
    <cfRule type="expression" dxfId="3" priority="1641" stopIfTrue="1">
      <formula>IF(VLOOKUP($BM$3,requiredAttributePTDMap,MATCH($A4,attributeMapFeedProductType,0)+1,FALSE)&gt;0,1,0)</formula>
    </cfRule>
    <cfRule type="expression" dxfId="2" priority="1642" stopIfTrue="1">
      <formula>IF(VLOOKUP($BM$3,optionalAttributePTDMap,MATCH($A4,attributeMapFeedProductType,0)+1,FALSE)&gt;0,1,0)</formula>
    </cfRule>
    <cfRule type="expression" dxfId="1" priority="1643" stopIfTrue="1">
      <formula>IF(VLOOKUP($BM$3,preferredAttributePTDMap,MATCH($A4,attributeMapFeedProductType,0)+1,FALSE)&gt;0,1,0)</formula>
    </cfRule>
    <cfRule type="expression" dxfId="0" priority="164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8 BN10:BN95 BN156:BN1048576">
    <cfRule type="expression" dxfId="4" priority="1645" stopIfTrue="1">
      <formula>IF(LEN(BN4)&gt;0,1,0)</formula>
    </cfRule>
    <cfRule type="expression" dxfId="3" priority="1646" stopIfTrue="1">
      <formula>IF(VLOOKUP($BN$3,requiredAttributePTDMap,MATCH($A4,attributeMapFeedProductType,0)+1,FALSE)&gt;0,1,0)</formula>
    </cfRule>
    <cfRule type="expression" dxfId="2" priority="1647" stopIfTrue="1">
      <formula>IF(VLOOKUP($BN$3,optionalAttributePTDMap,MATCH($A4,attributeMapFeedProductType,0)+1,FALSE)&gt;0,1,0)</formula>
    </cfRule>
    <cfRule type="expression" dxfId="1" priority="1648" stopIfTrue="1">
      <formula>IF(VLOOKUP($BN$3,preferredAttributePTDMap,MATCH($A4,attributeMapFeedProductType,0)+1,FALSE)&gt;0,1,0)</formula>
    </cfRule>
    <cfRule type="expression" dxfId="0" priority="1649"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95 BO156:BO1048576">
    <cfRule type="expression" dxfId="4" priority="1650" stopIfTrue="1">
      <formula>IF(LEN(BO4)&gt;0,1,0)</formula>
    </cfRule>
    <cfRule type="expression" dxfId="3" priority="1651" stopIfTrue="1">
      <formula>IF(VLOOKUP($BO$3,requiredAttributePTDMap,MATCH($A4,attributeMapFeedProductType,0)+1,FALSE)&gt;0,1,0)</formula>
    </cfRule>
    <cfRule type="expression" dxfId="2" priority="1652" stopIfTrue="1">
      <formula>IF(VLOOKUP($BO$3,optionalAttributePTDMap,MATCH($A4,attributeMapFeedProductType,0)+1,FALSE)&gt;0,1,0)</formula>
    </cfRule>
    <cfRule type="expression" dxfId="1" priority="1653" stopIfTrue="1">
      <formula>IF(VLOOKUP($BO$3,preferredAttributePTDMap,MATCH($A4,attributeMapFeedProductType,0)+1,FALSE)&gt;0,1,0)</formula>
    </cfRule>
    <cfRule type="expression" dxfId="0" priority="1654"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8 BP10:BP95 BP156:BP1048576">
    <cfRule type="expression" dxfId="4" priority="1655" stopIfTrue="1">
      <formula>IF(LEN(BP4)&gt;0,1,0)</formula>
    </cfRule>
    <cfRule type="expression" dxfId="3" priority="1656" stopIfTrue="1">
      <formula>IF(VLOOKUP($BP$3,requiredAttributePTDMap,MATCH($A4,attributeMapFeedProductType,0)+1,FALSE)&gt;0,1,0)</formula>
    </cfRule>
    <cfRule type="expression" dxfId="2" priority="1657" stopIfTrue="1">
      <formula>IF(VLOOKUP($BP$3,optionalAttributePTDMap,MATCH($A4,attributeMapFeedProductType,0)+1,FALSE)&gt;0,1,0)</formula>
    </cfRule>
    <cfRule type="expression" dxfId="1" priority="1658" stopIfTrue="1">
      <formula>IF(VLOOKUP($BP$3,preferredAttributePTDMap,MATCH($A4,attributeMapFeedProductType,0)+1,FALSE)&gt;0,1,0)</formula>
    </cfRule>
    <cfRule type="expression" dxfId="0" priority="1659"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8 BQ10:BQ95 BQ156:BQ1048576">
    <cfRule type="expression" dxfId="4" priority="1660" stopIfTrue="1">
      <formula>IF(LEN(BQ4)&gt;0,1,0)</formula>
    </cfRule>
    <cfRule type="expression" dxfId="3" priority="1661" stopIfTrue="1">
      <formula>IF(VLOOKUP($BQ$3,requiredAttributePTDMap,MATCH($A4,attributeMapFeedProductType,0)+1,FALSE)&gt;0,1,0)</formula>
    </cfRule>
    <cfRule type="expression" dxfId="2" priority="1662" stopIfTrue="1">
      <formula>IF(VLOOKUP($BQ$3,optionalAttributePTDMap,MATCH($A4,attributeMapFeedProductType,0)+1,FALSE)&gt;0,1,0)</formula>
    </cfRule>
    <cfRule type="expression" dxfId="1" priority="1663" stopIfTrue="1">
      <formula>IF(VLOOKUP($BQ$3,preferredAttributePTDMap,MATCH($A4,attributeMapFeedProductType,0)+1,FALSE)&gt;0,1,0)</formula>
    </cfRule>
    <cfRule type="expression" dxfId="0" priority="1664"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8 BR10:BR95 BR156:BR1048576">
    <cfRule type="expression" dxfId="4" priority="1665" stopIfTrue="1">
      <formula>IF(LEN(BR4)&gt;0,1,0)</formula>
    </cfRule>
    <cfRule type="expression" dxfId="3" priority="1666" stopIfTrue="1">
      <formula>IF(VLOOKUP($BR$3,requiredAttributePTDMap,MATCH($A4,attributeMapFeedProductType,0)+1,FALSE)&gt;0,1,0)</formula>
    </cfRule>
    <cfRule type="expression" dxfId="2" priority="1667" stopIfTrue="1">
      <formula>IF(VLOOKUP($BR$3,optionalAttributePTDMap,MATCH($A4,attributeMapFeedProductType,0)+1,FALSE)&gt;0,1,0)</formula>
    </cfRule>
    <cfRule type="expression" dxfId="1" priority="1668" stopIfTrue="1">
      <formula>IF(VLOOKUP($BR$3,preferredAttributePTDMap,MATCH($A4,attributeMapFeedProductType,0)+1,FALSE)&gt;0,1,0)</formula>
    </cfRule>
    <cfRule type="expression" dxfId="0" priority="1669"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8 BS10:BS95 BS156:BS1048576">
    <cfRule type="expression" dxfId="4" priority="1670" stopIfTrue="1">
      <formula>IF(LEN(BS4)&gt;0,1,0)</formula>
    </cfRule>
    <cfRule type="expression" dxfId="3" priority="1671" stopIfTrue="1">
      <formula>IF(VLOOKUP($BS$3,requiredAttributePTDMap,MATCH($A4,attributeMapFeedProductType,0)+1,FALSE)&gt;0,1,0)</formula>
    </cfRule>
    <cfRule type="expression" dxfId="2" priority="1672" stopIfTrue="1">
      <formula>IF(VLOOKUP($BS$3,optionalAttributePTDMap,MATCH($A4,attributeMapFeedProductType,0)+1,FALSE)&gt;0,1,0)</formula>
    </cfRule>
    <cfRule type="expression" dxfId="1" priority="1673" stopIfTrue="1">
      <formula>IF(VLOOKUP($BS$3,preferredAttributePTDMap,MATCH($A4,attributeMapFeedProductType,0)+1,FALSE)&gt;0,1,0)</formula>
    </cfRule>
    <cfRule type="expression" dxfId="0" priority="1674"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8 BT10:BT12 BT156:BT1048576">
    <cfRule type="expression" dxfId="4" priority="1675" stopIfTrue="1">
      <formula>IF(LEN(BT4)&gt;0,1,0)</formula>
    </cfRule>
    <cfRule type="expression" dxfId="3" priority="1676" stopIfTrue="1">
      <formula>IF(VLOOKUP($BT$3,requiredAttributePTDMap,MATCH($A4,attributeMapFeedProductType,0)+1,FALSE)&gt;0,1,0)</formula>
    </cfRule>
    <cfRule type="expression" dxfId="2" priority="1677" stopIfTrue="1">
      <formula>IF(VLOOKUP($BT$3,optionalAttributePTDMap,MATCH($A4,attributeMapFeedProductType,0)+1,FALSE)&gt;0,1,0)</formula>
    </cfRule>
    <cfRule type="expression" dxfId="1" priority="1678" stopIfTrue="1">
      <formula>IF(VLOOKUP($BT$3,preferredAttributePTDMap,MATCH($A4,attributeMapFeedProductType,0)+1,FALSE)&gt;0,1,0)</formula>
    </cfRule>
    <cfRule type="expression" dxfId="0" priority="1679"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8 BU10:BU12 BU156:BU1048576">
    <cfRule type="expression" dxfId="4" priority="1680" stopIfTrue="1">
      <formula>IF(LEN(BU4)&gt;0,1,0)</formula>
    </cfRule>
    <cfRule type="expression" dxfId="3" priority="1681" stopIfTrue="1">
      <formula>IF(VLOOKUP($BU$3,requiredAttributePTDMap,MATCH($A4,attributeMapFeedProductType,0)+1,FALSE)&gt;0,1,0)</formula>
    </cfRule>
    <cfRule type="expression" dxfId="2" priority="1682" stopIfTrue="1">
      <formula>IF(VLOOKUP($BU$3,optionalAttributePTDMap,MATCH($A4,attributeMapFeedProductType,0)+1,FALSE)&gt;0,1,0)</formula>
    </cfRule>
    <cfRule type="expression" dxfId="1" priority="1683" stopIfTrue="1">
      <formula>IF(VLOOKUP($BU$3,preferredAttributePTDMap,MATCH($A4,attributeMapFeedProductType,0)+1,FALSE)&gt;0,1,0)</formula>
    </cfRule>
    <cfRule type="expression" dxfId="0" priority="1684"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8 BV10:BV12 BV156:BV1048576">
    <cfRule type="expression" dxfId="4" priority="1685" stopIfTrue="1">
      <formula>IF(LEN(BV4)&gt;0,1,0)</formula>
    </cfRule>
    <cfRule type="expression" dxfId="3" priority="1686" stopIfTrue="1">
      <formula>IF(VLOOKUP($BV$3,requiredAttributePTDMap,MATCH($A4,attributeMapFeedProductType,0)+1,FALSE)&gt;0,1,0)</formula>
    </cfRule>
    <cfRule type="expression" dxfId="2" priority="1687" stopIfTrue="1">
      <formula>IF(VLOOKUP($BV$3,optionalAttributePTDMap,MATCH($A4,attributeMapFeedProductType,0)+1,FALSE)&gt;0,1,0)</formula>
    </cfRule>
    <cfRule type="expression" dxfId="1" priority="1688" stopIfTrue="1">
      <formula>IF(VLOOKUP($BV$3,preferredAttributePTDMap,MATCH($A4,attributeMapFeedProductType,0)+1,FALSE)&gt;0,1,0)</formula>
    </cfRule>
    <cfRule type="expression" dxfId="0" priority="1689"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8 BW10:BW12 BW156:BW1048576">
    <cfRule type="expression" dxfId="4" priority="1690" stopIfTrue="1">
      <formula>IF(LEN(BW4)&gt;0,1,0)</formula>
    </cfRule>
    <cfRule type="expression" dxfId="3" priority="1691" stopIfTrue="1">
      <formula>IF(VLOOKUP($BW$3,requiredAttributePTDMap,MATCH($A4,attributeMapFeedProductType,0)+1,FALSE)&gt;0,1,0)</formula>
    </cfRule>
    <cfRule type="expression" dxfId="2" priority="1692" stopIfTrue="1">
      <formula>IF(VLOOKUP($BW$3,optionalAttributePTDMap,MATCH($A4,attributeMapFeedProductType,0)+1,FALSE)&gt;0,1,0)</formula>
    </cfRule>
    <cfRule type="expression" dxfId="1" priority="1693" stopIfTrue="1">
      <formula>IF(VLOOKUP($BW$3,preferredAttributePTDMap,MATCH($A4,attributeMapFeedProductType,0)+1,FALSE)&gt;0,1,0)</formula>
    </cfRule>
    <cfRule type="expression" dxfId="0" priority="1694"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8 BX10:BX12 BX156:BX1048576">
    <cfRule type="expression" dxfId="4" priority="1695" stopIfTrue="1">
      <formula>IF(LEN(BX4)&gt;0,1,0)</formula>
    </cfRule>
    <cfRule type="expression" dxfId="3" priority="1696" stopIfTrue="1">
      <formula>IF(VLOOKUP($BX$3,requiredAttributePTDMap,MATCH($A4,attributeMapFeedProductType,0)+1,FALSE)&gt;0,1,0)</formula>
    </cfRule>
    <cfRule type="expression" dxfId="2" priority="1697" stopIfTrue="1">
      <formula>IF(VLOOKUP($BX$3,optionalAttributePTDMap,MATCH($A4,attributeMapFeedProductType,0)+1,FALSE)&gt;0,1,0)</formula>
    </cfRule>
    <cfRule type="expression" dxfId="1" priority="1698" stopIfTrue="1">
      <formula>IF(VLOOKUP($BX$3,preferredAttributePTDMap,MATCH($A4,attributeMapFeedProductType,0)+1,FALSE)&gt;0,1,0)</formula>
    </cfRule>
    <cfRule type="expression" dxfId="0" priority="1699"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8 BY10:BY12 BY156:BY1048576">
    <cfRule type="expression" dxfId="4" priority="1700" stopIfTrue="1">
      <formula>IF(LEN(BY4)&gt;0,1,0)</formula>
    </cfRule>
    <cfRule type="expression" dxfId="3" priority="1701" stopIfTrue="1">
      <formula>IF(VLOOKUP($BY$3,requiredAttributePTDMap,MATCH($A4,attributeMapFeedProductType,0)+1,FALSE)&gt;0,1,0)</formula>
    </cfRule>
    <cfRule type="expression" dxfId="2" priority="1702" stopIfTrue="1">
      <formula>IF(VLOOKUP($BY$3,optionalAttributePTDMap,MATCH($A4,attributeMapFeedProductType,0)+1,FALSE)&gt;0,1,0)</formula>
    </cfRule>
    <cfRule type="expression" dxfId="1" priority="1703" stopIfTrue="1">
      <formula>IF(VLOOKUP($BY$3,preferredAttributePTDMap,MATCH($A4,attributeMapFeedProductType,0)+1,FALSE)&gt;0,1,0)</formula>
    </cfRule>
    <cfRule type="expression" dxfId="0" priority="1704"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8 BZ10:BZ12 BZ156:BZ1048576">
    <cfRule type="expression" dxfId="4" priority="1705" stopIfTrue="1">
      <formula>IF(LEN(BZ4)&gt;0,1,0)</formula>
    </cfRule>
    <cfRule type="expression" dxfId="3" priority="1706" stopIfTrue="1">
      <formula>IF(VLOOKUP($BZ$3,requiredAttributePTDMap,MATCH($A4,attributeMapFeedProductType,0)+1,FALSE)&gt;0,1,0)</formula>
    </cfRule>
    <cfRule type="expression" dxfId="2" priority="1707" stopIfTrue="1">
      <formula>IF(VLOOKUP($BZ$3,optionalAttributePTDMap,MATCH($A4,attributeMapFeedProductType,0)+1,FALSE)&gt;0,1,0)</formula>
    </cfRule>
    <cfRule type="expression" dxfId="1" priority="1708" stopIfTrue="1">
      <formula>IF(VLOOKUP($BZ$3,preferredAttributePTDMap,MATCH($A4,attributeMapFeedProductType,0)+1,FALSE)&gt;0,1,0)</formula>
    </cfRule>
    <cfRule type="expression" dxfId="0" priority="1709"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8 CA10:CA12 CA156:CA1048576">
    <cfRule type="expression" dxfId="4" priority="1710" stopIfTrue="1">
      <formula>IF(LEN(CA4)&gt;0,1,0)</formula>
    </cfRule>
    <cfRule type="expression" dxfId="3" priority="1711" stopIfTrue="1">
      <formula>IF(VLOOKUP($CA$3,requiredAttributePTDMap,MATCH($A4,attributeMapFeedProductType,0)+1,FALSE)&gt;0,1,0)</formula>
    </cfRule>
    <cfRule type="expression" dxfId="2" priority="1712" stopIfTrue="1">
      <formula>IF(VLOOKUP($CA$3,optionalAttributePTDMap,MATCH($A4,attributeMapFeedProductType,0)+1,FALSE)&gt;0,1,0)</formula>
    </cfRule>
    <cfRule type="expression" dxfId="1" priority="1713" stopIfTrue="1">
      <formula>IF(VLOOKUP($CA$3,preferredAttributePTDMap,MATCH($A4,attributeMapFeedProductType,0)+1,FALSE)&gt;0,1,0)</formula>
    </cfRule>
    <cfRule type="expression" dxfId="0" priority="1714"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47 CB156:CB1048576">
    <cfRule type="expression" dxfId="4" priority="1715" stopIfTrue="1">
      <formula>IF(LEN(CB4)&gt;0,1,0)</formula>
    </cfRule>
    <cfRule type="expression" dxfId="3" priority="1716" stopIfTrue="1">
      <formula>IF(VLOOKUP($CB$3,requiredAttributePTDMap,MATCH($A4,attributeMapFeedProductType,0)+1,FALSE)&gt;0,1,0)</formula>
    </cfRule>
    <cfRule type="expression" dxfId="2" priority="1717" stopIfTrue="1">
      <formula>IF(VLOOKUP($CB$3,optionalAttributePTDMap,MATCH($A4,attributeMapFeedProductType,0)+1,FALSE)&gt;0,1,0)</formula>
    </cfRule>
    <cfRule type="expression" dxfId="1" priority="1718" stopIfTrue="1">
      <formula>IF(VLOOKUP($CB$3,preferredAttributePTDMap,MATCH($A4,attributeMapFeedProductType,0)+1,FALSE)&gt;0,1,0)</formula>
    </cfRule>
    <cfRule type="expression" dxfId="0" priority="1719"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8 CC10:CC12 CC156:CC1048576">
    <cfRule type="expression" dxfId="4" priority="1720" stopIfTrue="1">
      <formula>IF(LEN(CC4)&gt;0,1,0)</formula>
    </cfRule>
    <cfRule type="expression" dxfId="3" priority="1721" stopIfTrue="1">
      <formula>IF(VLOOKUP($CC$3,requiredAttributePTDMap,MATCH($A4,attributeMapFeedProductType,0)+1,FALSE)&gt;0,1,0)</formula>
    </cfRule>
    <cfRule type="expression" dxfId="2" priority="1722" stopIfTrue="1">
      <formula>IF(VLOOKUP($CC$3,optionalAttributePTDMap,MATCH($A4,attributeMapFeedProductType,0)+1,FALSE)&gt;0,1,0)</formula>
    </cfRule>
    <cfRule type="expression" dxfId="1" priority="1723" stopIfTrue="1">
      <formula>IF(VLOOKUP($CC$3,preferredAttributePTDMap,MATCH($A4,attributeMapFeedProductType,0)+1,FALSE)&gt;0,1,0)</formula>
    </cfRule>
    <cfRule type="expression" dxfId="0" priority="1724"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8 CD10:CD12 CD156:CD1048576">
    <cfRule type="expression" dxfId="4" priority="1725" stopIfTrue="1">
      <formula>IF(LEN(CD4)&gt;0,1,0)</formula>
    </cfRule>
    <cfRule type="expression" dxfId="3" priority="1726" stopIfTrue="1">
      <formula>IF(VLOOKUP($CD$3,requiredAttributePTDMap,MATCH($A4,attributeMapFeedProductType,0)+1,FALSE)&gt;0,1,0)</formula>
    </cfRule>
    <cfRule type="expression" dxfId="2" priority="1727" stopIfTrue="1">
      <formula>IF(VLOOKUP($CD$3,optionalAttributePTDMap,MATCH($A4,attributeMapFeedProductType,0)+1,FALSE)&gt;0,1,0)</formula>
    </cfRule>
    <cfRule type="expression" dxfId="1" priority="1728" stopIfTrue="1">
      <formula>IF(VLOOKUP($CD$3,preferredAttributePTDMap,MATCH($A4,attributeMapFeedProductType,0)+1,FALSE)&gt;0,1,0)</formula>
    </cfRule>
    <cfRule type="expression" dxfId="0" priority="1729"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8 CE10:CE95 CE156:CE1048576">
    <cfRule type="expression" dxfId="4" priority="1730" stopIfTrue="1">
      <formula>IF(LEN(CE4)&gt;0,1,0)</formula>
    </cfRule>
    <cfRule type="expression" dxfId="3" priority="1731" stopIfTrue="1">
      <formula>IF(VLOOKUP($CE$3,requiredAttributePTDMap,MATCH($A4,attributeMapFeedProductType,0)+1,FALSE)&gt;0,1,0)</formula>
    </cfRule>
    <cfRule type="expression" dxfId="2" priority="1732" stopIfTrue="1">
      <formula>IF(VLOOKUP($CE$3,optionalAttributePTDMap,MATCH($A4,attributeMapFeedProductType,0)+1,FALSE)&gt;0,1,0)</formula>
    </cfRule>
    <cfRule type="expression" dxfId="1" priority="1733" stopIfTrue="1">
      <formula>IF(VLOOKUP($CE$3,preferredAttributePTDMap,MATCH($A4,attributeMapFeedProductType,0)+1,FALSE)&gt;0,1,0)</formula>
    </cfRule>
    <cfRule type="expression" dxfId="0" priority="1734"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8 CF10:CF12 CF156:CF1048576">
    <cfRule type="expression" dxfId="4" priority="1735" stopIfTrue="1">
      <formula>IF(LEN(CF4)&gt;0,1,0)</formula>
    </cfRule>
    <cfRule type="expression" dxfId="3" priority="1736" stopIfTrue="1">
      <formula>IF(VLOOKUP($CF$3,requiredAttributePTDMap,MATCH($A4,attributeMapFeedProductType,0)+1,FALSE)&gt;0,1,0)</formula>
    </cfRule>
    <cfRule type="expression" dxfId="2" priority="1737" stopIfTrue="1">
      <formula>IF(VLOOKUP($CF$3,optionalAttributePTDMap,MATCH($A4,attributeMapFeedProductType,0)+1,FALSE)&gt;0,1,0)</formula>
    </cfRule>
    <cfRule type="expression" dxfId="1" priority="1738" stopIfTrue="1">
      <formula>IF(VLOOKUP($CF$3,preferredAttributePTDMap,MATCH($A4,attributeMapFeedProductType,0)+1,FALSE)&gt;0,1,0)</formula>
    </cfRule>
    <cfRule type="expression" dxfId="0" priority="1739"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84 CG156:CG1048576">
    <cfRule type="expression" dxfId="4" priority="1740" stopIfTrue="1">
      <formula>IF(LEN(CG4)&gt;0,1,0)</formula>
    </cfRule>
    <cfRule type="expression" dxfId="3" priority="1741" stopIfTrue="1">
      <formula>IF(VLOOKUP($CG$3,requiredAttributePTDMap,MATCH($A4,attributeMapFeedProductType,0)+1,FALSE)&gt;0,1,0)</formula>
    </cfRule>
    <cfRule type="expression" dxfId="2" priority="1742" stopIfTrue="1">
      <formula>IF(VLOOKUP($CG$3,optionalAttributePTDMap,MATCH($A4,attributeMapFeedProductType,0)+1,FALSE)&gt;0,1,0)</formula>
    </cfRule>
    <cfRule type="expression" dxfId="1" priority="1743" stopIfTrue="1">
      <formula>IF(VLOOKUP($CG$3,preferredAttributePTDMap,MATCH($A4,attributeMapFeedProductType,0)+1,FALSE)&gt;0,1,0)</formula>
    </cfRule>
    <cfRule type="expression" dxfId="0" priority="1744"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8 CH10:CH12 CH156:CH1048576">
    <cfRule type="expression" dxfId="4" priority="1745" stopIfTrue="1">
      <formula>IF(LEN(CH4)&gt;0,1,0)</formula>
    </cfRule>
    <cfRule type="expression" dxfId="3" priority="1746" stopIfTrue="1">
      <formula>IF(VLOOKUP($CH$3,requiredAttributePTDMap,MATCH($A4,attributeMapFeedProductType,0)+1,FALSE)&gt;0,1,0)</formula>
    </cfRule>
    <cfRule type="expression" dxfId="2" priority="1747" stopIfTrue="1">
      <formula>IF(VLOOKUP($CH$3,optionalAttributePTDMap,MATCH($A4,attributeMapFeedProductType,0)+1,FALSE)&gt;0,1,0)</formula>
    </cfRule>
    <cfRule type="expression" dxfId="1" priority="1748" stopIfTrue="1">
      <formula>IF(VLOOKUP($CH$3,preferredAttributePTDMap,MATCH($A4,attributeMapFeedProductType,0)+1,FALSE)&gt;0,1,0)</formula>
    </cfRule>
    <cfRule type="expression" dxfId="0" priority="1749"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8 CI10:CI12 CI156:CI1048576">
    <cfRule type="expression" dxfId="4" priority="1750" stopIfTrue="1">
      <formula>IF(LEN(CI4)&gt;0,1,0)</formula>
    </cfRule>
    <cfRule type="expression" dxfId="3" priority="1751" stopIfTrue="1">
      <formula>IF(VLOOKUP($CI$3,requiredAttributePTDMap,MATCH($A4,attributeMapFeedProductType,0)+1,FALSE)&gt;0,1,0)</formula>
    </cfRule>
    <cfRule type="expression" dxfId="2" priority="1752" stopIfTrue="1">
      <formula>IF(VLOOKUP($CI$3,optionalAttributePTDMap,MATCH($A4,attributeMapFeedProductType,0)+1,FALSE)&gt;0,1,0)</formula>
    </cfRule>
    <cfRule type="expression" dxfId="1" priority="1753" stopIfTrue="1">
      <formula>IF(VLOOKUP($CI$3,preferredAttributePTDMap,MATCH($A4,attributeMapFeedProductType,0)+1,FALSE)&gt;0,1,0)</formula>
    </cfRule>
    <cfRule type="expression" dxfId="0" priority="1754"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8 CJ10:CJ12 CJ156:CJ1048576">
    <cfRule type="expression" dxfId="4" priority="1755" stopIfTrue="1">
      <formula>IF(LEN(CJ4)&gt;0,1,0)</formula>
    </cfRule>
    <cfRule type="expression" dxfId="3" priority="1756" stopIfTrue="1">
      <formula>IF(VLOOKUP($CJ$3,requiredAttributePTDMap,MATCH($A4,attributeMapFeedProductType,0)+1,FALSE)&gt;0,1,0)</formula>
    </cfRule>
    <cfRule type="expression" dxfId="2" priority="1757" stopIfTrue="1">
      <formula>IF(VLOOKUP($CJ$3,optionalAttributePTDMap,MATCH($A4,attributeMapFeedProductType,0)+1,FALSE)&gt;0,1,0)</formula>
    </cfRule>
    <cfRule type="expression" dxfId="1" priority="1758" stopIfTrue="1">
      <formula>IF(VLOOKUP($CJ$3,preferredAttributePTDMap,MATCH($A4,attributeMapFeedProductType,0)+1,FALSE)&gt;0,1,0)</formula>
    </cfRule>
    <cfRule type="expression" dxfId="0" priority="1759"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8 CK10:CK12 CK156:CK1048576">
    <cfRule type="expression" dxfId="4" priority="1760" stopIfTrue="1">
      <formula>IF(LEN(CK4)&gt;0,1,0)</formula>
    </cfRule>
    <cfRule type="expression" dxfId="3" priority="1761" stopIfTrue="1">
      <formula>IF(VLOOKUP($CK$3,requiredAttributePTDMap,MATCH($A4,attributeMapFeedProductType,0)+1,FALSE)&gt;0,1,0)</formula>
    </cfRule>
    <cfRule type="expression" dxfId="2" priority="1762" stopIfTrue="1">
      <formula>IF(VLOOKUP($CK$3,optionalAttributePTDMap,MATCH($A4,attributeMapFeedProductType,0)+1,FALSE)&gt;0,1,0)</formula>
    </cfRule>
    <cfRule type="expression" dxfId="1" priority="1763" stopIfTrue="1">
      <formula>IF(VLOOKUP($CK$3,preferredAttributePTDMap,MATCH($A4,attributeMapFeedProductType,0)+1,FALSE)&gt;0,1,0)</formula>
    </cfRule>
    <cfRule type="expression" dxfId="0" priority="1764"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8 CL10:CL12 CL156:CL1048576">
    <cfRule type="expression" dxfId="4" priority="1765" stopIfTrue="1">
      <formula>IF(LEN(CL4)&gt;0,1,0)</formula>
    </cfRule>
    <cfRule type="expression" dxfId="3" priority="1766" stopIfTrue="1">
      <formula>IF(VLOOKUP($CL$3,requiredAttributePTDMap,MATCH($A4,attributeMapFeedProductType,0)+1,FALSE)&gt;0,1,0)</formula>
    </cfRule>
    <cfRule type="expression" dxfId="2" priority="1767" stopIfTrue="1">
      <formula>IF(VLOOKUP($CL$3,optionalAttributePTDMap,MATCH($A4,attributeMapFeedProductType,0)+1,FALSE)&gt;0,1,0)</formula>
    </cfRule>
    <cfRule type="expression" dxfId="1" priority="1768" stopIfTrue="1">
      <formula>IF(VLOOKUP($CL$3,preferredAttributePTDMap,MATCH($A4,attributeMapFeedProductType,0)+1,FALSE)&gt;0,1,0)</formula>
    </cfRule>
    <cfRule type="expression" dxfId="0" priority="1769"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56:CM1048576">
    <cfRule type="expression" dxfId="4" priority="1770" stopIfTrue="1">
      <formula>IF(LEN(CM4)&gt;0,1,0)</formula>
    </cfRule>
    <cfRule type="expression" dxfId="3" priority="1771" stopIfTrue="1">
      <formula>IF(VLOOKUP($CM$3,requiredAttributePTDMap,MATCH($A4,attributeMapFeedProductType,0)+1,FALSE)&gt;0,1,0)</formula>
    </cfRule>
    <cfRule type="expression" dxfId="2" priority="1772" stopIfTrue="1">
      <formula>IF(VLOOKUP($CM$3,optionalAttributePTDMap,MATCH($A4,attributeMapFeedProductType,0)+1,FALSE)&gt;0,1,0)</formula>
    </cfRule>
    <cfRule type="expression" dxfId="1" priority="1773" stopIfTrue="1">
      <formula>IF(VLOOKUP($CM$3,preferredAttributePTDMap,MATCH($A4,attributeMapFeedProductType,0)+1,FALSE)&gt;0,1,0)</formula>
    </cfRule>
    <cfRule type="expression" dxfId="0" priority="1774"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95 CN156:CN1048576">
    <cfRule type="expression" dxfId="4" priority="1775" stopIfTrue="1">
      <formula>IF(LEN(CN4)&gt;0,1,0)</formula>
    </cfRule>
    <cfRule type="expression" dxfId="3" priority="1776" stopIfTrue="1">
      <formula>IF(VLOOKUP($CN$3,requiredAttributePTDMap,MATCH($A4,attributeMapFeedProductType,0)+1,FALSE)&gt;0,1,0)</formula>
    </cfRule>
    <cfRule type="expression" dxfId="2" priority="1777" stopIfTrue="1">
      <formula>IF(VLOOKUP($CN$3,optionalAttributePTDMap,MATCH($A4,attributeMapFeedProductType,0)+1,FALSE)&gt;0,1,0)</formula>
    </cfRule>
    <cfRule type="expression" dxfId="1" priority="1778" stopIfTrue="1">
      <formula>IF(VLOOKUP($CN$3,preferredAttributePTDMap,MATCH($A4,attributeMapFeedProductType,0)+1,FALSE)&gt;0,1,0)</formula>
    </cfRule>
    <cfRule type="expression" dxfId="0" priority="1779"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8 CO10:CO12 CO156:CO1048576">
    <cfRule type="expression" dxfId="4" priority="1780" stopIfTrue="1">
      <formula>IF(LEN(CO4)&gt;0,1,0)</formula>
    </cfRule>
    <cfRule type="expression" dxfId="3" priority="1781" stopIfTrue="1">
      <formula>IF(VLOOKUP($CO$3,requiredAttributePTDMap,MATCH($A4,attributeMapFeedProductType,0)+1,FALSE)&gt;0,1,0)</formula>
    </cfRule>
    <cfRule type="expression" dxfId="2" priority="1782" stopIfTrue="1">
      <formula>IF(VLOOKUP($CO$3,optionalAttributePTDMap,MATCH($A4,attributeMapFeedProductType,0)+1,FALSE)&gt;0,1,0)</formula>
    </cfRule>
    <cfRule type="expression" dxfId="1" priority="1783" stopIfTrue="1">
      <formula>IF(VLOOKUP($CO$3,preferredAttributePTDMap,MATCH($A4,attributeMapFeedProductType,0)+1,FALSE)&gt;0,1,0)</formula>
    </cfRule>
    <cfRule type="expression" dxfId="0" priority="1784"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8 CP10:CP12 CP156:CP1048576">
    <cfRule type="expression" dxfId="0" priority="1324" stopIfTrue="1">
      <formula>IF($AU4&lt;&gt;"Parent",0,1)</formula>
    </cfRule>
    <cfRule type="expression" dxfId="4" priority="1785" stopIfTrue="1">
      <formula>IF(LEN(CP4)&gt;0,1,0)</formula>
    </cfRule>
    <cfRule type="expression" dxfId="3" priority="1786" stopIfTrue="1">
      <formula>IF(VLOOKUP($CP$3,requiredAttributePTDMap,MATCH($A4,attributeMapFeedProductType,0)+1,FALSE)&gt;0,1,0)</formula>
    </cfRule>
    <cfRule type="expression" dxfId="2" priority="1787" stopIfTrue="1">
      <formula>IF(VLOOKUP($CP$3,optionalAttributePTDMap,MATCH($A4,attributeMapFeedProductType,0)+1,FALSE)&gt;0,1,0)</formula>
    </cfRule>
    <cfRule type="expression" dxfId="1" priority="1788" stopIfTrue="1">
      <formula>IF(VLOOKUP($CP$3,preferredAttributePTDMap,MATCH($A4,attributeMapFeedProductType,0)+1,FALSE)&gt;0,1,0)</formula>
    </cfRule>
    <cfRule type="expression" dxfId="0" priority="1789"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56:CQ1048576">
    <cfRule type="expression" dxfId="4" priority="1790" stopIfTrue="1">
      <formula>IF(LEN(CQ4)&gt;0,1,0)</formula>
    </cfRule>
    <cfRule type="expression" dxfId="3" priority="1791" stopIfTrue="1">
      <formula>IF(VLOOKUP($CQ$3,requiredAttributePTDMap,MATCH($A4,attributeMapFeedProductType,0)+1,FALSE)&gt;0,1,0)</formula>
    </cfRule>
    <cfRule type="expression" dxfId="2" priority="1792" stopIfTrue="1">
      <formula>IF(VLOOKUP($CQ$3,optionalAttributePTDMap,MATCH($A4,attributeMapFeedProductType,0)+1,FALSE)&gt;0,1,0)</formula>
    </cfRule>
    <cfRule type="expression" dxfId="1" priority="1793" stopIfTrue="1">
      <formula>IF(VLOOKUP($CQ$3,preferredAttributePTDMap,MATCH($A4,attributeMapFeedProductType,0)+1,FALSE)&gt;0,1,0)</formula>
    </cfRule>
    <cfRule type="expression" dxfId="0" priority="1794"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56:CR1048576">
    <cfRule type="expression" dxfId="4" priority="1795" stopIfTrue="1">
      <formula>IF(LEN(CR4)&gt;0,1,0)</formula>
    </cfRule>
    <cfRule type="expression" dxfId="3" priority="1796" stopIfTrue="1">
      <formula>IF(VLOOKUP($CR$3,requiredAttributePTDMap,MATCH($A4,attributeMapFeedProductType,0)+1,FALSE)&gt;0,1,0)</formula>
    </cfRule>
    <cfRule type="expression" dxfId="2" priority="1797" stopIfTrue="1">
      <formula>IF(VLOOKUP($CR$3,optionalAttributePTDMap,MATCH($A4,attributeMapFeedProductType,0)+1,FALSE)&gt;0,1,0)</formula>
    </cfRule>
    <cfRule type="expression" dxfId="1" priority="1798" stopIfTrue="1">
      <formula>IF(VLOOKUP($CR$3,preferredAttributePTDMap,MATCH($A4,attributeMapFeedProductType,0)+1,FALSE)&gt;0,1,0)</formula>
    </cfRule>
    <cfRule type="expression" dxfId="0" priority="1799"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56:CS1048576">
    <cfRule type="expression" dxfId="4" priority="1800" stopIfTrue="1">
      <formula>IF(LEN(CS4)&gt;0,1,0)</formula>
    </cfRule>
    <cfRule type="expression" dxfId="3" priority="1801" stopIfTrue="1">
      <formula>IF(VLOOKUP($CS$3,requiredAttributePTDMap,MATCH($A4,attributeMapFeedProductType,0)+1,FALSE)&gt;0,1,0)</formula>
    </cfRule>
    <cfRule type="expression" dxfId="2" priority="1802" stopIfTrue="1">
      <formula>IF(VLOOKUP($CS$3,optionalAttributePTDMap,MATCH($A4,attributeMapFeedProductType,0)+1,FALSE)&gt;0,1,0)</formula>
    </cfRule>
    <cfRule type="expression" dxfId="1" priority="1803" stopIfTrue="1">
      <formula>IF(VLOOKUP($CS$3,preferredAttributePTDMap,MATCH($A4,attributeMapFeedProductType,0)+1,FALSE)&gt;0,1,0)</formula>
    </cfRule>
    <cfRule type="expression" dxfId="0" priority="1804"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8 CT10:CT95 CT156:CT1048576">
    <cfRule type="expression" dxfId="4" priority="1805" stopIfTrue="1">
      <formula>IF(LEN(CT4)&gt;0,1,0)</formula>
    </cfRule>
    <cfRule type="expression" dxfId="3" priority="1806" stopIfTrue="1">
      <formula>IF(VLOOKUP($CT$3,requiredAttributePTDMap,MATCH($A4,attributeMapFeedProductType,0)+1,FALSE)&gt;0,1,0)</formula>
    </cfRule>
    <cfRule type="expression" dxfId="2" priority="1807" stopIfTrue="1">
      <formula>IF(VLOOKUP($CT$3,optionalAttributePTDMap,MATCH($A4,attributeMapFeedProductType,0)+1,FALSE)&gt;0,1,0)</formula>
    </cfRule>
    <cfRule type="expression" dxfId="1" priority="1808" stopIfTrue="1">
      <formula>IF(VLOOKUP($CT$3,preferredAttributePTDMap,MATCH($A4,attributeMapFeedProductType,0)+1,FALSE)&gt;0,1,0)</formula>
    </cfRule>
    <cfRule type="expression" dxfId="0" priority="1809"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56:CU1048576">
    <cfRule type="expression" dxfId="4" priority="1810" stopIfTrue="1">
      <formula>IF(LEN(CU4)&gt;0,1,0)</formula>
    </cfRule>
    <cfRule type="expression" dxfId="3" priority="1811" stopIfTrue="1">
      <formula>IF(VLOOKUP($CU$3,requiredAttributePTDMap,MATCH($A4,attributeMapFeedProductType,0)+1,FALSE)&gt;0,1,0)</formula>
    </cfRule>
    <cfRule type="expression" dxfId="2" priority="1812" stopIfTrue="1">
      <formula>IF(VLOOKUP($CU$3,optionalAttributePTDMap,MATCH($A4,attributeMapFeedProductType,0)+1,FALSE)&gt;0,1,0)</formula>
    </cfRule>
    <cfRule type="expression" dxfId="1" priority="1813" stopIfTrue="1">
      <formula>IF(VLOOKUP($CU$3,preferredAttributePTDMap,MATCH($A4,attributeMapFeedProductType,0)+1,FALSE)&gt;0,1,0)</formula>
    </cfRule>
    <cfRule type="expression" dxfId="0" priority="1814"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8 CV10:CV95 CV156:CV1048576">
    <cfRule type="expression" dxfId="4" priority="1815" stopIfTrue="1">
      <formula>IF(LEN(CV4)&gt;0,1,0)</formula>
    </cfRule>
    <cfRule type="expression" dxfId="3" priority="1816" stopIfTrue="1">
      <formula>IF(VLOOKUP($CV$3,requiredAttributePTDMap,MATCH($A4,attributeMapFeedProductType,0)+1,FALSE)&gt;0,1,0)</formula>
    </cfRule>
    <cfRule type="expression" dxfId="2" priority="1817" stopIfTrue="1">
      <formula>IF(VLOOKUP($CV$3,optionalAttributePTDMap,MATCH($A4,attributeMapFeedProductType,0)+1,FALSE)&gt;0,1,0)</formula>
    </cfRule>
    <cfRule type="expression" dxfId="1" priority="1818" stopIfTrue="1">
      <formula>IF(VLOOKUP($CV$3,preferredAttributePTDMap,MATCH($A4,attributeMapFeedProductType,0)+1,FALSE)&gt;0,1,0)</formula>
    </cfRule>
    <cfRule type="expression" dxfId="0" priority="1819"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8 CW10:CW95 CW156:CW1048576">
    <cfRule type="expression" dxfId="4" priority="1820" stopIfTrue="1">
      <formula>IF(LEN(CW4)&gt;0,1,0)</formula>
    </cfRule>
    <cfRule type="expression" dxfId="3" priority="1821" stopIfTrue="1">
      <formula>IF(VLOOKUP($CW$3,requiredAttributePTDMap,MATCH($A4,attributeMapFeedProductType,0)+1,FALSE)&gt;0,1,0)</formula>
    </cfRule>
    <cfRule type="expression" dxfId="2" priority="1822" stopIfTrue="1">
      <formula>IF(VLOOKUP($CW$3,optionalAttributePTDMap,MATCH($A4,attributeMapFeedProductType,0)+1,FALSE)&gt;0,1,0)</formula>
    </cfRule>
    <cfRule type="expression" dxfId="1" priority="1823" stopIfTrue="1">
      <formula>IF(VLOOKUP($CW$3,preferredAttributePTDMap,MATCH($A4,attributeMapFeedProductType,0)+1,FALSE)&gt;0,1,0)</formula>
    </cfRule>
    <cfRule type="expression" dxfId="0" priority="1824"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8 CX10:CX95 CX156:CX1048576">
    <cfRule type="expression" dxfId="4" priority="1825" stopIfTrue="1">
      <formula>IF(LEN(CX4)&gt;0,1,0)</formula>
    </cfRule>
    <cfRule type="expression" dxfId="3" priority="1826" stopIfTrue="1">
      <formula>IF(VLOOKUP($CX$3,requiredAttributePTDMap,MATCH($A4,attributeMapFeedProductType,0)+1,FALSE)&gt;0,1,0)</formula>
    </cfRule>
    <cfRule type="expression" dxfId="2" priority="1827" stopIfTrue="1">
      <formula>IF(VLOOKUP($CX$3,optionalAttributePTDMap,MATCH($A4,attributeMapFeedProductType,0)+1,FALSE)&gt;0,1,0)</formula>
    </cfRule>
    <cfRule type="expression" dxfId="1" priority="1828" stopIfTrue="1">
      <formula>IF(VLOOKUP($CX$3,preferredAttributePTDMap,MATCH($A4,attributeMapFeedProductType,0)+1,FALSE)&gt;0,1,0)</formula>
    </cfRule>
    <cfRule type="expression" dxfId="0" priority="1829"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8 CY10:CY95 CY156:CY1048576">
    <cfRule type="expression" dxfId="4" priority="1830" stopIfTrue="1">
      <formula>IF(LEN(CY4)&gt;0,1,0)</formula>
    </cfRule>
    <cfRule type="expression" dxfId="3" priority="1831" stopIfTrue="1">
      <formula>IF(VLOOKUP($CY$3,requiredAttributePTDMap,MATCH($A4,attributeMapFeedProductType,0)+1,FALSE)&gt;0,1,0)</formula>
    </cfRule>
    <cfRule type="expression" dxfId="2" priority="1832" stopIfTrue="1">
      <formula>IF(VLOOKUP($CY$3,optionalAttributePTDMap,MATCH($A4,attributeMapFeedProductType,0)+1,FALSE)&gt;0,1,0)</formula>
    </cfRule>
    <cfRule type="expression" dxfId="1" priority="1833" stopIfTrue="1">
      <formula>IF(VLOOKUP($CY$3,preferredAttributePTDMap,MATCH($A4,attributeMapFeedProductType,0)+1,FALSE)&gt;0,1,0)</formula>
    </cfRule>
    <cfRule type="expression" dxfId="0" priority="1834"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8 CZ10:CZ95 CZ156:CZ1048576">
    <cfRule type="expression" dxfId="0" priority="1835" stopIfTrue="1">
      <formula>AND(AND((0)),1=1)</formula>
    </cfRule>
    <cfRule type="expression" dxfId="0" priority="1836" stopIfTrue="1">
      <formula>AND(AND(OR(AND(OR(OR(NOT(CP4&lt;&gt;"DEFAULT"),CP4="")))),A4&lt;&gt;""))</formula>
    </cfRule>
    <cfRule type="expression" dxfId="4" priority="1837" stopIfTrue="1">
      <formula>IF(LEN(CZ4)&gt;0,1,0)</formula>
    </cfRule>
    <cfRule type="expression" dxfId="3" priority="1838" stopIfTrue="1">
      <formula>IF(VLOOKUP($CZ$3,requiredAttributePTDMap,MATCH($A4,attributeMapFeedProductType,0)+1,FALSE)&gt;0,1,0)</formula>
    </cfRule>
    <cfRule type="expression" dxfId="2" priority="1839" stopIfTrue="1">
      <formula>IF(VLOOKUP($CZ$3,optionalAttributePTDMap,MATCH($A4,attributeMapFeedProductType,0)+1,FALSE)&gt;0,1,0)</formula>
    </cfRule>
    <cfRule type="expression" dxfId="1" priority="1840" stopIfTrue="1">
      <formula>IF(VLOOKUP($CZ$3,preferredAttributePTDMap,MATCH($A4,attributeMapFeedProductType,0)+1,FALSE)&gt;0,1,0)</formula>
    </cfRule>
    <cfRule type="expression" dxfId="0" priority="184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8 DA10:DA95 DA156:DA1048576">
    <cfRule type="expression" dxfId="0" priority="1842" stopIfTrue="1">
      <formula>AND(AND((0)),1=1)</formula>
    </cfRule>
    <cfRule type="expression" dxfId="0" priority="1843" stopIfTrue="1">
      <formula>AND(AND(OR(AND(AND(IF(COUNTIF(CONDITION_LIST_0,CZ4)&gt;0,FALSE,TRUE)))),A4&lt;&gt;""))</formula>
    </cfRule>
    <cfRule type="expression" dxfId="4" priority="1844" stopIfTrue="1">
      <formula>IF(LEN(DA4)&gt;0,1,0)</formula>
    </cfRule>
    <cfRule type="expression" dxfId="3" priority="1845" stopIfTrue="1">
      <formula>IF(VLOOKUP($DA$3,requiredAttributePTDMap,MATCH($A4,attributeMapFeedProductType,0)+1,FALSE)&gt;0,1,0)</formula>
    </cfRule>
    <cfRule type="expression" dxfId="2" priority="1846" stopIfTrue="1">
      <formula>IF(VLOOKUP($DA$3,optionalAttributePTDMap,MATCH($A4,attributeMapFeedProductType,0)+1,FALSE)&gt;0,1,0)</formula>
    </cfRule>
    <cfRule type="expression" dxfId="1" priority="1847" stopIfTrue="1">
      <formula>IF(VLOOKUP($DA$3,preferredAttributePTDMap,MATCH($A4,attributeMapFeedProductType,0)+1,FALSE)&gt;0,1,0)</formula>
    </cfRule>
    <cfRule type="expression" dxfId="0" priority="1848"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8 DB10:DB95 DB156:DB1048576">
    <cfRule type="expression" dxfId="0" priority="1849" stopIfTrue="1">
      <formula>AND(AND((0)),1=1)</formula>
    </cfRule>
    <cfRule type="expression" dxfId="0" priority="1850" stopIfTrue="1">
      <formula>AND(AND(OR(AND(AND(IF(COUNTIF(CONDITION_LIST_0,DA4)&gt;0,FALSE,TRUE)))),A4&lt;&gt;""))</formula>
    </cfRule>
    <cfRule type="expression" dxfId="4" priority="1851" stopIfTrue="1">
      <formula>IF(LEN(DB4)&gt;0,1,0)</formula>
    </cfRule>
    <cfRule type="expression" dxfId="3" priority="1852" stopIfTrue="1">
      <formula>IF(VLOOKUP($DB$3,requiredAttributePTDMap,MATCH($A4,attributeMapFeedProductType,0)+1,FALSE)&gt;0,1,0)</formula>
    </cfRule>
    <cfRule type="expression" dxfId="2" priority="1853" stopIfTrue="1">
      <formula>IF(VLOOKUP($DB$3,optionalAttributePTDMap,MATCH($A4,attributeMapFeedProductType,0)+1,FALSE)&gt;0,1,0)</formula>
    </cfRule>
    <cfRule type="expression" dxfId="1" priority="1854" stopIfTrue="1">
      <formula>IF(VLOOKUP($DB$3,preferredAttributePTDMap,MATCH($A4,attributeMapFeedProductType,0)+1,FALSE)&gt;0,1,0)</formula>
    </cfRule>
    <cfRule type="expression" dxfId="0" priority="1855"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8 DC10:DC12 DC156:DC1048576">
    <cfRule type="expression" dxfId="0" priority="1856" stopIfTrue="1">
      <formula>AND(AND((0)),1=1)</formula>
    </cfRule>
    <cfRule type="expression" dxfId="0" priority="1857" stopIfTrue="1">
      <formula>AND(AND(OR(AND(AND(IF(COUNTIF(CONDITION_LIST_1,DB4)&gt;0,FALSE,TRUE)))),A4&lt;&gt;""))</formula>
    </cfRule>
    <cfRule type="expression" dxfId="4" priority="1858" stopIfTrue="1">
      <formula>IF(LEN(DC4)&gt;0,1,0)</formula>
    </cfRule>
    <cfRule type="expression" dxfId="3" priority="1859" stopIfTrue="1">
      <formula>IF(VLOOKUP($DC$3,requiredAttributePTDMap,MATCH($A4,attributeMapFeedProductType,0)+1,FALSE)&gt;0,1,0)</formula>
    </cfRule>
    <cfRule type="expression" dxfId="2" priority="1860" stopIfTrue="1">
      <formula>IF(VLOOKUP($DC$3,optionalAttributePTDMap,MATCH($A4,attributeMapFeedProductType,0)+1,FALSE)&gt;0,1,0)</formula>
    </cfRule>
    <cfRule type="expression" dxfId="1" priority="1861" stopIfTrue="1">
      <formula>IF(VLOOKUP($DC$3,preferredAttributePTDMap,MATCH($A4,attributeMapFeedProductType,0)+1,FALSE)&gt;0,1,0)</formula>
    </cfRule>
    <cfRule type="expression" dxfId="0" priority="1862"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8 DD10:DD12 DD156:DD1048576">
    <cfRule type="expression" dxfId="0" priority="1863" stopIfTrue="1">
      <formula>AND(AND((0)),1=1)</formula>
    </cfRule>
    <cfRule type="expression" dxfId="0" priority="1864" stopIfTrue="1">
      <formula>AND(AND(OR(AND(AND(IF(COUNTIF(CONDITION_LIST_1,DB4)&gt;0,FALSE,TRUE)))),A4&lt;&gt;""))</formula>
    </cfRule>
    <cfRule type="expression" dxfId="4" priority="1865" stopIfTrue="1">
      <formula>IF(LEN(DD4)&gt;0,1,0)</formula>
    </cfRule>
    <cfRule type="expression" dxfId="3" priority="1866" stopIfTrue="1">
      <formula>IF(VLOOKUP($DD$3,requiredAttributePTDMap,MATCH($A4,attributeMapFeedProductType,0)+1,FALSE)&gt;0,1,0)</formula>
    </cfRule>
    <cfRule type="expression" dxfId="2" priority="1867" stopIfTrue="1">
      <formula>IF(VLOOKUP($DD$3,optionalAttributePTDMap,MATCH($A4,attributeMapFeedProductType,0)+1,FALSE)&gt;0,1,0)</formula>
    </cfRule>
    <cfRule type="expression" dxfId="1" priority="1868" stopIfTrue="1">
      <formula>IF(VLOOKUP($DD$3,preferredAttributePTDMap,MATCH($A4,attributeMapFeedProductType,0)+1,FALSE)&gt;0,1,0)</formula>
    </cfRule>
    <cfRule type="expression" dxfId="0" priority="1869"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8 DE10:DE12 DE156:DE1048576">
    <cfRule type="expression" dxfId="0" priority="1870" stopIfTrue="1">
      <formula>AND(AND((0)),1=1)</formula>
    </cfRule>
    <cfRule type="expression" dxfId="0" priority="1871" stopIfTrue="1">
      <formula>AND(AND(OR(AND(AND(IF(COUNTIF(CONDITION_LIST_1,DB4)&gt;0,FALSE,TRUE)))),A4&lt;&gt;""))</formula>
    </cfRule>
    <cfRule type="expression" dxfId="4" priority="1872" stopIfTrue="1">
      <formula>IF(LEN(DE4)&gt;0,1,0)</formula>
    </cfRule>
    <cfRule type="expression" dxfId="3" priority="1873" stopIfTrue="1">
      <formula>IF(VLOOKUP($DE$3,requiredAttributePTDMap,MATCH($A4,attributeMapFeedProductType,0)+1,FALSE)&gt;0,1,0)</formula>
    </cfRule>
    <cfRule type="expression" dxfId="2" priority="1874" stopIfTrue="1">
      <formula>IF(VLOOKUP($DE$3,optionalAttributePTDMap,MATCH($A4,attributeMapFeedProductType,0)+1,FALSE)&gt;0,1,0)</formula>
    </cfRule>
    <cfRule type="expression" dxfId="1" priority="1875" stopIfTrue="1">
      <formula>IF(VLOOKUP($DE$3,preferredAttributePTDMap,MATCH($A4,attributeMapFeedProductType,0)+1,FALSE)&gt;0,1,0)</formula>
    </cfRule>
    <cfRule type="expression" dxfId="0" priority="187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8 DF10:DF12 DF156:DF1048576">
    <cfRule type="expression" dxfId="0" priority="1877" stopIfTrue="1">
      <formula>AND(AND((0)),1=1)</formula>
    </cfRule>
    <cfRule type="expression" dxfId="0" priority="1878" stopIfTrue="1">
      <formula>AND(AND(OR(AND(AND(IF(COUNTIF(CONDITION_LIST_1,DB4)&gt;0,FALSE,TRUE)))),A4&lt;&gt;""))</formula>
    </cfRule>
    <cfRule type="expression" dxfId="4" priority="1879" stopIfTrue="1">
      <formula>IF(LEN(DF4)&gt;0,1,0)</formula>
    </cfRule>
    <cfRule type="expression" dxfId="3" priority="1880" stopIfTrue="1">
      <formula>IF(VLOOKUP($DF$3,requiredAttributePTDMap,MATCH($A4,attributeMapFeedProductType,0)+1,FALSE)&gt;0,1,0)</formula>
    </cfRule>
    <cfRule type="expression" dxfId="2" priority="1881" stopIfTrue="1">
      <formula>IF(VLOOKUP($DF$3,optionalAttributePTDMap,MATCH($A4,attributeMapFeedProductType,0)+1,FALSE)&gt;0,1,0)</formula>
    </cfRule>
    <cfRule type="expression" dxfId="1" priority="1882" stopIfTrue="1">
      <formula>IF(VLOOKUP($DF$3,preferredAttributePTDMap,MATCH($A4,attributeMapFeedProductType,0)+1,FALSE)&gt;0,1,0)</formula>
    </cfRule>
    <cfRule type="expression" dxfId="0" priority="1883"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8 DG10:DG12 DG156:DG1048576">
    <cfRule type="expression" dxfId="0" priority="1884" stopIfTrue="1">
      <formula>AND(AND((0)),1=1)</formula>
    </cfRule>
    <cfRule type="expression" dxfId="0" priority="1885" stopIfTrue="1">
      <formula>AND(AND(OR(AND(AND(IF(COUNTIF(CONDITION_LIST_1,DB4)&gt;0,FALSE,TRUE)))),A4&lt;&gt;""))</formula>
    </cfRule>
    <cfRule type="expression" dxfId="4" priority="1886" stopIfTrue="1">
      <formula>IF(LEN(DG4)&gt;0,1,0)</formula>
    </cfRule>
    <cfRule type="expression" dxfId="3" priority="1887" stopIfTrue="1">
      <formula>IF(VLOOKUP($DG$3,requiredAttributePTDMap,MATCH($A4,attributeMapFeedProductType,0)+1,FALSE)&gt;0,1,0)</formula>
    </cfRule>
    <cfRule type="expression" dxfId="2" priority="1888" stopIfTrue="1">
      <formula>IF(VLOOKUP($DG$3,optionalAttributePTDMap,MATCH($A4,attributeMapFeedProductType,0)+1,FALSE)&gt;0,1,0)</formula>
    </cfRule>
    <cfRule type="expression" dxfId="1" priority="1889" stopIfTrue="1">
      <formula>IF(VLOOKUP($DG$3,preferredAttributePTDMap,MATCH($A4,attributeMapFeedProductType,0)+1,FALSE)&gt;0,1,0)</formula>
    </cfRule>
    <cfRule type="expression" dxfId="0" priority="1890"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8 DH10:DH12 DH156:DH1048576">
    <cfRule type="expression" dxfId="0" priority="1891" stopIfTrue="1">
      <formula>AND(AND((0)),1=1)</formula>
    </cfRule>
    <cfRule type="expression" dxfId="0" priority="1892" stopIfTrue="1">
      <formula>AND(AND(OR(AND(AND(IF(COUNTIF(CONDITION_LIST_1,DB4)&gt;0,FALSE,TRUE)))),A4&lt;&gt;""))</formula>
    </cfRule>
    <cfRule type="expression" dxfId="4" priority="1893" stopIfTrue="1">
      <formula>IF(LEN(DH4)&gt;0,1,0)</formula>
    </cfRule>
    <cfRule type="expression" dxfId="3" priority="1894" stopIfTrue="1">
      <formula>IF(VLOOKUP($DH$3,requiredAttributePTDMap,MATCH($A4,attributeMapFeedProductType,0)+1,FALSE)&gt;0,1,0)</formula>
    </cfRule>
    <cfRule type="expression" dxfId="2" priority="1895" stopIfTrue="1">
      <formula>IF(VLOOKUP($DH$3,optionalAttributePTDMap,MATCH($A4,attributeMapFeedProductType,0)+1,FALSE)&gt;0,1,0)</formula>
    </cfRule>
    <cfRule type="expression" dxfId="1" priority="1896" stopIfTrue="1">
      <formula>IF(VLOOKUP($DH$3,preferredAttributePTDMap,MATCH($A4,attributeMapFeedProductType,0)+1,FALSE)&gt;0,1,0)</formula>
    </cfRule>
    <cfRule type="expression" dxfId="0" priority="1897"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8 DI10:DI12 DI156:DI1048576">
    <cfRule type="expression" dxfId="0" priority="1898" stopIfTrue="1">
      <formula>AND(AND((0)),1=1)</formula>
    </cfRule>
    <cfRule type="expression" dxfId="0" priority="1899" stopIfTrue="1">
      <formula>AND(AND(OR(AND(AND(IF(COUNTIF(CONDITION_LIST_1,DB4)&gt;0,FALSE,TRUE)))),A4&lt;&gt;""))</formula>
    </cfRule>
    <cfRule type="expression" dxfId="4" priority="1900" stopIfTrue="1">
      <formula>IF(LEN(DI4)&gt;0,1,0)</formula>
    </cfRule>
    <cfRule type="expression" dxfId="3" priority="1901" stopIfTrue="1">
      <formula>IF(VLOOKUP($DI$3,requiredAttributePTDMap,MATCH($A4,attributeMapFeedProductType,0)+1,FALSE)&gt;0,1,0)</formula>
    </cfRule>
    <cfRule type="expression" dxfId="2" priority="1902" stopIfTrue="1">
      <formula>IF(VLOOKUP($DI$3,optionalAttributePTDMap,MATCH($A4,attributeMapFeedProductType,0)+1,FALSE)&gt;0,1,0)</formula>
    </cfRule>
    <cfRule type="expression" dxfId="1" priority="1903" stopIfTrue="1">
      <formula>IF(VLOOKUP($DI$3,preferredAttributePTDMap,MATCH($A4,attributeMapFeedProductType,0)+1,FALSE)&gt;0,1,0)</formula>
    </cfRule>
    <cfRule type="expression" dxfId="0" priority="1904"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8 DJ10:DJ12 DJ156:DJ1048576">
    <cfRule type="expression" dxfId="0" priority="1905" stopIfTrue="1">
      <formula>AND(AND((0)),1=1)</formula>
    </cfRule>
    <cfRule type="expression" dxfId="0" priority="1906" stopIfTrue="1">
      <formula>AND(AND(OR(AND(AND(IF(COUNTIF(CONDITION_LIST_1,DB4)&gt;0,FALSE,TRUE)))),A4&lt;&gt;""))</formula>
    </cfRule>
    <cfRule type="expression" dxfId="4" priority="1907" stopIfTrue="1">
      <formula>IF(LEN(DJ4)&gt;0,1,0)</formula>
    </cfRule>
    <cfRule type="expression" dxfId="3" priority="1908" stopIfTrue="1">
      <formula>IF(VLOOKUP($DJ$3,requiredAttributePTDMap,MATCH($A4,attributeMapFeedProductType,0)+1,FALSE)&gt;0,1,0)</formula>
    </cfRule>
    <cfRule type="expression" dxfId="2" priority="1909" stopIfTrue="1">
      <formula>IF(VLOOKUP($DJ$3,optionalAttributePTDMap,MATCH($A4,attributeMapFeedProductType,0)+1,FALSE)&gt;0,1,0)</formula>
    </cfRule>
    <cfRule type="expression" dxfId="1" priority="1910" stopIfTrue="1">
      <formula>IF(VLOOKUP($DJ$3,preferredAttributePTDMap,MATCH($A4,attributeMapFeedProductType,0)+1,FALSE)&gt;0,1,0)</formula>
    </cfRule>
    <cfRule type="expression" dxfId="0" priority="191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8 DK10:DK12 DK156:DK1048576">
    <cfRule type="expression" dxfId="0" priority="1912" stopIfTrue="1">
      <formula>AND(AND((0)),1=1)</formula>
    </cfRule>
    <cfRule type="expression" dxfId="0" priority="1913" stopIfTrue="1">
      <formula>AND(AND(OR(AND(AND(IF(COUNTIF(CONDITION_LIST_1,DB4)&gt;0,FALSE,TRUE)))),A4&lt;&gt;""))</formula>
    </cfRule>
    <cfRule type="expression" dxfId="4" priority="1914" stopIfTrue="1">
      <formula>IF(LEN(DK4)&gt;0,1,0)</formula>
    </cfRule>
    <cfRule type="expression" dxfId="3" priority="1915" stopIfTrue="1">
      <formula>IF(VLOOKUP($DK$3,requiredAttributePTDMap,MATCH($A4,attributeMapFeedProductType,0)+1,FALSE)&gt;0,1,0)</formula>
    </cfRule>
    <cfRule type="expression" dxfId="2" priority="1916" stopIfTrue="1">
      <formula>IF(VLOOKUP($DK$3,optionalAttributePTDMap,MATCH($A4,attributeMapFeedProductType,0)+1,FALSE)&gt;0,1,0)</formula>
    </cfRule>
    <cfRule type="expression" dxfId="1" priority="1917" stopIfTrue="1">
      <formula>IF(VLOOKUP($DK$3,preferredAttributePTDMap,MATCH($A4,attributeMapFeedProductType,0)+1,FALSE)&gt;0,1,0)</formula>
    </cfRule>
    <cfRule type="expression" dxfId="0" priority="1918"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8 DL10:DL12 DL156:DL1048576">
    <cfRule type="expression" dxfId="0" priority="1919" stopIfTrue="1">
      <formula>AND(AND((0)),1=1)</formula>
    </cfRule>
    <cfRule type="expression" dxfId="0" priority="1920" stopIfTrue="1">
      <formula>AND(AND(OR(AND(AND(IF(COUNTIF(CONDITION_LIST_1,DB4)&gt;0,FALSE,TRUE)))),A4&lt;&gt;""))</formula>
    </cfRule>
    <cfRule type="expression" dxfId="4" priority="1921" stopIfTrue="1">
      <formula>IF(LEN(DL4)&gt;0,1,0)</formula>
    </cfRule>
    <cfRule type="expression" dxfId="3" priority="1922" stopIfTrue="1">
      <formula>IF(VLOOKUP($DL$3,requiredAttributePTDMap,MATCH($A4,attributeMapFeedProductType,0)+1,FALSE)&gt;0,1,0)</formula>
    </cfRule>
    <cfRule type="expression" dxfId="2" priority="1923" stopIfTrue="1">
      <formula>IF(VLOOKUP($DL$3,optionalAttributePTDMap,MATCH($A4,attributeMapFeedProductType,0)+1,FALSE)&gt;0,1,0)</formula>
    </cfRule>
    <cfRule type="expression" dxfId="1" priority="1924" stopIfTrue="1">
      <formula>IF(VLOOKUP($DL$3,preferredAttributePTDMap,MATCH($A4,attributeMapFeedProductType,0)+1,FALSE)&gt;0,1,0)</formula>
    </cfRule>
    <cfRule type="expression" dxfId="0" priority="1925"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8 DM10:DM12 DM156:DM1048576">
    <cfRule type="expression" dxfId="0" priority="1926" stopIfTrue="1">
      <formula>AND(AND((0)),1=1)</formula>
    </cfRule>
    <cfRule type="expression" dxfId="0" priority="1927" stopIfTrue="1">
      <formula>AND(AND(OR(AND(AND(IF(COUNTIF(CONDITION_LIST_1,DB4)&gt;0,FALSE,TRUE)))),A4&lt;&gt;""))</formula>
    </cfRule>
    <cfRule type="expression" dxfId="4" priority="1928" stopIfTrue="1">
      <formula>IF(LEN(DM4)&gt;0,1,0)</formula>
    </cfRule>
    <cfRule type="expression" dxfId="3" priority="1929" stopIfTrue="1">
      <formula>IF(VLOOKUP($DM$3,requiredAttributePTDMap,MATCH($A4,attributeMapFeedProductType,0)+1,FALSE)&gt;0,1,0)</formula>
    </cfRule>
    <cfRule type="expression" dxfId="2" priority="1930" stopIfTrue="1">
      <formula>IF(VLOOKUP($DM$3,optionalAttributePTDMap,MATCH($A4,attributeMapFeedProductType,0)+1,FALSE)&gt;0,1,0)</formula>
    </cfRule>
    <cfRule type="expression" dxfId="1" priority="1931" stopIfTrue="1">
      <formula>IF(VLOOKUP($DM$3,preferredAttributePTDMap,MATCH($A4,attributeMapFeedProductType,0)+1,FALSE)&gt;0,1,0)</formula>
    </cfRule>
    <cfRule type="expression" dxfId="0" priority="1932"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8 DN10:DN12 DN156:DN1048576">
    <cfRule type="expression" dxfId="0" priority="1933" stopIfTrue="1">
      <formula>AND(AND((0)),1=1)</formula>
    </cfRule>
    <cfRule type="expression" dxfId="0" priority="1934" stopIfTrue="1">
      <formula>AND(AND(OR(AND(AND(IF(COUNTIF(CONDITION_LIST_1,DB4)&gt;0,FALSE,TRUE)))),A4&lt;&gt;""))</formula>
    </cfRule>
    <cfRule type="expression" dxfId="4" priority="1935" stopIfTrue="1">
      <formula>IF(LEN(DN4)&gt;0,1,0)</formula>
    </cfRule>
    <cfRule type="expression" dxfId="3" priority="1936" stopIfTrue="1">
      <formula>IF(VLOOKUP($DN$3,requiredAttributePTDMap,MATCH($A4,attributeMapFeedProductType,0)+1,FALSE)&gt;0,1,0)</formula>
    </cfRule>
    <cfRule type="expression" dxfId="2" priority="1937" stopIfTrue="1">
      <formula>IF(VLOOKUP($DN$3,optionalAttributePTDMap,MATCH($A4,attributeMapFeedProductType,0)+1,FALSE)&gt;0,1,0)</formula>
    </cfRule>
    <cfRule type="expression" dxfId="1" priority="1938" stopIfTrue="1">
      <formula>IF(VLOOKUP($DN$3,preferredAttributePTDMap,MATCH($A4,attributeMapFeedProductType,0)+1,FALSE)&gt;0,1,0)</formula>
    </cfRule>
    <cfRule type="expression" dxfId="0" priority="1939"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8 DO10:DO12 DO156:DO1048576">
    <cfRule type="expression" dxfId="0" priority="1940" stopIfTrue="1">
      <formula>AND(AND((0)),1=1)</formula>
    </cfRule>
    <cfRule type="expression" dxfId="0" priority="1941" stopIfTrue="1">
      <formula>AND(AND(OR(AND(AND(IF(COUNTIF(CONDITION_LIST_1,DB4)&gt;0,FALSE,TRUE)))),A4&lt;&gt;""))</formula>
    </cfRule>
    <cfRule type="expression" dxfId="4" priority="1942" stopIfTrue="1">
      <formula>IF(LEN(DO4)&gt;0,1,0)</formula>
    </cfRule>
    <cfRule type="expression" dxfId="3" priority="1943" stopIfTrue="1">
      <formula>IF(VLOOKUP($DO$3,requiredAttributePTDMap,MATCH($A4,attributeMapFeedProductType,0)+1,FALSE)&gt;0,1,0)</formula>
    </cfRule>
    <cfRule type="expression" dxfId="2" priority="1944" stopIfTrue="1">
      <formula>IF(VLOOKUP($DO$3,optionalAttributePTDMap,MATCH($A4,attributeMapFeedProductType,0)+1,FALSE)&gt;0,1,0)</formula>
    </cfRule>
    <cfRule type="expression" dxfId="1" priority="1945" stopIfTrue="1">
      <formula>IF(VLOOKUP($DO$3,preferredAttributePTDMap,MATCH($A4,attributeMapFeedProductType,0)+1,FALSE)&gt;0,1,0)</formula>
    </cfRule>
    <cfRule type="expression" dxfId="0" priority="194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8 DP10:DP12 DP156:DP1048576">
    <cfRule type="expression" dxfId="0" priority="1947" stopIfTrue="1">
      <formula>AND(AND((0)),1=1)</formula>
    </cfRule>
    <cfRule type="expression" dxfId="0" priority="1948" stopIfTrue="1">
      <formula>AND(AND(OR(AND(AND(IF(COUNTIF(CONDITION_LIST_1,DB4)&gt;0,FALSE,TRUE)))),A4&lt;&gt;""))</formula>
    </cfRule>
    <cfRule type="expression" dxfId="4" priority="1949" stopIfTrue="1">
      <formula>IF(LEN(DP4)&gt;0,1,0)</formula>
    </cfRule>
    <cfRule type="expression" dxfId="3" priority="1950" stopIfTrue="1">
      <formula>IF(VLOOKUP($DP$3,requiredAttributePTDMap,MATCH($A4,attributeMapFeedProductType,0)+1,FALSE)&gt;0,1,0)</formula>
    </cfRule>
    <cfRule type="expression" dxfId="2" priority="1951" stopIfTrue="1">
      <formula>IF(VLOOKUP($DP$3,optionalAttributePTDMap,MATCH($A4,attributeMapFeedProductType,0)+1,FALSE)&gt;0,1,0)</formula>
    </cfRule>
    <cfRule type="expression" dxfId="1" priority="1952" stopIfTrue="1">
      <formula>IF(VLOOKUP($DP$3,preferredAttributePTDMap,MATCH($A4,attributeMapFeedProductType,0)+1,FALSE)&gt;0,1,0)</formula>
    </cfRule>
    <cfRule type="expression" dxfId="0" priority="195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8 DQ10:DQ12 DQ156:DQ1048576">
    <cfRule type="expression" dxfId="0" priority="1954" stopIfTrue="1">
      <formula>AND(AND((0)),1=1)</formula>
    </cfRule>
    <cfRule type="expression" dxfId="0" priority="1955" stopIfTrue="1">
      <formula>AND(AND(OR(AND(AND(IF(COUNTIF(CONDITION_LIST_1,DB4)&gt;0,FALSE,TRUE)))),A4&lt;&gt;""))</formula>
    </cfRule>
    <cfRule type="expression" dxfId="4" priority="1956" stopIfTrue="1">
      <formula>IF(LEN(DQ4)&gt;0,1,0)</formula>
    </cfRule>
    <cfRule type="expression" dxfId="3" priority="1957" stopIfTrue="1">
      <formula>IF(VLOOKUP($DQ$3,requiredAttributePTDMap,MATCH($A4,attributeMapFeedProductType,0)+1,FALSE)&gt;0,1,0)</formula>
    </cfRule>
    <cfRule type="expression" dxfId="2" priority="1958" stopIfTrue="1">
      <formula>IF(VLOOKUP($DQ$3,optionalAttributePTDMap,MATCH($A4,attributeMapFeedProductType,0)+1,FALSE)&gt;0,1,0)</formula>
    </cfRule>
    <cfRule type="expression" dxfId="1" priority="1959" stopIfTrue="1">
      <formula>IF(VLOOKUP($DQ$3,preferredAttributePTDMap,MATCH($A4,attributeMapFeedProductType,0)+1,FALSE)&gt;0,1,0)</formula>
    </cfRule>
    <cfRule type="expression" dxfId="0" priority="196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8 DR10:DR12 DR156:DR1048576">
    <cfRule type="expression" dxfId="0" priority="1961" stopIfTrue="1">
      <formula>AND(AND((0)),1=1)</formula>
    </cfRule>
    <cfRule type="expression" dxfId="0" priority="1962" stopIfTrue="1">
      <formula>AND(AND(OR(AND(OR(OR(NOT(CP4&lt;&gt;"DEFAULT"),CP4="")))),A4&lt;&gt;""))</formula>
    </cfRule>
    <cfRule type="expression" dxfId="4" priority="1963" stopIfTrue="1">
      <formula>IF(LEN(DR4)&gt;0,1,0)</formula>
    </cfRule>
    <cfRule type="expression" dxfId="3" priority="1964" stopIfTrue="1">
      <formula>IF(VLOOKUP($DR$3,requiredAttributePTDMap,MATCH($A4,attributeMapFeedProductType,0)+1,FALSE)&gt;0,1,0)</formula>
    </cfRule>
    <cfRule type="expression" dxfId="2" priority="1965" stopIfTrue="1">
      <formula>IF(VLOOKUP($DR$3,optionalAttributePTDMap,MATCH($A4,attributeMapFeedProductType,0)+1,FALSE)&gt;0,1,0)</formula>
    </cfRule>
    <cfRule type="expression" dxfId="1" priority="1966" stopIfTrue="1">
      <formula>IF(VLOOKUP($DR$3,preferredAttributePTDMap,MATCH($A4,attributeMapFeedProductType,0)+1,FALSE)&gt;0,1,0)</formula>
    </cfRule>
    <cfRule type="expression" dxfId="0" priority="1967"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8 DS10:DS12 DS156:DS1048576">
    <cfRule type="expression" dxfId="0" priority="1968" stopIfTrue="1">
      <formula>AND(AND((0)),1=1)</formula>
    </cfRule>
    <cfRule type="expression" dxfId="0" priority="1969" stopIfTrue="1">
      <formula>AND(AND(OR(AND(OR(OR(NOT(CP4&lt;&gt;"DEFAULT"),CP4="")))),A4&lt;&gt;""))</formula>
    </cfRule>
    <cfRule type="expression" dxfId="4" priority="1970" stopIfTrue="1">
      <formula>IF(LEN(DS4)&gt;0,1,0)</formula>
    </cfRule>
    <cfRule type="expression" dxfId="3" priority="1971" stopIfTrue="1">
      <formula>IF(VLOOKUP($DS$3,requiredAttributePTDMap,MATCH($A4,attributeMapFeedProductType,0)+1,FALSE)&gt;0,1,0)</formula>
    </cfRule>
    <cfRule type="expression" dxfId="2" priority="1972" stopIfTrue="1">
      <formula>IF(VLOOKUP($DS$3,optionalAttributePTDMap,MATCH($A4,attributeMapFeedProductType,0)+1,FALSE)&gt;0,1,0)</formula>
    </cfRule>
    <cfRule type="expression" dxfId="1" priority="1973" stopIfTrue="1">
      <formula>IF(VLOOKUP($DS$3,preferredAttributePTDMap,MATCH($A4,attributeMapFeedProductType,0)+1,FALSE)&gt;0,1,0)</formula>
    </cfRule>
    <cfRule type="expression" dxfId="0" priority="1974"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8 DT10:DT12 DT156:DT1048576">
    <cfRule type="expression" dxfId="0" priority="1975" stopIfTrue="1">
      <formula>AND(AND((0)),1=1)</formula>
    </cfRule>
    <cfRule type="expression" dxfId="0" priority="1976" stopIfTrue="1">
      <formula>AND(AND(OR(AND(OR(OR(NOT(CP4&lt;&gt;"DEFAULT"),CP4="")))),A4&lt;&gt;""))</formula>
    </cfRule>
    <cfRule type="expression" dxfId="4" priority="1977" stopIfTrue="1">
      <formula>IF(LEN(DT4)&gt;0,1,0)</formula>
    </cfRule>
    <cfRule type="expression" dxfId="3" priority="1978" stopIfTrue="1">
      <formula>IF(VLOOKUP($DT$3,requiredAttributePTDMap,MATCH($A4,attributeMapFeedProductType,0)+1,FALSE)&gt;0,1,0)</formula>
    </cfRule>
    <cfRule type="expression" dxfId="2" priority="1979" stopIfTrue="1">
      <formula>IF(VLOOKUP($DT$3,optionalAttributePTDMap,MATCH($A4,attributeMapFeedProductType,0)+1,FALSE)&gt;0,1,0)</formula>
    </cfRule>
    <cfRule type="expression" dxfId="1" priority="1980" stopIfTrue="1">
      <formula>IF(VLOOKUP($DT$3,preferredAttributePTDMap,MATCH($A4,attributeMapFeedProductType,0)+1,FALSE)&gt;0,1,0)</formula>
    </cfRule>
    <cfRule type="expression" dxfId="0" priority="1981"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8 DU10:DU12 DU156:DU1048576">
    <cfRule type="expression" dxfId="0" priority="1982" stopIfTrue="1">
      <formula>AND(AND((0)),1=1)</formula>
    </cfRule>
    <cfRule type="expression" dxfId="0" priority="1983" stopIfTrue="1">
      <formula>AND(AND(OR(AND(OR(OR(NOT(CP4&lt;&gt;"DEFAULT"),CP4="")))),A4&lt;&gt;""))</formula>
    </cfRule>
    <cfRule type="expression" dxfId="4" priority="1984" stopIfTrue="1">
      <formula>IF(LEN(DU4)&gt;0,1,0)</formula>
    </cfRule>
    <cfRule type="expression" dxfId="3" priority="1985" stopIfTrue="1">
      <formula>IF(VLOOKUP($DU$3,requiredAttributePTDMap,MATCH($A4,attributeMapFeedProductType,0)+1,FALSE)&gt;0,1,0)</formula>
    </cfRule>
    <cfRule type="expression" dxfId="2" priority="1986" stopIfTrue="1">
      <formula>IF(VLOOKUP($DU$3,optionalAttributePTDMap,MATCH($A4,attributeMapFeedProductType,0)+1,FALSE)&gt;0,1,0)</formula>
    </cfRule>
    <cfRule type="expression" dxfId="1" priority="1987" stopIfTrue="1">
      <formula>IF(VLOOKUP($DU$3,preferredAttributePTDMap,MATCH($A4,attributeMapFeedProductType,0)+1,FALSE)&gt;0,1,0)</formula>
    </cfRule>
    <cfRule type="expression" dxfId="0" priority="1988"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8 DV10:DV12 DV156:DV1048576">
    <cfRule type="expression" dxfId="0" priority="1989" stopIfTrue="1">
      <formula>AND(AND((0)),1=1)</formula>
    </cfRule>
    <cfRule type="expression" dxfId="0" priority="1990" stopIfTrue="1">
      <formula>AND(AND(OR(AND(OR(OR(NOT(CP4&lt;&gt;"DEFAULT"),CP4="")))),A4&lt;&gt;""))</formula>
    </cfRule>
    <cfRule type="expression" dxfId="4" priority="1991" stopIfTrue="1">
      <formula>IF(LEN(DV4)&gt;0,1,0)</formula>
    </cfRule>
    <cfRule type="expression" dxfId="3" priority="1992" stopIfTrue="1">
      <formula>IF(VLOOKUP($DV$3,requiredAttributePTDMap,MATCH($A4,attributeMapFeedProductType,0)+1,FALSE)&gt;0,1,0)</formula>
    </cfRule>
    <cfRule type="expression" dxfId="2" priority="1993" stopIfTrue="1">
      <formula>IF(VLOOKUP($DV$3,optionalAttributePTDMap,MATCH($A4,attributeMapFeedProductType,0)+1,FALSE)&gt;0,1,0)</formula>
    </cfRule>
    <cfRule type="expression" dxfId="1" priority="1994" stopIfTrue="1">
      <formula>IF(VLOOKUP($DV$3,preferredAttributePTDMap,MATCH($A4,attributeMapFeedProductType,0)+1,FALSE)&gt;0,1,0)</formula>
    </cfRule>
    <cfRule type="expression" dxfId="0" priority="1995"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8 DW10:DW12 DW156:DW1048576">
    <cfRule type="expression" dxfId="0" priority="1996" stopIfTrue="1">
      <formula>AND(AND((0)),1=1)</formula>
    </cfRule>
    <cfRule type="expression" dxfId="0" priority="1997" stopIfTrue="1">
      <formula>AND(AND(OR(AND(AND(IF(COUNTIF(CONDITION_LIST_2,DR4)&gt;0,FALSE,TRUE)),AND(IF(COUNTIF(CONDITION_LIST_2,DS4)&gt;0,FALSE,TRUE)),AND(IF(COUNTIF(CONDITION_LIST_2,DT4)&gt;0,FALSE,TRUE)),AND(IF(COUNTIF(CONDITION_LIST_2,DU4)&gt;0,FALSE,TRUE)),AND(IF(COUNTIF(CONDITION_LIST_2,DV4)&gt;0,FALSE,TRUE)))),A4&lt;&gt;""))</formula>
    </cfRule>
    <cfRule type="expression" dxfId="4" priority="1998" stopIfTrue="1">
      <formula>IF(LEN(DW4)&gt;0,1,0)</formula>
    </cfRule>
    <cfRule type="expression" dxfId="3" priority="1999" stopIfTrue="1">
      <formula>IF(VLOOKUP($DW$3,requiredAttributePTDMap,MATCH($A4,attributeMapFeedProductType,0)+1,FALSE)&gt;0,1,0)</formula>
    </cfRule>
    <cfRule type="expression" dxfId="2" priority="2000" stopIfTrue="1">
      <formula>IF(VLOOKUP($DW$3,optionalAttributePTDMap,MATCH($A4,attributeMapFeedProductType,0)+1,FALSE)&gt;0,1,0)</formula>
    </cfRule>
    <cfRule type="expression" dxfId="1" priority="2001" stopIfTrue="1">
      <formula>IF(VLOOKUP($DW$3,preferredAttributePTDMap,MATCH($A4,attributeMapFeedProductType,0)+1,FALSE)&gt;0,1,0)</formula>
    </cfRule>
    <cfRule type="expression" dxfId="0" priority="2002"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8 DX10:DX12 DX156:DX1048576">
    <cfRule type="expression" dxfId="0" priority="2003" stopIfTrue="1">
      <formula>AND(AND((0)),1=1)</formula>
    </cfRule>
    <cfRule type="expression" dxfId="0" priority="2004" stopIfTrue="1">
      <formula>AND(AND(OR(AND(OR(OR(NOT(DR4&lt;&gt;"GHS"),DR4="")),OR(OR(NOT(DS4&lt;&gt;"GHS"),DS4="")),OR(OR(NOT(DT4&lt;&gt;"GHS"),DT4="")),OR(OR(NOT(DU4&lt;&gt;"GHS"),DU4="")),OR(OR(NOT(DV4&lt;&gt;"GHS"),DV4="")))),A4&lt;&gt;""))</formula>
    </cfRule>
    <cfRule type="expression" dxfId="4" priority="2005" stopIfTrue="1">
      <formula>IF(LEN(DX4)&gt;0,1,0)</formula>
    </cfRule>
    <cfRule type="expression" dxfId="3" priority="2006" stopIfTrue="1">
      <formula>IF(VLOOKUP($DX$3,requiredAttributePTDMap,MATCH($A4,attributeMapFeedProductType,0)+1,FALSE)&gt;0,1,0)</formula>
    </cfRule>
    <cfRule type="expression" dxfId="2" priority="2007" stopIfTrue="1">
      <formula>IF(VLOOKUP($DX$3,optionalAttributePTDMap,MATCH($A4,attributeMapFeedProductType,0)+1,FALSE)&gt;0,1,0)</formula>
    </cfRule>
    <cfRule type="expression" dxfId="1" priority="2008" stopIfTrue="1">
      <formula>IF(VLOOKUP($DX$3,preferredAttributePTDMap,MATCH($A4,attributeMapFeedProductType,0)+1,FALSE)&gt;0,1,0)</formula>
    </cfRule>
    <cfRule type="expression" dxfId="0" priority="2009"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8 DY10:DY12 DY156:DY1048576">
    <cfRule type="expression" dxfId="0" priority="2010" stopIfTrue="1">
      <formula>AND(AND((0)),1=1)</formula>
    </cfRule>
    <cfRule type="expression" dxfId="0" priority="2011" stopIfTrue="1">
      <formula>AND(AND(OR(AND(OR(OR(NOT(DR4&lt;&gt;"not_applicable"),DR4="")),OR(OR(NOT(DS4&lt;&gt;"not_applicable"),DS4="")),OR(OR(NOT(DT4&lt;&gt;"not_applicable"),DT4="")),OR(OR(NOT(DU4&lt;&gt;"not_applicable"),DU4="")),OR(OR(NOT(DV4&lt;&gt;"not_applicable"),DV4="")))),A4&lt;&gt;""))</formula>
    </cfRule>
    <cfRule type="expression" dxfId="4" priority="2012" stopIfTrue="1">
      <formula>IF(LEN(DY4)&gt;0,1,0)</formula>
    </cfRule>
    <cfRule type="expression" dxfId="3" priority="2013" stopIfTrue="1">
      <formula>IF(VLOOKUP($DY$3,requiredAttributePTDMap,MATCH($A4,attributeMapFeedProductType,0)+1,FALSE)&gt;0,1,0)</formula>
    </cfRule>
    <cfRule type="expression" dxfId="2" priority="2014" stopIfTrue="1">
      <formula>IF(VLOOKUP($DY$3,optionalAttributePTDMap,MATCH($A4,attributeMapFeedProductType,0)+1,FALSE)&gt;0,1,0)</formula>
    </cfRule>
    <cfRule type="expression" dxfId="1" priority="2015" stopIfTrue="1">
      <formula>IF(VLOOKUP($DY$3,preferredAttributePTDMap,MATCH($A4,attributeMapFeedProductType,0)+1,FALSE)&gt;0,1,0)</formula>
    </cfRule>
    <cfRule type="expression" dxfId="0" priority="2016"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8 DZ10:DZ12 DZ156:DZ1048576">
    <cfRule type="expression" dxfId="0" priority="2017" stopIfTrue="1">
      <formula>AND(AND((0)),1=1)</formula>
    </cfRule>
    <cfRule type="expression" dxfId="0" priority="2018" stopIfTrue="1">
      <formula>AND(AND(OR(AND(OR(OR(NOT(DR4&lt;&gt;"not_applicable"),DR4="")),OR(OR(NOT(DS4&lt;&gt;"not_applicable"),DS4="")),OR(OR(NOT(DT4&lt;&gt;"not_applicable"),DT4="")),OR(OR(NOT(DU4&lt;&gt;"not_applicable"),DU4="")),OR(OR(NOT(DV4&lt;&gt;"not_applicable"),DV4="")))),A4&lt;&gt;""))</formula>
    </cfRule>
    <cfRule type="expression" dxfId="4" priority="2019" stopIfTrue="1">
      <formula>IF(LEN(DZ4)&gt;0,1,0)</formula>
    </cfRule>
    <cfRule type="expression" dxfId="3" priority="2020" stopIfTrue="1">
      <formula>IF(VLOOKUP($DZ$3,requiredAttributePTDMap,MATCH($A4,attributeMapFeedProductType,0)+1,FALSE)&gt;0,1,0)</formula>
    </cfRule>
    <cfRule type="expression" dxfId="2" priority="2021" stopIfTrue="1">
      <formula>IF(VLOOKUP($DZ$3,optionalAttributePTDMap,MATCH($A4,attributeMapFeedProductType,0)+1,FALSE)&gt;0,1,0)</formula>
    </cfRule>
    <cfRule type="expression" dxfId="1" priority="2022" stopIfTrue="1">
      <formula>IF(VLOOKUP($DZ$3,preferredAttributePTDMap,MATCH($A4,attributeMapFeedProductType,0)+1,FALSE)&gt;0,1,0)</formula>
    </cfRule>
    <cfRule type="expression" dxfId="0" priority="2023"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8 EA10:EA12 EA156:EA1048576">
    <cfRule type="expression" dxfId="0" priority="2024" stopIfTrue="1">
      <formula>AND(AND((0)),1=1)</formula>
    </cfRule>
    <cfRule type="expression" dxfId="0" priority="2025" stopIfTrue="1">
      <formula>AND(AND(OR(AND(OR(OR(NOT(DR4&lt;&gt;"not_applicable"),DR4="")),OR(OR(NOT(DS4&lt;&gt;"not_applicable"),DS4="")),OR(OR(NOT(DT4&lt;&gt;"not_applicable"),DT4="")),OR(OR(NOT(DU4&lt;&gt;"not_applicable"),DU4="")),OR(OR(NOT(DV4&lt;&gt;"not_applicable"),DV4="")))),A4&lt;&gt;""))</formula>
    </cfRule>
    <cfRule type="expression" dxfId="4" priority="2026" stopIfTrue="1">
      <formula>IF(LEN(EA4)&gt;0,1,0)</formula>
    </cfRule>
    <cfRule type="expression" dxfId="3" priority="2027" stopIfTrue="1">
      <formula>IF(VLOOKUP($EA$3,requiredAttributePTDMap,MATCH($A4,attributeMapFeedProductType,0)+1,FALSE)&gt;0,1,0)</formula>
    </cfRule>
    <cfRule type="expression" dxfId="2" priority="2028" stopIfTrue="1">
      <formula>IF(VLOOKUP($EA$3,optionalAttributePTDMap,MATCH($A4,attributeMapFeedProductType,0)+1,FALSE)&gt;0,1,0)</formula>
    </cfRule>
    <cfRule type="expression" dxfId="1" priority="2029" stopIfTrue="1">
      <formula>IF(VLOOKUP($EA$3,preferredAttributePTDMap,MATCH($A4,attributeMapFeedProductType,0)+1,FALSE)&gt;0,1,0)</formula>
    </cfRule>
    <cfRule type="expression" dxfId="0" priority="2030"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8 EB10:EB12 EB156:EB1048576">
    <cfRule type="expression" dxfId="0" priority="2031" stopIfTrue="1">
      <formula>AND(AND((0)),1=1)</formula>
    </cfRule>
    <cfRule type="expression" dxfId="0" priority="2032" stopIfTrue="1">
      <formula>AND(AND(OR(AND(OR(OR(NOT(DR4&lt;&gt;"not_applicable"),DR4="")),OR(OR(NOT(DS4&lt;&gt;"not_applicable"),DS4="")),OR(OR(NOT(DT4&lt;&gt;"not_applicable"),DT4="")),OR(OR(NOT(DU4&lt;&gt;"not_applicable"),DU4="")),OR(OR(NOT(DV4&lt;&gt;"not_applicable"),DV4="")))),A4&lt;&gt;""))</formula>
    </cfRule>
    <cfRule type="expression" dxfId="4" priority="2033" stopIfTrue="1">
      <formula>IF(LEN(EB4)&gt;0,1,0)</formula>
    </cfRule>
    <cfRule type="expression" dxfId="3" priority="2034" stopIfTrue="1">
      <formula>IF(VLOOKUP($EB$3,requiredAttributePTDMap,MATCH($A4,attributeMapFeedProductType,0)+1,FALSE)&gt;0,1,0)</formula>
    </cfRule>
    <cfRule type="expression" dxfId="2" priority="2035" stopIfTrue="1">
      <formula>IF(VLOOKUP($EB$3,optionalAttributePTDMap,MATCH($A4,attributeMapFeedProductType,0)+1,FALSE)&gt;0,1,0)</formula>
    </cfRule>
    <cfRule type="expression" dxfId="1" priority="2036" stopIfTrue="1">
      <formula>IF(VLOOKUP($EB$3,preferredAttributePTDMap,MATCH($A4,attributeMapFeedProductType,0)+1,FALSE)&gt;0,1,0)</formula>
    </cfRule>
    <cfRule type="expression" dxfId="0" priority="2037"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8 EC10:EC12 EC156:EC1048576">
    <cfRule type="expression" dxfId="4" priority="2038" stopIfTrue="1">
      <formula>IF(LEN(EC4)&gt;0,1,0)</formula>
    </cfRule>
    <cfRule type="expression" dxfId="3" priority="2039" stopIfTrue="1">
      <formula>IF(VLOOKUP($EC$3,requiredAttributePTDMap,MATCH($A4,attributeMapFeedProductType,0)+1,FALSE)&gt;0,1,0)</formula>
    </cfRule>
    <cfRule type="expression" dxfId="2" priority="2040" stopIfTrue="1">
      <formula>IF(VLOOKUP($EC$3,optionalAttributePTDMap,MATCH($A4,attributeMapFeedProductType,0)+1,FALSE)&gt;0,1,0)</formula>
    </cfRule>
    <cfRule type="expression" dxfId="1" priority="2041" stopIfTrue="1">
      <formula>IF(VLOOKUP($EC$3,preferredAttributePTDMap,MATCH($A4,attributeMapFeedProductType,0)+1,FALSE)&gt;0,1,0)</formula>
    </cfRule>
    <cfRule type="expression" dxfId="0" priority="2042"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56:ED1048576">
    <cfRule type="expression" dxfId="4" priority="2043" stopIfTrue="1">
      <formula>IF(LEN(ED4)&gt;0,1,0)</formula>
    </cfRule>
    <cfRule type="expression" dxfId="3" priority="2044" stopIfTrue="1">
      <formula>IF(VLOOKUP($ED$3,requiredAttributePTDMap,MATCH($A4,attributeMapFeedProductType,0)+1,FALSE)&gt;0,1,0)</formula>
    </cfRule>
    <cfRule type="expression" dxfId="2" priority="2045" stopIfTrue="1">
      <formula>IF(VLOOKUP($ED$3,optionalAttributePTDMap,MATCH($A4,attributeMapFeedProductType,0)+1,FALSE)&gt;0,1,0)</formula>
    </cfRule>
    <cfRule type="expression" dxfId="1" priority="2046" stopIfTrue="1">
      <formula>IF(VLOOKUP($ED$3,preferredAttributePTDMap,MATCH($A4,attributeMapFeedProductType,0)+1,FALSE)&gt;0,1,0)</formula>
    </cfRule>
    <cfRule type="expression" dxfId="0" priority="204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8 EE10:EE95 EE156:EE1048576">
    <cfRule type="expression" dxfId="4" priority="2048" stopIfTrue="1">
      <formula>IF(LEN(EE4)&gt;0,1,0)</formula>
    </cfRule>
    <cfRule type="expression" dxfId="3" priority="2049" stopIfTrue="1">
      <formula>IF(VLOOKUP($EE$3,requiredAttributePTDMap,MATCH($A4,attributeMapFeedProductType,0)+1,FALSE)&gt;0,1,0)</formula>
    </cfRule>
    <cfRule type="expression" dxfId="2" priority="2050" stopIfTrue="1">
      <formula>IF(VLOOKUP($EE$3,optionalAttributePTDMap,MATCH($A4,attributeMapFeedProductType,0)+1,FALSE)&gt;0,1,0)</formula>
    </cfRule>
    <cfRule type="expression" dxfId="1" priority="2051" stopIfTrue="1">
      <formula>IF(VLOOKUP($EE$3,preferredAttributePTDMap,MATCH($A4,attributeMapFeedProductType,0)+1,FALSE)&gt;0,1,0)</formula>
    </cfRule>
    <cfRule type="expression" dxfId="0" priority="2052"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8 EF10:EF95 EF156:EF1048576">
    <cfRule type="expression" dxfId="4" priority="2053" stopIfTrue="1">
      <formula>IF(LEN(EF4)&gt;0,1,0)</formula>
    </cfRule>
    <cfRule type="expression" dxfId="3" priority="2054" stopIfTrue="1">
      <formula>IF(VLOOKUP($EF$3,requiredAttributePTDMap,MATCH($A4,attributeMapFeedProductType,0)+1,FALSE)&gt;0,1,0)</formula>
    </cfRule>
    <cfRule type="expression" dxfId="2" priority="2055" stopIfTrue="1">
      <formula>IF(VLOOKUP($EF$3,optionalAttributePTDMap,MATCH($A4,attributeMapFeedProductType,0)+1,FALSE)&gt;0,1,0)</formula>
    </cfRule>
    <cfRule type="expression" dxfId="1" priority="2056" stopIfTrue="1">
      <formula>IF(VLOOKUP($EF$3,preferredAttributePTDMap,MATCH($A4,attributeMapFeedProductType,0)+1,FALSE)&gt;0,1,0)</formula>
    </cfRule>
    <cfRule type="expression" dxfId="0" priority="2057"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8 EG10:EG95 EG156:EG1048576">
    <cfRule type="expression" dxfId="4" priority="2058" stopIfTrue="1">
      <formula>IF(LEN(EG4)&gt;0,1,0)</formula>
    </cfRule>
    <cfRule type="expression" dxfId="3" priority="2059" stopIfTrue="1">
      <formula>IF(VLOOKUP($EG$3,requiredAttributePTDMap,MATCH($A4,attributeMapFeedProductType,0)+1,FALSE)&gt;0,1,0)</formula>
    </cfRule>
    <cfRule type="expression" dxfId="2" priority="2060" stopIfTrue="1">
      <formula>IF(VLOOKUP($EG$3,optionalAttributePTDMap,MATCH($A4,attributeMapFeedProductType,0)+1,FALSE)&gt;0,1,0)</formula>
    </cfRule>
    <cfRule type="expression" dxfId="1" priority="2061" stopIfTrue="1">
      <formula>IF(VLOOKUP($EG$3,preferredAttributePTDMap,MATCH($A4,attributeMapFeedProductType,0)+1,FALSE)&gt;0,1,0)</formula>
    </cfRule>
    <cfRule type="expression" dxfId="0" priority="2062"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8 EH10:EH95 EH156:EH1048576">
    <cfRule type="expression" dxfId="4" priority="2063" stopIfTrue="1">
      <formula>IF(LEN(EH4)&gt;0,1,0)</formula>
    </cfRule>
    <cfRule type="expression" dxfId="3" priority="2064" stopIfTrue="1">
      <formula>IF(VLOOKUP($EH$3,requiredAttributePTDMap,MATCH($A4,attributeMapFeedProductType,0)+1,FALSE)&gt;0,1,0)</formula>
    </cfRule>
    <cfRule type="expression" dxfId="2" priority="2065" stopIfTrue="1">
      <formula>IF(VLOOKUP($EH$3,optionalAttributePTDMap,MATCH($A4,attributeMapFeedProductType,0)+1,FALSE)&gt;0,1,0)</formula>
    </cfRule>
    <cfRule type="expression" dxfId="1" priority="2066" stopIfTrue="1">
      <formula>IF(VLOOKUP($EH$3,preferredAttributePTDMap,MATCH($A4,attributeMapFeedProductType,0)+1,FALSE)&gt;0,1,0)</formula>
    </cfRule>
    <cfRule type="expression" dxfId="0" priority="2067"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8 EI10:EI12 EI156:EI1048576">
    <cfRule type="expression" dxfId="4" priority="2068" stopIfTrue="1">
      <formula>IF(LEN(EI4)&gt;0,1,0)</formula>
    </cfRule>
    <cfRule type="expression" dxfId="3" priority="2069" stopIfTrue="1">
      <formula>IF(VLOOKUP($EI$3,requiredAttributePTDMap,MATCH($A4,attributeMapFeedProductType,0)+1,FALSE)&gt;0,1,0)</formula>
    </cfRule>
    <cfRule type="expression" dxfId="2" priority="2070" stopIfTrue="1">
      <formula>IF(VLOOKUP($EI$3,optionalAttributePTDMap,MATCH($A4,attributeMapFeedProductType,0)+1,FALSE)&gt;0,1,0)</formula>
    </cfRule>
    <cfRule type="expression" dxfId="1" priority="2071" stopIfTrue="1">
      <formula>IF(VLOOKUP($EI$3,preferredAttributePTDMap,MATCH($A4,attributeMapFeedProductType,0)+1,FALSE)&gt;0,1,0)</formula>
    </cfRule>
    <cfRule type="expression" dxfId="0" priority="207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8 EJ10:EJ12 EJ156:EJ1048576">
    <cfRule type="expression" dxfId="4" priority="2073" stopIfTrue="1">
      <formula>IF(LEN(EJ4)&gt;0,1,0)</formula>
    </cfRule>
    <cfRule type="expression" dxfId="3" priority="2074" stopIfTrue="1">
      <formula>IF(VLOOKUP($EJ$3,requiredAttributePTDMap,MATCH($A4,attributeMapFeedProductType,0)+1,FALSE)&gt;0,1,0)</formula>
    </cfRule>
    <cfRule type="expression" dxfId="2" priority="2075" stopIfTrue="1">
      <formula>IF(VLOOKUP($EJ$3,optionalAttributePTDMap,MATCH($A4,attributeMapFeedProductType,0)+1,FALSE)&gt;0,1,0)</formula>
    </cfRule>
    <cfRule type="expression" dxfId="1" priority="2076" stopIfTrue="1">
      <formula>IF(VLOOKUP($EJ$3,preferredAttributePTDMap,MATCH($A4,attributeMapFeedProductType,0)+1,FALSE)&gt;0,1,0)</formula>
    </cfRule>
    <cfRule type="expression" dxfId="0" priority="2077"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8 EK10:EK12 EK156:EK1048576">
    <cfRule type="expression" dxfId="0" priority="2078" stopIfTrue="1">
      <formula>AND(AND((0)),1=1)</formula>
    </cfRule>
    <cfRule type="expression" dxfId="0" priority="2079" stopIfTrue="1">
      <formula>AND(AND(OR(AND(AND(IF(COUNTIF(CONDITION_LIST_3,DR4)&gt;0,FALSE,TRUE)),AND(IF(COUNTIF(CONDITION_LIST_3,DS4)&gt;0,FALSE,TRUE)),AND(IF(COUNTIF(CONDITION_LIST_3,DT4)&gt;0,FALSE,TRUE)),AND(IF(COUNTIF(CONDITION_LIST_3,DU4)&gt;0,FALSE,TRUE)),AND(IF(COUNTIF(CONDITION_LIST_3,DV4)&gt;0,FALSE,TRUE)))),A4&lt;&gt;""))</formula>
    </cfRule>
    <cfRule type="expression" dxfId="4" priority="2080" stopIfTrue="1">
      <formula>IF(LEN(EK4)&gt;0,1,0)</formula>
    </cfRule>
    <cfRule type="expression" dxfId="3" priority="2081" stopIfTrue="1">
      <formula>IF(VLOOKUP($EK$3,requiredAttributePTDMap,MATCH($A4,attributeMapFeedProductType,0)+1,FALSE)&gt;0,1,0)</formula>
    </cfRule>
    <cfRule type="expression" dxfId="2" priority="2082" stopIfTrue="1">
      <formula>IF(VLOOKUP($EK$3,optionalAttributePTDMap,MATCH($A4,attributeMapFeedProductType,0)+1,FALSE)&gt;0,1,0)</formula>
    </cfRule>
    <cfRule type="expression" dxfId="1" priority="2083" stopIfTrue="1">
      <formula>IF(VLOOKUP($EK$3,preferredAttributePTDMap,MATCH($A4,attributeMapFeedProductType,0)+1,FALSE)&gt;0,1,0)</formula>
    </cfRule>
    <cfRule type="expression" dxfId="0" priority="2084"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8 EL10:EL12 EL156:EL1048576">
    <cfRule type="expression" dxfId="0" priority="2085" stopIfTrue="1">
      <formula>AND(AND((0)),1=1)</formula>
    </cfRule>
    <cfRule type="expression" dxfId="0" priority="2086" stopIfTrue="1">
      <formula>AND(AND(OR(AND(AND(IF(COUNTIF(CONDITION_LIST_3,DR4)&gt;0,FALSE,TRUE)),AND(IF(COUNTIF(CONDITION_LIST_3,DS4)&gt;0,FALSE,TRUE)),AND(IF(COUNTIF(CONDITION_LIST_3,DT4)&gt;0,FALSE,TRUE)),AND(IF(COUNTIF(CONDITION_LIST_3,DU4)&gt;0,FALSE,TRUE)),AND(IF(COUNTIF(CONDITION_LIST_3,DV4)&gt;0,FALSE,TRUE)))),A4&lt;&gt;""))</formula>
    </cfRule>
    <cfRule type="expression" dxfId="4" priority="2087" stopIfTrue="1">
      <formula>IF(LEN(EL4)&gt;0,1,0)</formula>
    </cfRule>
    <cfRule type="expression" dxfId="3" priority="2088" stopIfTrue="1">
      <formula>IF(VLOOKUP($EL$3,requiredAttributePTDMap,MATCH($A4,attributeMapFeedProductType,0)+1,FALSE)&gt;0,1,0)</formula>
    </cfRule>
    <cfRule type="expression" dxfId="2" priority="2089" stopIfTrue="1">
      <formula>IF(VLOOKUP($EL$3,optionalAttributePTDMap,MATCH($A4,attributeMapFeedProductType,0)+1,FALSE)&gt;0,1,0)</formula>
    </cfRule>
    <cfRule type="expression" dxfId="1" priority="2090" stopIfTrue="1">
      <formula>IF(VLOOKUP($EL$3,preferredAttributePTDMap,MATCH($A4,attributeMapFeedProductType,0)+1,FALSE)&gt;0,1,0)</formula>
    </cfRule>
    <cfRule type="expression" dxfId="0" priority="2091"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8 EM10:EM12 EM156:EM1048576">
    <cfRule type="expression" dxfId="0" priority="2092" stopIfTrue="1">
      <formula>AND(AND((0)),1=1)</formula>
    </cfRule>
    <cfRule type="expression" dxfId="0" priority="2093" stopIfTrue="1">
      <formula>AND(AND(OR(AND(AND(IF(COUNTIF(CONDITION_LIST_3,DR4)&gt;0,FALSE,TRUE)),AND(IF(COUNTIF(CONDITION_LIST_3,DS4)&gt;0,FALSE,TRUE)),AND(IF(COUNTIF(CONDITION_LIST_3,DT4)&gt;0,FALSE,TRUE)),AND(IF(COUNTIF(CONDITION_LIST_3,DU4)&gt;0,FALSE,TRUE)),AND(IF(COUNTIF(CONDITION_LIST_3,DV4)&gt;0,FALSE,TRUE)))),A4&lt;&gt;""))</formula>
    </cfRule>
    <cfRule type="expression" dxfId="4" priority="2094" stopIfTrue="1">
      <formula>IF(LEN(EM4)&gt;0,1,0)</formula>
    </cfRule>
    <cfRule type="expression" dxfId="3" priority="2095" stopIfTrue="1">
      <formula>IF(VLOOKUP($EM$3,requiredAttributePTDMap,MATCH($A4,attributeMapFeedProductType,0)+1,FALSE)&gt;0,1,0)</formula>
    </cfRule>
    <cfRule type="expression" dxfId="2" priority="2096" stopIfTrue="1">
      <formula>IF(VLOOKUP($EM$3,optionalAttributePTDMap,MATCH($A4,attributeMapFeedProductType,0)+1,FALSE)&gt;0,1,0)</formula>
    </cfRule>
    <cfRule type="expression" dxfId="1" priority="2097" stopIfTrue="1">
      <formula>IF(VLOOKUP($EM$3,preferredAttributePTDMap,MATCH($A4,attributeMapFeedProductType,0)+1,FALSE)&gt;0,1,0)</formula>
    </cfRule>
    <cfRule type="expression" dxfId="0" priority="2098"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8 EN10:EN12 EN156:EN1048576">
    <cfRule type="expression" dxfId="4" priority="2099" stopIfTrue="1">
      <formula>IF(LEN(EN4)&gt;0,1,0)</formula>
    </cfRule>
    <cfRule type="expression" dxfId="3" priority="2100" stopIfTrue="1">
      <formula>IF(VLOOKUP($EN$3,requiredAttributePTDMap,MATCH($A4,attributeMapFeedProductType,0)+1,FALSE)&gt;0,1,0)</formula>
    </cfRule>
    <cfRule type="expression" dxfId="2" priority="2101" stopIfTrue="1">
      <formula>IF(VLOOKUP($EN$3,optionalAttributePTDMap,MATCH($A4,attributeMapFeedProductType,0)+1,FALSE)&gt;0,1,0)</formula>
    </cfRule>
    <cfRule type="expression" dxfId="1" priority="2102" stopIfTrue="1">
      <formula>IF(VLOOKUP($EN$3,preferredAttributePTDMap,MATCH($A4,attributeMapFeedProductType,0)+1,FALSE)&gt;0,1,0)</formula>
    </cfRule>
    <cfRule type="expression" dxfId="0" priority="2103"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8 EO10:EO12 EO156:EO1048576">
    <cfRule type="expression" dxfId="4" priority="2104" stopIfTrue="1">
      <formula>IF(LEN(EO4)&gt;0,1,0)</formula>
    </cfRule>
    <cfRule type="expression" dxfId="3" priority="2105" stopIfTrue="1">
      <formula>IF(VLOOKUP($EO$3,requiredAttributePTDMap,MATCH($A4,attributeMapFeedProductType,0)+1,FALSE)&gt;0,1,0)</formula>
    </cfRule>
    <cfRule type="expression" dxfId="2" priority="2106" stopIfTrue="1">
      <formula>IF(VLOOKUP($EO$3,optionalAttributePTDMap,MATCH($A4,attributeMapFeedProductType,0)+1,FALSE)&gt;0,1,0)</formula>
    </cfRule>
    <cfRule type="expression" dxfId="1" priority="2107" stopIfTrue="1">
      <formula>IF(VLOOKUP($EO$3,preferredAttributePTDMap,MATCH($A4,attributeMapFeedProductType,0)+1,FALSE)&gt;0,1,0)</formula>
    </cfRule>
    <cfRule type="expression" dxfId="0" priority="2108"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95 EP156:EP1048576">
    <cfRule type="expression" dxfId="4" priority="2109" stopIfTrue="1">
      <formula>IF(LEN(EP4)&gt;0,1,0)</formula>
    </cfRule>
    <cfRule type="expression" dxfId="3" priority="2110" stopIfTrue="1">
      <formula>IF(VLOOKUP($EP$3,requiredAttributePTDMap,MATCH($A4,attributeMapFeedProductType,0)+1,FALSE)&gt;0,1,0)</formula>
    </cfRule>
    <cfRule type="expression" dxfId="2" priority="2111" stopIfTrue="1">
      <formula>IF(VLOOKUP($EP$3,optionalAttributePTDMap,MATCH($A4,attributeMapFeedProductType,0)+1,FALSE)&gt;0,1,0)</formula>
    </cfRule>
    <cfRule type="expression" dxfId="1" priority="2112" stopIfTrue="1">
      <formula>IF(VLOOKUP($EP$3,preferredAttributePTDMap,MATCH($A4,attributeMapFeedProductType,0)+1,FALSE)&gt;0,1,0)</formula>
    </cfRule>
    <cfRule type="expression" dxfId="0" priority="2113"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95 EQ156:EQ1048576">
    <cfRule type="expression" dxfId="4" priority="2114" stopIfTrue="1">
      <formula>IF(LEN(EQ4)&gt;0,1,0)</formula>
    </cfRule>
    <cfRule type="expression" dxfId="3" priority="2115" stopIfTrue="1">
      <formula>IF(VLOOKUP($EQ$3,requiredAttributePTDMap,MATCH($A4,attributeMapFeedProductType,0)+1,FALSE)&gt;0,1,0)</formula>
    </cfRule>
    <cfRule type="expression" dxfId="2" priority="2116" stopIfTrue="1">
      <formula>IF(VLOOKUP($EQ$3,optionalAttributePTDMap,MATCH($A4,attributeMapFeedProductType,0)+1,FALSE)&gt;0,1,0)</formula>
    </cfRule>
    <cfRule type="expression" dxfId="1" priority="2117" stopIfTrue="1">
      <formula>IF(VLOOKUP($EQ$3,preferredAttributePTDMap,MATCH($A4,attributeMapFeedProductType,0)+1,FALSE)&gt;0,1,0)</formula>
    </cfRule>
    <cfRule type="expression" dxfId="0" priority="211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95 ER156:ER1048576">
    <cfRule type="expression" dxfId="4" priority="2119" stopIfTrue="1">
      <formula>IF(LEN(ER4)&gt;0,1,0)</formula>
    </cfRule>
    <cfRule type="expression" dxfId="3" priority="2120" stopIfTrue="1">
      <formula>IF(VLOOKUP($ER$3,requiredAttributePTDMap,MATCH($A4,attributeMapFeedProductType,0)+1,FALSE)&gt;0,1,0)</formula>
    </cfRule>
    <cfRule type="expression" dxfId="2" priority="2121" stopIfTrue="1">
      <formula>IF(VLOOKUP($ER$3,optionalAttributePTDMap,MATCH($A4,attributeMapFeedProductType,0)+1,FALSE)&gt;0,1,0)</formula>
    </cfRule>
    <cfRule type="expression" dxfId="1" priority="2122" stopIfTrue="1">
      <formula>IF(VLOOKUP($ER$3,preferredAttributePTDMap,MATCH($A4,attributeMapFeedProductType,0)+1,FALSE)&gt;0,1,0)</formula>
    </cfRule>
    <cfRule type="expression" dxfId="0" priority="2123"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8 ES10:ES12 ES156:ES1048576">
    <cfRule type="expression" dxfId="4" priority="2124" stopIfTrue="1">
      <formula>IF(LEN(ES4)&gt;0,1,0)</formula>
    </cfRule>
    <cfRule type="expression" dxfId="3" priority="2125" stopIfTrue="1">
      <formula>IF(VLOOKUP($ES$3,requiredAttributePTDMap,MATCH($A4,attributeMapFeedProductType,0)+1,FALSE)&gt;0,1,0)</formula>
    </cfRule>
    <cfRule type="expression" dxfId="2" priority="2126" stopIfTrue="1">
      <formula>IF(VLOOKUP($ES$3,optionalAttributePTDMap,MATCH($A4,attributeMapFeedProductType,0)+1,FALSE)&gt;0,1,0)</formula>
    </cfRule>
    <cfRule type="expression" dxfId="1" priority="2127" stopIfTrue="1">
      <formula>IF(VLOOKUP($ES$3,preferredAttributePTDMap,MATCH($A4,attributeMapFeedProductType,0)+1,FALSE)&gt;0,1,0)</formula>
    </cfRule>
    <cfRule type="expression" dxfId="0" priority="2128"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8 ET10:ET12 ET156:ET1048576">
    <cfRule type="expression" dxfId="4" priority="2129" stopIfTrue="1">
      <formula>IF(LEN(ET4)&gt;0,1,0)</formula>
    </cfRule>
    <cfRule type="expression" dxfId="3" priority="2130" stopIfTrue="1">
      <formula>IF(VLOOKUP($ET$3,requiredAttributePTDMap,MATCH($A4,attributeMapFeedProductType,0)+1,FALSE)&gt;0,1,0)</formula>
    </cfRule>
    <cfRule type="expression" dxfId="2" priority="2131" stopIfTrue="1">
      <formula>IF(VLOOKUP($ET$3,optionalAttributePTDMap,MATCH($A4,attributeMapFeedProductType,0)+1,FALSE)&gt;0,1,0)</formula>
    </cfRule>
    <cfRule type="expression" dxfId="1" priority="2132" stopIfTrue="1">
      <formula>IF(VLOOKUP($ET$3,preferredAttributePTDMap,MATCH($A4,attributeMapFeedProductType,0)+1,FALSE)&gt;0,1,0)</formula>
    </cfRule>
    <cfRule type="expression" dxfId="0" priority="2133"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8 EU10:EU12 EU156:EU1048576">
    <cfRule type="expression" dxfId="4" priority="2134" stopIfTrue="1">
      <formula>IF(LEN(EU4)&gt;0,1,0)</formula>
    </cfRule>
    <cfRule type="expression" dxfId="3" priority="2135" stopIfTrue="1">
      <formula>IF(VLOOKUP($EU$3,requiredAttributePTDMap,MATCH($A4,attributeMapFeedProductType,0)+1,FALSE)&gt;0,1,0)</formula>
    </cfRule>
    <cfRule type="expression" dxfId="2" priority="2136" stopIfTrue="1">
      <formula>IF(VLOOKUP($EU$3,optionalAttributePTDMap,MATCH($A4,attributeMapFeedProductType,0)+1,FALSE)&gt;0,1,0)</formula>
    </cfRule>
    <cfRule type="expression" dxfId="1" priority="2137" stopIfTrue="1">
      <formula>IF(VLOOKUP($EU$3,preferredAttributePTDMap,MATCH($A4,attributeMapFeedProductType,0)+1,FALSE)&gt;0,1,0)</formula>
    </cfRule>
    <cfRule type="expression" dxfId="0" priority="2138"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8 EV10:EV12 EV156:EV1048576">
    <cfRule type="expression" dxfId="4" priority="2139" stopIfTrue="1">
      <formula>IF(LEN(EV4)&gt;0,1,0)</formula>
    </cfRule>
    <cfRule type="expression" dxfId="3" priority="2140" stopIfTrue="1">
      <formula>IF(VLOOKUP($EV$3,requiredAttributePTDMap,MATCH($A4,attributeMapFeedProductType,0)+1,FALSE)&gt;0,1,0)</formula>
    </cfRule>
    <cfRule type="expression" dxfId="2" priority="2141" stopIfTrue="1">
      <formula>IF(VLOOKUP($EV$3,optionalAttributePTDMap,MATCH($A4,attributeMapFeedProductType,0)+1,FALSE)&gt;0,1,0)</formula>
    </cfRule>
    <cfRule type="expression" dxfId="1" priority="2142" stopIfTrue="1">
      <formula>IF(VLOOKUP($EV$3,preferredAttributePTDMap,MATCH($A4,attributeMapFeedProductType,0)+1,FALSE)&gt;0,1,0)</formula>
    </cfRule>
    <cfRule type="expression" dxfId="0" priority="2143"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8 EW10:EW12 EW156:EW1048576">
    <cfRule type="expression" dxfId="4" priority="2144" stopIfTrue="1">
      <formula>IF(LEN(EW4)&gt;0,1,0)</formula>
    </cfRule>
    <cfRule type="expression" dxfId="3" priority="2145" stopIfTrue="1">
      <formula>IF(VLOOKUP($EW$3,requiredAttributePTDMap,MATCH($A4,attributeMapFeedProductType,0)+1,FALSE)&gt;0,1,0)</formula>
    </cfRule>
    <cfRule type="expression" dxfId="2" priority="2146" stopIfTrue="1">
      <formula>IF(VLOOKUP($EW$3,optionalAttributePTDMap,MATCH($A4,attributeMapFeedProductType,0)+1,FALSE)&gt;0,1,0)</formula>
    </cfRule>
    <cfRule type="expression" dxfId="1" priority="2147" stopIfTrue="1">
      <formula>IF(VLOOKUP($EW$3,preferredAttributePTDMap,MATCH($A4,attributeMapFeedProductType,0)+1,FALSE)&gt;0,1,0)</formula>
    </cfRule>
    <cfRule type="expression" dxfId="0" priority="2148"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8 EX10:EX12 EX156:EX1048576">
    <cfRule type="expression" dxfId="4" priority="2149" stopIfTrue="1">
      <formula>IF(LEN(EX4)&gt;0,1,0)</formula>
    </cfRule>
    <cfRule type="expression" dxfId="3" priority="2150" stopIfTrue="1">
      <formula>IF(VLOOKUP($EX$3,requiredAttributePTDMap,MATCH($A4,attributeMapFeedProductType,0)+1,FALSE)&gt;0,1,0)</formula>
    </cfRule>
    <cfRule type="expression" dxfId="2" priority="2151" stopIfTrue="1">
      <formula>IF(VLOOKUP($EX$3,optionalAttributePTDMap,MATCH($A4,attributeMapFeedProductType,0)+1,FALSE)&gt;0,1,0)</formula>
    </cfRule>
    <cfRule type="expression" dxfId="1" priority="2152" stopIfTrue="1">
      <formula>IF(VLOOKUP($EX$3,preferredAttributePTDMap,MATCH($A4,attributeMapFeedProductType,0)+1,FALSE)&gt;0,1,0)</formula>
    </cfRule>
    <cfRule type="expression" dxfId="0" priority="2153"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8 EY10:EY12 EY156:EY1048576">
    <cfRule type="expression" dxfId="4" priority="2154" stopIfTrue="1">
      <formula>IF(LEN(EY4)&gt;0,1,0)</formula>
    </cfRule>
    <cfRule type="expression" dxfId="3" priority="2155" stopIfTrue="1">
      <formula>IF(VLOOKUP($EY$3,requiredAttributePTDMap,MATCH($A4,attributeMapFeedProductType,0)+1,FALSE)&gt;0,1,0)</formula>
    </cfRule>
    <cfRule type="expression" dxfId="2" priority="2156" stopIfTrue="1">
      <formula>IF(VLOOKUP($EY$3,optionalAttributePTDMap,MATCH($A4,attributeMapFeedProductType,0)+1,FALSE)&gt;0,1,0)</formula>
    </cfRule>
    <cfRule type="expression" dxfId="1" priority="2157" stopIfTrue="1">
      <formula>IF(VLOOKUP($EY$3,preferredAttributePTDMap,MATCH($A4,attributeMapFeedProductType,0)+1,FALSE)&gt;0,1,0)</formula>
    </cfRule>
    <cfRule type="expression" dxfId="0" priority="2158"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8 EZ10:EZ12 EZ156:EZ1048576">
    <cfRule type="expression" dxfId="4" priority="2159" stopIfTrue="1">
      <formula>IF(LEN(EZ4)&gt;0,1,0)</formula>
    </cfRule>
    <cfRule type="expression" dxfId="3" priority="2160" stopIfTrue="1">
      <formula>IF(VLOOKUP($EZ$3,requiredAttributePTDMap,MATCH($A4,attributeMapFeedProductType,0)+1,FALSE)&gt;0,1,0)</formula>
    </cfRule>
    <cfRule type="expression" dxfId="2" priority="2161" stopIfTrue="1">
      <formula>IF(VLOOKUP($EZ$3,optionalAttributePTDMap,MATCH($A4,attributeMapFeedProductType,0)+1,FALSE)&gt;0,1,0)</formula>
    </cfRule>
    <cfRule type="expression" dxfId="1" priority="2162" stopIfTrue="1">
      <formula>IF(VLOOKUP($EZ$3,preferredAttributePTDMap,MATCH($A4,attributeMapFeedProductType,0)+1,FALSE)&gt;0,1,0)</formula>
    </cfRule>
    <cfRule type="expression" dxfId="0" priority="2163"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8 FA10:FA12 FA156:FA1048576">
    <cfRule type="expression" dxfId="4" priority="2164" stopIfTrue="1">
      <formula>IF(LEN(FA4)&gt;0,1,0)</formula>
    </cfRule>
    <cfRule type="expression" dxfId="3" priority="2165" stopIfTrue="1">
      <formula>IF(VLOOKUP($FA$3,requiredAttributePTDMap,MATCH($A4,attributeMapFeedProductType,0)+1,FALSE)&gt;0,1,0)</formula>
    </cfRule>
    <cfRule type="expression" dxfId="2" priority="2166" stopIfTrue="1">
      <formula>IF(VLOOKUP($FA$3,optionalAttributePTDMap,MATCH($A4,attributeMapFeedProductType,0)+1,FALSE)&gt;0,1,0)</formula>
    </cfRule>
    <cfRule type="expression" dxfId="1" priority="2167" stopIfTrue="1">
      <formula>IF(VLOOKUP($FA$3,preferredAttributePTDMap,MATCH($A4,attributeMapFeedProductType,0)+1,FALSE)&gt;0,1,0)</formula>
    </cfRule>
    <cfRule type="expression" dxfId="0" priority="2168"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8 FB10:FB12 FB156:FB1048576">
    <cfRule type="expression" dxfId="4" priority="2169" stopIfTrue="1">
      <formula>IF(LEN(FB4)&gt;0,1,0)</formula>
    </cfRule>
    <cfRule type="expression" dxfId="3" priority="2170" stopIfTrue="1">
      <formula>IF(VLOOKUP($FB$3,requiredAttributePTDMap,MATCH($A4,attributeMapFeedProductType,0)+1,FALSE)&gt;0,1,0)</formula>
    </cfRule>
    <cfRule type="expression" dxfId="2" priority="2171" stopIfTrue="1">
      <formula>IF(VLOOKUP($FB$3,optionalAttributePTDMap,MATCH($A4,attributeMapFeedProductType,0)+1,FALSE)&gt;0,1,0)</formula>
    </cfRule>
    <cfRule type="expression" dxfId="1" priority="2172" stopIfTrue="1">
      <formula>IF(VLOOKUP($FB$3,preferredAttributePTDMap,MATCH($A4,attributeMapFeedProductType,0)+1,FALSE)&gt;0,1,0)</formula>
    </cfRule>
    <cfRule type="expression" dxfId="0" priority="2173"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D8 FC10:FD12 FC156:FD1048576 FD9">
    <cfRule type="expression" dxfId="4" priority="2174" stopIfTrue="1">
      <formula>IF(LEN(FC4)&gt;0,1,0)</formula>
    </cfRule>
    <cfRule type="expression" dxfId="3" priority="2175" stopIfTrue="1">
      <formula>IF(VLOOKUP($FC$3,requiredAttributePTDMap,MATCH($A4,attributeMapFeedProductType,0)+1,FALSE)&gt;0,1,0)</formula>
    </cfRule>
    <cfRule type="expression" dxfId="2" priority="2176" stopIfTrue="1">
      <formula>IF(VLOOKUP($FC$3,optionalAttributePTDMap,MATCH($A4,attributeMapFeedProductType,0)+1,FALSE)&gt;0,1,0)</formula>
    </cfRule>
    <cfRule type="expression" dxfId="1" priority="2177" stopIfTrue="1">
      <formula>IF(VLOOKUP($FC$3,preferredAttributePTDMap,MATCH($A4,attributeMapFeedProductType,0)+1,FALSE)&gt;0,1,0)</formula>
    </cfRule>
    <cfRule type="expression" dxfId="0" priority="2178"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E4:FE8 FE10:FE12 FE156:FE1048576">
    <cfRule type="expression" dxfId="4" priority="2179" stopIfTrue="1">
      <formula>IF(LEN(FE4)&gt;0,1,0)</formula>
    </cfRule>
    <cfRule type="expression" dxfId="3" priority="2180" stopIfTrue="1">
      <formula>IF(VLOOKUP($FE$3,requiredAttributePTDMap,MATCH($A4,attributeMapFeedProductType,0)+1,FALSE)&gt;0,1,0)</formula>
    </cfRule>
    <cfRule type="expression" dxfId="2" priority="2181" stopIfTrue="1">
      <formula>IF(VLOOKUP($FE$3,optionalAttributePTDMap,MATCH($A4,attributeMapFeedProductType,0)+1,FALSE)&gt;0,1,0)</formula>
    </cfRule>
    <cfRule type="expression" dxfId="1" priority="2182" stopIfTrue="1">
      <formula>IF(VLOOKUP($FE$3,preferredAttributePTDMap,MATCH($A4,attributeMapFeedProductType,0)+1,FALSE)&gt;0,1,0)</formula>
    </cfRule>
    <cfRule type="expression" dxfId="0" priority="218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8 FF10:FF12 FF156:FF1048576">
    <cfRule type="expression" dxfId="4" priority="2184" stopIfTrue="1">
      <formula>IF(LEN(FF4)&gt;0,1,0)</formula>
    </cfRule>
    <cfRule type="expression" dxfId="3" priority="2185" stopIfTrue="1">
      <formula>IF(VLOOKUP($FF$3,requiredAttributePTDMap,MATCH($A4,attributeMapFeedProductType,0)+1,FALSE)&gt;0,1,0)</formula>
    </cfRule>
    <cfRule type="expression" dxfId="2" priority="2186" stopIfTrue="1">
      <formula>IF(VLOOKUP($FF$3,optionalAttributePTDMap,MATCH($A4,attributeMapFeedProductType,0)+1,FALSE)&gt;0,1,0)</formula>
    </cfRule>
    <cfRule type="expression" dxfId="1" priority="2187" stopIfTrue="1">
      <formula>IF(VLOOKUP($FF$3,preferredAttributePTDMap,MATCH($A4,attributeMapFeedProductType,0)+1,FALSE)&gt;0,1,0)</formula>
    </cfRule>
    <cfRule type="expression" dxfId="0" priority="2188"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8 FG10:FG12 FG156:FG1048576">
    <cfRule type="expression" dxfId="4" priority="2189" stopIfTrue="1">
      <formula>IF(LEN(FG4)&gt;0,1,0)</formula>
    </cfRule>
    <cfRule type="expression" dxfId="3" priority="2190" stopIfTrue="1">
      <formula>IF(VLOOKUP($FG$3,requiredAttributePTDMap,MATCH($A4,attributeMapFeedProductType,0)+1,FALSE)&gt;0,1,0)</formula>
    </cfRule>
    <cfRule type="expression" dxfId="2" priority="2191" stopIfTrue="1">
      <formula>IF(VLOOKUP($FG$3,optionalAttributePTDMap,MATCH($A4,attributeMapFeedProductType,0)+1,FALSE)&gt;0,1,0)</formula>
    </cfRule>
    <cfRule type="expression" dxfId="1" priority="2192" stopIfTrue="1">
      <formula>IF(VLOOKUP($FG$3,preferredAttributePTDMap,MATCH($A4,attributeMapFeedProductType,0)+1,FALSE)&gt;0,1,0)</formula>
    </cfRule>
    <cfRule type="expression" dxfId="0" priority="2193"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8 FH10:FH12 FH156:FH1048576">
    <cfRule type="expression" dxfId="4" priority="2194" stopIfTrue="1">
      <formula>IF(LEN(FH4)&gt;0,1,0)</formula>
    </cfRule>
    <cfRule type="expression" dxfId="3" priority="2195" stopIfTrue="1">
      <formula>IF(VLOOKUP($FH$3,requiredAttributePTDMap,MATCH($A4,attributeMapFeedProductType,0)+1,FALSE)&gt;0,1,0)</formula>
    </cfRule>
    <cfRule type="expression" dxfId="2" priority="2196" stopIfTrue="1">
      <formula>IF(VLOOKUP($FH$3,optionalAttributePTDMap,MATCH($A4,attributeMapFeedProductType,0)+1,FALSE)&gt;0,1,0)</formula>
    </cfRule>
    <cfRule type="expression" dxfId="1" priority="2197" stopIfTrue="1">
      <formula>IF(VLOOKUP($FH$3,preferredAttributePTDMap,MATCH($A4,attributeMapFeedProductType,0)+1,FALSE)&gt;0,1,0)</formula>
    </cfRule>
    <cfRule type="expression" dxfId="0" priority="2198"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8 FI10:FI12 FI156:FI1048576">
    <cfRule type="expression" dxfId="4" priority="2199" stopIfTrue="1">
      <formula>IF(LEN(FI4)&gt;0,1,0)</formula>
    </cfRule>
    <cfRule type="expression" dxfId="3" priority="2200" stopIfTrue="1">
      <formula>IF(VLOOKUP($FI$3,requiredAttributePTDMap,MATCH($A4,attributeMapFeedProductType,0)+1,FALSE)&gt;0,1,0)</formula>
    </cfRule>
    <cfRule type="expression" dxfId="2" priority="2201" stopIfTrue="1">
      <formula>IF(VLOOKUP($FI$3,optionalAttributePTDMap,MATCH($A4,attributeMapFeedProductType,0)+1,FALSE)&gt;0,1,0)</formula>
    </cfRule>
    <cfRule type="expression" dxfId="1" priority="2202" stopIfTrue="1">
      <formula>IF(VLOOKUP($FI$3,preferredAttributePTDMap,MATCH($A4,attributeMapFeedProductType,0)+1,FALSE)&gt;0,1,0)</formula>
    </cfRule>
    <cfRule type="expression" dxfId="0" priority="2203"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8 FJ10:FJ12 FJ156:FJ1048576">
    <cfRule type="expression" dxfId="4" priority="2204" stopIfTrue="1">
      <formula>IF(LEN(FJ4)&gt;0,1,0)</formula>
    </cfRule>
    <cfRule type="expression" dxfId="3" priority="2205" stopIfTrue="1">
      <formula>IF(VLOOKUP($FJ$3,requiredAttributePTDMap,MATCH($A4,attributeMapFeedProductType,0)+1,FALSE)&gt;0,1,0)</formula>
    </cfRule>
    <cfRule type="expression" dxfId="2" priority="2206" stopIfTrue="1">
      <formula>IF(VLOOKUP($FJ$3,optionalAttributePTDMap,MATCH($A4,attributeMapFeedProductType,0)+1,FALSE)&gt;0,1,0)</formula>
    </cfRule>
    <cfRule type="expression" dxfId="1" priority="2207" stopIfTrue="1">
      <formula>IF(VLOOKUP($FJ$3,preferredAttributePTDMap,MATCH($A4,attributeMapFeedProductType,0)+1,FALSE)&gt;0,1,0)</formula>
    </cfRule>
    <cfRule type="expression" dxfId="0" priority="2208"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8 FK10:FK12 FK156:FK1048576">
    <cfRule type="expression" dxfId="4" priority="2209" stopIfTrue="1">
      <formula>IF(LEN(FK4)&gt;0,1,0)</formula>
    </cfRule>
    <cfRule type="expression" dxfId="3" priority="2210" stopIfTrue="1">
      <formula>IF(VLOOKUP($FK$3,requiredAttributePTDMap,MATCH($A4,attributeMapFeedProductType,0)+1,FALSE)&gt;0,1,0)</formula>
    </cfRule>
    <cfRule type="expression" dxfId="2" priority="2211" stopIfTrue="1">
      <formula>IF(VLOOKUP($FK$3,optionalAttributePTDMap,MATCH($A4,attributeMapFeedProductType,0)+1,FALSE)&gt;0,1,0)</formula>
    </cfRule>
    <cfRule type="expression" dxfId="1" priority="2212" stopIfTrue="1">
      <formula>IF(VLOOKUP($FK$3,preferredAttributePTDMap,MATCH($A4,attributeMapFeedProductType,0)+1,FALSE)&gt;0,1,0)</formula>
    </cfRule>
    <cfRule type="expression" dxfId="0" priority="2213"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8 FL10:FL95 FL156:FL1048576">
    <cfRule type="expression" dxfId="4" priority="2214" stopIfTrue="1">
      <formula>IF(LEN(FL4)&gt;0,1,0)</formula>
    </cfRule>
    <cfRule type="expression" dxfId="3" priority="2215" stopIfTrue="1">
      <formula>IF(VLOOKUP($FL$3,requiredAttributePTDMap,MATCH($A4,attributeMapFeedProductType,0)+1,FALSE)&gt;0,1,0)</formula>
    </cfRule>
    <cfRule type="expression" dxfId="2" priority="2216" stopIfTrue="1">
      <formula>IF(VLOOKUP($FL$3,optionalAttributePTDMap,MATCH($A4,attributeMapFeedProductType,0)+1,FALSE)&gt;0,1,0)</formula>
    </cfRule>
    <cfRule type="expression" dxfId="1" priority="2217" stopIfTrue="1">
      <formula>IF(VLOOKUP($FL$3,preferredAttributePTDMap,MATCH($A4,attributeMapFeedProductType,0)+1,FALSE)&gt;0,1,0)</formula>
    </cfRule>
    <cfRule type="expression" dxfId="0" priority="2218"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8 FM10:FM12 FM156:FM1048576">
    <cfRule type="expression" dxfId="4" priority="2219" stopIfTrue="1">
      <formula>IF(LEN(FM4)&gt;0,1,0)</formula>
    </cfRule>
    <cfRule type="expression" dxfId="3" priority="2220" stopIfTrue="1">
      <formula>IF(VLOOKUP($FM$3,requiredAttributePTDMap,MATCH($A4,attributeMapFeedProductType,0)+1,FALSE)&gt;0,1,0)</formula>
    </cfRule>
    <cfRule type="expression" dxfId="2" priority="2221" stopIfTrue="1">
      <formula>IF(VLOOKUP($FM$3,optionalAttributePTDMap,MATCH($A4,attributeMapFeedProductType,0)+1,FALSE)&gt;0,1,0)</formula>
    </cfRule>
    <cfRule type="expression" dxfId="1" priority="2222" stopIfTrue="1">
      <formula>IF(VLOOKUP($FM$3,preferredAttributePTDMap,MATCH($A4,attributeMapFeedProductType,0)+1,FALSE)&gt;0,1,0)</formula>
    </cfRule>
    <cfRule type="expression" dxfId="0" priority="2223"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8 FN10:FN12 FN156:FN1048576">
    <cfRule type="expression" dxfId="4" priority="2224" stopIfTrue="1">
      <formula>IF(LEN(FN4)&gt;0,1,0)</formula>
    </cfRule>
    <cfRule type="expression" dxfId="3" priority="2225" stopIfTrue="1">
      <formula>IF(VLOOKUP($FN$3,requiredAttributePTDMap,MATCH($A4,attributeMapFeedProductType,0)+1,FALSE)&gt;0,1,0)</formula>
    </cfRule>
    <cfRule type="expression" dxfId="2" priority="2226" stopIfTrue="1">
      <formula>IF(VLOOKUP($FN$3,optionalAttributePTDMap,MATCH($A4,attributeMapFeedProductType,0)+1,FALSE)&gt;0,1,0)</formula>
    </cfRule>
    <cfRule type="expression" dxfId="1" priority="2227" stopIfTrue="1">
      <formula>IF(VLOOKUP($FN$3,preferredAttributePTDMap,MATCH($A4,attributeMapFeedProductType,0)+1,FALSE)&gt;0,1,0)</formula>
    </cfRule>
    <cfRule type="expression" dxfId="0" priority="2228"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8 FO10:FO12 FO156:FO1048576">
    <cfRule type="expression" dxfId="4" priority="2229" stopIfTrue="1">
      <formula>IF(LEN(FO4)&gt;0,1,0)</formula>
    </cfRule>
    <cfRule type="expression" dxfId="3" priority="2230" stopIfTrue="1">
      <formula>IF(VLOOKUP($FO$3,requiredAttributePTDMap,MATCH($A4,attributeMapFeedProductType,0)+1,FALSE)&gt;0,1,0)</formula>
    </cfRule>
    <cfRule type="expression" dxfId="2" priority="2231" stopIfTrue="1">
      <formula>IF(VLOOKUP($FO$3,optionalAttributePTDMap,MATCH($A4,attributeMapFeedProductType,0)+1,FALSE)&gt;0,1,0)</formula>
    </cfRule>
    <cfRule type="expression" dxfId="1" priority="2232" stopIfTrue="1">
      <formula>IF(VLOOKUP($FO$3,preferredAttributePTDMap,MATCH($A4,attributeMapFeedProductType,0)+1,FALSE)&gt;0,1,0)</formula>
    </cfRule>
    <cfRule type="expression" dxfId="0" priority="2233"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8 FP10:FP12 FP156:FP1048576">
    <cfRule type="expression" dxfId="4" priority="2234" stopIfTrue="1">
      <formula>IF(LEN(FP4)&gt;0,1,0)</formula>
    </cfRule>
    <cfRule type="expression" dxfId="3" priority="2235" stopIfTrue="1">
      <formula>IF(VLOOKUP($FP$3,requiredAttributePTDMap,MATCH($A4,attributeMapFeedProductType,0)+1,FALSE)&gt;0,1,0)</formula>
    </cfRule>
    <cfRule type="expression" dxfId="2" priority="2236" stopIfTrue="1">
      <formula>IF(VLOOKUP($FP$3,optionalAttributePTDMap,MATCH($A4,attributeMapFeedProductType,0)+1,FALSE)&gt;0,1,0)</formula>
    </cfRule>
    <cfRule type="expression" dxfId="1" priority="2237" stopIfTrue="1">
      <formula>IF(VLOOKUP($FP$3,preferredAttributePTDMap,MATCH($A4,attributeMapFeedProductType,0)+1,FALSE)&gt;0,1,0)</formula>
    </cfRule>
    <cfRule type="expression" dxfId="0" priority="2238"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8 FQ10:FQ12 FQ156:FQ1048576">
    <cfRule type="expression" dxfId="4" priority="2239" stopIfTrue="1">
      <formula>IF(LEN(FQ4)&gt;0,1,0)</formula>
    </cfRule>
    <cfRule type="expression" dxfId="3" priority="2240" stopIfTrue="1">
      <formula>IF(VLOOKUP($FQ$3,requiredAttributePTDMap,MATCH($A4,attributeMapFeedProductType,0)+1,FALSE)&gt;0,1,0)</formula>
    </cfRule>
    <cfRule type="expression" dxfId="2" priority="2241" stopIfTrue="1">
      <formula>IF(VLOOKUP($FQ$3,optionalAttributePTDMap,MATCH($A4,attributeMapFeedProductType,0)+1,FALSE)&gt;0,1,0)</formula>
    </cfRule>
    <cfRule type="expression" dxfId="1" priority="2242" stopIfTrue="1">
      <formula>IF(VLOOKUP($FQ$3,preferredAttributePTDMap,MATCH($A4,attributeMapFeedProductType,0)+1,FALSE)&gt;0,1,0)</formula>
    </cfRule>
    <cfRule type="expression" dxfId="0" priority="2243"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8 FR10:FR12 FR156:FR1048576">
    <cfRule type="expression" dxfId="4" priority="2244" stopIfTrue="1">
      <formula>IF(LEN(FR4)&gt;0,1,0)</formula>
    </cfRule>
    <cfRule type="expression" dxfId="3" priority="2245" stopIfTrue="1">
      <formula>IF(VLOOKUP($FR$3,requiredAttributePTDMap,MATCH($A4,attributeMapFeedProductType,0)+1,FALSE)&gt;0,1,0)</formula>
    </cfRule>
    <cfRule type="expression" dxfId="2" priority="2246" stopIfTrue="1">
      <formula>IF(VLOOKUP($FR$3,optionalAttributePTDMap,MATCH($A4,attributeMapFeedProductType,0)+1,FALSE)&gt;0,1,0)</formula>
    </cfRule>
    <cfRule type="expression" dxfId="1" priority="2247" stopIfTrue="1">
      <formula>IF(VLOOKUP($FR$3,preferredAttributePTDMap,MATCH($A4,attributeMapFeedProductType,0)+1,FALSE)&gt;0,1,0)</formula>
    </cfRule>
    <cfRule type="expression" dxfId="0" priority="2248"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8 FS10:FS12 FS156:FS1048576">
    <cfRule type="expression" dxfId="4" priority="2249" stopIfTrue="1">
      <formula>IF(LEN(FS4)&gt;0,1,0)</formula>
    </cfRule>
    <cfRule type="expression" dxfId="3" priority="2250" stopIfTrue="1">
      <formula>IF(VLOOKUP($FS$3,requiredAttributePTDMap,MATCH($A4,attributeMapFeedProductType,0)+1,FALSE)&gt;0,1,0)</formula>
    </cfRule>
    <cfRule type="expression" dxfId="2" priority="2251" stopIfTrue="1">
      <formula>IF(VLOOKUP($FS$3,optionalAttributePTDMap,MATCH($A4,attributeMapFeedProductType,0)+1,FALSE)&gt;0,1,0)</formula>
    </cfRule>
    <cfRule type="expression" dxfId="1" priority="2252" stopIfTrue="1">
      <formula>IF(VLOOKUP($FS$3,preferredAttributePTDMap,MATCH($A4,attributeMapFeedProductType,0)+1,FALSE)&gt;0,1,0)</formula>
    </cfRule>
    <cfRule type="expression" dxfId="0" priority="2253"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8 FT10:FT12 FT156:FT1048576">
    <cfRule type="expression" dxfId="4" priority="2254" stopIfTrue="1">
      <formula>IF(LEN(FT4)&gt;0,1,0)</formula>
    </cfRule>
    <cfRule type="expression" dxfId="3" priority="2255" stopIfTrue="1">
      <formula>IF(VLOOKUP($FT$3,requiredAttributePTDMap,MATCH($A4,attributeMapFeedProductType,0)+1,FALSE)&gt;0,1,0)</formula>
    </cfRule>
    <cfRule type="expression" dxfId="2" priority="2256" stopIfTrue="1">
      <formula>IF(VLOOKUP($FT$3,optionalAttributePTDMap,MATCH($A4,attributeMapFeedProductType,0)+1,FALSE)&gt;0,1,0)</formula>
    </cfRule>
    <cfRule type="expression" dxfId="1" priority="2257" stopIfTrue="1">
      <formula>IF(VLOOKUP($FT$3,preferredAttributePTDMap,MATCH($A4,attributeMapFeedProductType,0)+1,FALSE)&gt;0,1,0)</formula>
    </cfRule>
    <cfRule type="expression" dxfId="0" priority="2258"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8 FU10:FU12 FU156:FU1048576">
    <cfRule type="expression" dxfId="4" priority="2259" stopIfTrue="1">
      <formula>IF(LEN(FU4)&gt;0,1,0)</formula>
    </cfRule>
    <cfRule type="expression" dxfId="3" priority="2260" stopIfTrue="1">
      <formula>IF(VLOOKUP($FU$3,requiredAttributePTDMap,MATCH($A4,attributeMapFeedProductType,0)+1,FALSE)&gt;0,1,0)</formula>
    </cfRule>
    <cfRule type="expression" dxfId="2" priority="2261" stopIfTrue="1">
      <formula>IF(VLOOKUP($FU$3,optionalAttributePTDMap,MATCH($A4,attributeMapFeedProductType,0)+1,FALSE)&gt;0,1,0)</formula>
    </cfRule>
    <cfRule type="expression" dxfId="1" priority="2262" stopIfTrue="1">
      <formula>IF(VLOOKUP($FU$3,preferredAttributePTDMap,MATCH($A4,attributeMapFeedProductType,0)+1,FALSE)&gt;0,1,0)</formula>
    </cfRule>
    <cfRule type="expression" dxfId="0" priority="2263"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8 FV10:FV12 FV156:FV1048576">
    <cfRule type="expression" dxfId="4" priority="2264" stopIfTrue="1">
      <formula>IF(LEN(FV4)&gt;0,1,0)</formula>
    </cfRule>
    <cfRule type="expression" dxfId="3" priority="2265" stopIfTrue="1">
      <formula>IF(VLOOKUP($FV$3,requiredAttributePTDMap,MATCH($A4,attributeMapFeedProductType,0)+1,FALSE)&gt;0,1,0)</formula>
    </cfRule>
    <cfRule type="expression" dxfId="2" priority="2266" stopIfTrue="1">
      <formula>IF(VLOOKUP($FV$3,optionalAttributePTDMap,MATCH($A4,attributeMapFeedProductType,0)+1,FALSE)&gt;0,1,0)</formula>
    </cfRule>
    <cfRule type="expression" dxfId="1" priority="2267" stopIfTrue="1">
      <formula>IF(VLOOKUP($FV$3,preferredAttributePTDMap,MATCH($A4,attributeMapFeedProductType,0)+1,FALSE)&gt;0,1,0)</formula>
    </cfRule>
    <cfRule type="expression" dxfId="0" priority="2268"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8 FW10:FW12 FW156:FW1048576">
    <cfRule type="expression" dxfId="4" priority="2269" stopIfTrue="1">
      <formula>IF(LEN(FW4)&gt;0,1,0)</formula>
    </cfRule>
    <cfRule type="expression" dxfId="3" priority="2270" stopIfTrue="1">
      <formula>IF(VLOOKUP($FW$3,requiredAttributePTDMap,MATCH($A4,attributeMapFeedProductType,0)+1,FALSE)&gt;0,1,0)</formula>
    </cfRule>
    <cfRule type="expression" dxfId="2" priority="2271" stopIfTrue="1">
      <formula>IF(VLOOKUP($FW$3,optionalAttributePTDMap,MATCH($A4,attributeMapFeedProductType,0)+1,FALSE)&gt;0,1,0)</formula>
    </cfRule>
    <cfRule type="expression" dxfId="1" priority="2272" stopIfTrue="1">
      <formula>IF(VLOOKUP($FW$3,preferredAttributePTDMap,MATCH($A4,attributeMapFeedProductType,0)+1,FALSE)&gt;0,1,0)</formula>
    </cfRule>
    <cfRule type="expression" dxfId="0" priority="2273"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8 FX10:FX12 FX156:FX1048576">
    <cfRule type="expression" dxfId="4" priority="2274" stopIfTrue="1">
      <formula>IF(LEN(FX4)&gt;0,1,0)</formula>
    </cfRule>
    <cfRule type="expression" dxfId="3" priority="2275" stopIfTrue="1">
      <formula>IF(VLOOKUP($FX$3,requiredAttributePTDMap,MATCH($A4,attributeMapFeedProductType,0)+1,FALSE)&gt;0,1,0)</formula>
    </cfRule>
    <cfRule type="expression" dxfId="2" priority="2276" stopIfTrue="1">
      <formula>IF(VLOOKUP($FX$3,optionalAttributePTDMap,MATCH($A4,attributeMapFeedProductType,0)+1,FALSE)&gt;0,1,0)</formula>
    </cfRule>
    <cfRule type="expression" dxfId="1" priority="2277" stopIfTrue="1">
      <formula>IF(VLOOKUP($FX$3,preferredAttributePTDMap,MATCH($A4,attributeMapFeedProductType,0)+1,FALSE)&gt;0,1,0)</formula>
    </cfRule>
    <cfRule type="expression" dxfId="0" priority="2278"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8 FY10:FY12 FY156:FY1048576">
    <cfRule type="expression" dxfId="4" priority="2279" stopIfTrue="1">
      <formula>IF(LEN(FY4)&gt;0,1,0)</formula>
    </cfRule>
    <cfRule type="expression" dxfId="3" priority="2280" stopIfTrue="1">
      <formula>IF(VLOOKUP($FY$3,requiredAttributePTDMap,MATCH($A4,attributeMapFeedProductType,0)+1,FALSE)&gt;0,1,0)</formula>
    </cfRule>
    <cfRule type="expression" dxfId="2" priority="2281" stopIfTrue="1">
      <formula>IF(VLOOKUP($FY$3,optionalAttributePTDMap,MATCH($A4,attributeMapFeedProductType,0)+1,FALSE)&gt;0,1,0)</formula>
    </cfRule>
    <cfRule type="expression" dxfId="1" priority="2282" stopIfTrue="1">
      <formula>IF(VLOOKUP($FY$3,preferredAttributePTDMap,MATCH($A4,attributeMapFeedProductType,0)+1,FALSE)&gt;0,1,0)</formula>
    </cfRule>
    <cfRule type="expression" dxfId="0" priority="2283"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8 FZ10:FZ12 FZ156:FZ1048576">
    <cfRule type="expression" dxfId="4" priority="2284" stopIfTrue="1">
      <formula>IF(LEN(FZ4)&gt;0,1,0)</formula>
    </cfRule>
    <cfRule type="expression" dxfId="3" priority="2285" stopIfTrue="1">
      <formula>IF(VLOOKUP($FZ$3,requiredAttributePTDMap,MATCH($A4,attributeMapFeedProductType,0)+1,FALSE)&gt;0,1,0)</formula>
    </cfRule>
    <cfRule type="expression" dxfId="2" priority="2286" stopIfTrue="1">
      <formula>IF(VLOOKUP($FZ$3,optionalAttributePTDMap,MATCH($A4,attributeMapFeedProductType,0)+1,FALSE)&gt;0,1,0)</formula>
    </cfRule>
    <cfRule type="expression" dxfId="1" priority="2287" stopIfTrue="1">
      <formula>IF(VLOOKUP($FZ$3,preferredAttributePTDMap,MATCH($A4,attributeMapFeedProductType,0)+1,FALSE)&gt;0,1,0)</formula>
    </cfRule>
    <cfRule type="expression" dxfId="0" priority="2288"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8 GA10:GA12 GA156:GA1048576">
    <cfRule type="expression" dxfId="4" priority="2289" stopIfTrue="1">
      <formula>IF(LEN(GA4)&gt;0,1,0)</formula>
    </cfRule>
    <cfRule type="expression" dxfId="3" priority="2290" stopIfTrue="1">
      <formula>IF(VLOOKUP($GA$3,requiredAttributePTDMap,MATCH($A4,attributeMapFeedProductType,0)+1,FALSE)&gt;0,1,0)</formula>
    </cfRule>
    <cfRule type="expression" dxfId="2" priority="2291" stopIfTrue="1">
      <formula>IF(VLOOKUP($GA$3,optionalAttributePTDMap,MATCH($A4,attributeMapFeedProductType,0)+1,FALSE)&gt;0,1,0)</formula>
    </cfRule>
    <cfRule type="expression" dxfId="1" priority="2292" stopIfTrue="1">
      <formula>IF(VLOOKUP($GA$3,preferredAttributePTDMap,MATCH($A4,attributeMapFeedProductType,0)+1,FALSE)&gt;0,1,0)</formula>
    </cfRule>
    <cfRule type="expression" dxfId="0" priority="2293"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8 GB10:GB12 GB156:GB1048576">
    <cfRule type="expression" dxfId="4" priority="2294" stopIfTrue="1">
      <formula>IF(LEN(GB4)&gt;0,1,0)</formula>
    </cfRule>
    <cfRule type="expression" dxfId="3" priority="2295" stopIfTrue="1">
      <formula>IF(VLOOKUP($GB$3,requiredAttributePTDMap,MATCH($A4,attributeMapFeedProductType,0)+1,FALSE)&gt;0,1,0)</formula>
    </cfRule>
    <cfRule type="expression" dxfId="2" priority="2296" stopIfTrue="1">
      <formula>IF(VLOOKUP($GB$3,optionalAttributePTDMap,MATCH($A4,attributeMapFeedProductType,0)+1,FALSE)&gt;0,1,0)</formula>
    </cfRule>
    <cfRule type="expression" dxfId="1" priority="2297" stopIfTrue="1">
      <formula>IF(VLOOKUP($GB$3,preferredAttributePTDMap,MATCH($A4,attributeMapFeedProductType,0)+1,FALSE)&gt;0,1,0)</formula>
    </cfRule>
    <cfRule type="expression" dxfId="0" priority="2298"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8 GC10:GC12 GC156:GC1048576">
    <cfRule type="expression" dxfId="4" priority="2299" stopIfTrue="1">
      <formula>IF(LEN(GC4)&gt;0,1,0)</formula>
    </cfRule>
    <cfRule type="expression" dxfId="3" priority="2300" stopIfTrue="1">
      <formula>IF(VLOOKUP($GC$3,requiredAttributePTDMap,MATCH($A4,attributeMapFeedProductType,0)+1,FALSE)&gt;0,1,0)</formula>
    </cfRule>
    <cfRule type="expression" dxfId="2" priority="2301" stopIfTrue="1">
      <formula>IF(VLOOKUP($GC$3,optionalAttributePTDMap,MATCH($A4,attributeMapFeedProductType,0)+1,FALSE)&gt;0,1,0)</formula>
    </cfRule>
    <cfRule type="expression" dxfId="1" priority="2302" stopIfTrue="1">
      <formula>IF(VLOOKUP($GC$3,preferredAttributePTDMap,MATCH($A4,attributeMapFeedProductType,0)+1,FALSE)&gt;0,1,0)</formula>
    </cfRule>
    <cfRule type="expression" dxfId="0" priority="2303"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8 GD10:GD12 GD156:GD1048576">
    <cfRule type="expression" dxfId="4" priority="2304" stopIfTrue="1">
      <formula>IF(LEN(GD4)&gt;0,1,0)</formula>
    </cfRule>
    <cfRule type="expression" dxfId="3" priority="2305" stopIfTrue="1">
      <formula>IF(VLOOKUP($GD$3,requiredAttributePTDMap,MATCH($A4,attributeMapFeedProductType,0)+1,FALSE)&gt;0,1,0)</formula>
    </cfRule>
    <cfRule type="expression" dxfId="2" priority="2306" stopIfTrue="1">
      <formula>IF(VLOOKUP($GD$3,optionalAttributePTDMap,MATCH($A4,attributeMapFeedProductType,0)+1,FALSE)&gt;0,1,0)</formula>
    </cfRule>
    <cfRule type="expression" dxfId="1" priority="2307" stopIfTrue="1">
      <formula>IF(VLOOKUP($GD$3,preferredAttributePTDMap,MATCH($A4,attributeMapFeedProductType,0)+1,FALSE)&gt;0,1,0)</formula>
    </cfRule>
    <cfRule type="expression" dxfId="0" priority="2308"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8 GE10:GE12 GE156:GE1048576">
    <cfRule type="expression" dxfId="4" priority="2309" stopIfTrue="1">
      <formula>IF(LEN(GE4)&gt;0,1,0)</formula>
    </cfRule>
    <cfRule type="expression" dxfId="3" priority="2310" stopIfTrue="1">
      <formula>IF(VLOOKUP($GE$3,requiredAttributePTDMap,MATCH($A4,attributeMapFeedProductType,0)+1,FALSE)&gt;0,1,0)</formula>
    </cfRule>
    <cfRule type="expression" dxfId="2" priority="2311" stopIfTrue="1">
      <formula>IF(VLOOKUP($GE$3,optionalAttributePTDMap,MATCH($A4,attributeMapFeedProductType,0)+1,FALSE)&gt;0,1,0)</formula>
    </cfRule>
    <cfRule type="expression" dxfId="1" priority="2312" stopIfTrue="1">
      <formula>IF(VLOOKUP($GE$3,preferredAttributePTDMap,MATCH($A4,attributeMapFeedProductType,0)+1,FALSE)&gt;0,1,0)</formula>
    </cfRule>
    <cfRule type="expression" dxfId="0" priority="2313"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8 GF10:GF12 GF156:GF1048576">
    <cfRule type="expression" dxfId="4" priority="2314" stopIfTrue="1">
      <formula>IF(LEN(GF4)&gt;0,1,0)</formula>
    </cfRule>
    <cfRule type="expression" dxfId="3" priority="2315" stopIfTrue="1">
      <formula>IF(VLOOKUP($GF$3,requiredAttributePTDMap,MATCH($A4,attributeMapFeedProductType,0)+1,FALSE)&gt;0,1,0)</formula>
    </cfRule>
    <cfRule type="expression" dxfId="2" priority="2316" stopIfTrue="1">
      <formula>IF(VLOOKUP($GF$3,optionalAttributePTDMap,MATCH($A4,attributeMapFeedProductType,0)+1,FALSE)&gt;0,1,0)</formula>
    </cfRule>
    <cfRule type="expression" dxfId="1" priority="2317" stopIfTrue="1">
      <formula>IF(VLOOKUP($GF$3,preferredAttributePTDMap,MATCH($A4,attributeMapFeedProductType,0)+1,FALSE)&gt;0,1,0)</formula>
    </cfRule>
    <cfRule type="expression" dxfId="0" priority="2318"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8 GG10:GG12 GG156:GG1048576">
    <cfRule type="expression" dxfId="4" priority="2319" stopIfTrue="1">
      <formula>IF(LEN(GG4)&gt;0,1,0)</formula>
    </cfRule>
    <cfRule type="expression" dxfId="3" priority="2320" stopIfTrue="1">
      <formula>IF(VLOOKUP($GG$3,requiredAttributePTDMap,MATCH($A4,attributeMapFeedProductType,0)+1,FALSE)&gt;0,1,0)</formula>
    </cfRule>
    <cfRule type="expression" dxfId="2" priority="2321" stopIfTrue="1">
      <formula>IF(VLOOKUP($GG$3,optionalAttributePTDMap,MATCH($A4,attributeMapFeedProductType,0)+1,FALSE)&gt;0,1,0)</formula>
    </cfRule>
    <cfRule type="expression" dxfId="1" priority="2322" stopIfTrue="1">
      <formula>IF(VLOOKUP($GG$3,preferredAttributePTDMap,MATCH($A4,attributeMapFeedProductType,0)+1,FALSE)&gt;0,1,0)</formula>
    </cfRule>
    <cfRule type="expression" dxfId="0" priority="2323"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8 GH10:GH12 GH156:GH1048576">
    <cfRule type="expression" dxfId="4" priority="2324" stopIfTrue="1">
      <formula>IF(LEN(GH4)&gt;0,1,0)</formula>
    </cfRule>
    <cfRule type="expression" dxfId="3" priority="2325" stopIfTrue="1">
      <formula>IF(VLOOKUP($GH$3,requiredAttributePTDMap,MATCH($A4,attributeMapFeedProductType,0)+1,FALSE)&gt;0,1,0)</formula>
    </cfRule>
    <cfRule type="expression" dxfId="2" priority="2326" stopIfTrue="1">
      <formula>IF(VLOOKUP($GH$3,optionalAttributePTDMap,MATCH($A4,attributeMapFeedProductType,0)+1,FALSE)&gt;0,1,0)</formula>
    </cfRule>
    <cfRule type="expression" dxfId="1" priority="2327" stopIfTrue="1">
      <formula>IF(VLOOKUP($GH$3,preferredAttributePTDMap,MATCH($A4,attributeMapFeedProductType,0)+1,FALSE)&gt;0,1,0)</formula>
    </cfRule>
    <cfRule type="expression" dxfId="0" priority="2328"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8 GI10:GI12 GI156:GI1048576">
    <cfRule type="expression" dxfId="4" priority="2329" stopIfTrue="1">
      <formula>IF(LEN(GI4)&gt;0,1,0)</formula>
    </cfRule>
    <cfRule type="expression" dxfId="3" priority="2330" stopIfTrue="1">
      <formula>IF(VLOOKUP($GI$3,requiredAttributePTDMap,MATCH($A4,attributeMapFeedProductType,0)+1,FALSE)&gt;0,1,0)</formula>
    </cfRule>
    <cfRule type="expression" dxfId="2" priority="2331" stopIfTrue="1">
      <formula>IF(VLOOKUP($GI$3,optionalAttributePTDMap,MATCH($A4,attributeMapFeedProductType,0)+1,FALSE)&gt;0,1,0)</formula>
    </cfRule>
    <cfRule type="expression" dxfId="1" priority="2332" stopIfTrue="1">
      <formula>IF(VLOOKUP($GI$3,preferredAttributePTDMap,MATCH($A4,attributeMapFeedProductType,0)+1,FALSE)&gt;0,1,0)</formula>
    </cfRule>
    <cfRule type="expression" dxfId="0" priority="2333"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5:G8 G10:G95">
    <cfRule type="expression" dxfId="4" priority="1160" stopIfTrue="1">
      <formula>IF(LEN(G5)&gt;0,1,0)</formula>
    </cfRule>
    <cfRule type="expression" dxfId="3" priority="1161" stopIfTrue="1">
      <formula>IF(VLOOKUP($G$3,requiredAttributePTDMap,MATCH($A5,attributeMapFeedProductType,0)+1,FALSE)&gt;0,1,0)</formula>
    </cfRule>
    <cfRule type="expression" dxfId="2" priority="1162" stopIfTrue="1">
      <formula>IF(VLOOKUP($G$3,optionalAttributePTDMap,MATCH($A5,attributeMapFeedProductType,0)+1,FALSE)&gt;0,1,0)</formula>
    </cfRule>
    <cfRule type="expression" dxfId="1" priority="1163" stopIfTrue="1">
      <formula>IF(VLOOKUP($G$3,preferredAttributePTDMap,MATCH($A5,attributeMapFeedProductType,0)+1,FALSE)&gt;0,1,0)</formula>
    </cfRule>
    <cfRule type="expression" dxfId="0" priority="116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8 H10:H95">
    <cfRule type="expression" dxfId="4" priority="1085" stopIfTrue="1">
      <formula>IF(LEN(H5)&gt;0,1,0)</formula>
    </cfRule>
    <cfRule type="expression" dxfId="3" priority="1086" stopIfTrue="1">
      <formula>IF(VLOOKUP($H$3,requiredAttributePTDMap,MATCH($A5,attributeMapFeedProductType,0)+1,FALSE)&gt;0,1,0)</formula>
    </cfRule>
    <cfRule type="expression" dxfId="2" priority="1087" stopIfTrue="1">
      <formula>IF(VLOOKUP($H$3,optionalAttributePTDMap,MATCH($A5,attributeMapFeedProductType,0)+1,FALSE)&gt;0,1,0)</formula>
    </cfRule>
    <cfRule type="expression" dxfId="1" priority="1088" stopIfTrue="1">
      <formula>IF(VLOOKUP($H$3,preferredAttributePTDMap,MATCH($A5,attributeMapFeedProductType,0)+1,FALSE)&gt;0,1,0)</formula>
    </cfRule>
    <cfRule type="expression" dxfId="0" priority="1089"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L5:L8 L10:L95">
    <cfRule type="expression" dxfId="4" priority="1155" stopIfTrue="1">
      <formula>IF(LEN(L5)&gt;0,1,0)</formula>
    </cfRule>
    <cfRule type="expression" dxfId="3" priority="1156" stopIfTrue="1">
      <formula>IF(VLOOKUP($BC$3,requiredAttributePTDMap,MATCH($A5,attributeMapFeedProductType,0)+1,FALSE)&gt;0,1,0)</formula>
    </cfRule>
    <cfRule type="expression" dxfId="2" priority="1157" stopIfTrue="1">
      <formula>IF(VLOOKUP($BC$3,optionalAttributePTDMap,MATCH($A5,attributeMapFeedProductType,0)+1,FALSE)&gt;0,1,0)</formula>
    </cfRule>
    <cfRule type="expression" dxfId="1" priority="1158" stopIfTrue="1">
      <formula>IF(VLOOKUP($BC$3,preferredAttributePTDMap,MATCH($A5,attributeMapFeedProductType,0)+1,FALSE)&gt;0,1,0)</formula>
    </cfRule>
    <cfRule type="expression" dxfId="0" priority="1159"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AB5:AB8 AB10:AB95">
    <cfRule type="expression" dxfId="4" priority="1274" stopIfTrue="1">
      <formula>IF(LEN(AB5)&gt;0,1,0)</formula>
    </cfRule>
    <cfRule type="expression" dxfId="3" priority="1275" stopIfTrue="1">
      <formula>IF(VLOOKUP($J$3,requiredAttributePTDMap,MATCH($A5,attributeMapFeedProductType,0)+1,FALSE)&gt;0,1,0)</formula>
    </cfRule>
    <cfRule type="expression" dxfId="2" priority="1276" stopIfTrue="1">
      <formula>IF(VLOOKUP($J$3,optionalAttributePTDMap,MATCH($A5,attributeMapFeedProductType,0)+1,FALSE)&gt;0,1,0)</formula>
    </cfRule>
    <cfRule type="expression" dxfId="1" priority="1277" stopIfTrue="1">
      <formula>IF(VLOOKUP($J$3,preferredAttributePTDMap,MATCH($A5,attributeMapFeedProductType,0)+1,FALSE)&gt;0,1,0)</formula>
    </cfRule>
    <cfRule type="expression" dxfId="0" priority="1278"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AE5:AE8 AE10:AE95 AE156:AE1048576">
    <cfRule type="expression" dxfId="4" priority="1475" stopIfTrue="1">
      <formula>IF(LEN(AE5)&gt;0,1,0)</formula>
    </cfRule>
    <cfRule type="expression" dxfId="3" priority="1476" stopIfTrue="1">
      <formula>IF(VLOOKUP($AE$3,requiredAttributePTDMap,MATCH($A5,attributeMapFeedProductType,0)+1,FALSE)&gt;0,1,0)</formula>
    </cfRule>
    <cfRule type="expression" dxfId="2" priority="1477" stopIfTrue="1">
      <formula>IF(VLOOKUP($AE$3,optionalAttributePTDMap,MATCH($A5,attributeMapFeedProductType,0)+1,FALSE)&gt;0,1,0)</formula>
    </cfRule>
    <cfRule type="expression" dxfId="1" priority="1478" stopIfTrue="1">
      <formula>IF(VLOOKUP($AE$3,preferredAttributePTDMap,MATCH($A5,attributeMapFeedProductType,0)+1,FALSE)&gt;0,1,0)</formula>
    </cfRule>
    <cfRule type="expression" dxfId="0" priority="1479"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I5:AK12">
    <cfRule type="expression" dxfId="4" priority="70" stopIfTrue="1">
      <formula>IF(LEN(AI5)&gt;0,1,0)</formula>
    </cfRule>
    <cfRule type="expression" dxfId="3" priority="71" stopIfTrue="1">
      <formula>IF(VLOOKUP($AJ$3,requiredAttributePTDMap,MATCH($A5,attributeMapFeedProductType,0)+1,FALSE)&gt;0,1,0)</formula>
    </cfRule>
    <cfRule type="expression" dxfId="2" priority="72" stopIfTrue="1">
      <formula>IF(VLOOKUP($AJ$3,optionalAttributePTDMap,MATCH($A5,attributeMapFeedProductType,0)+1,FALSE)&gt;0,1,0)</formula>
    </cfRule>
    <cfRule type="expression" dxfId="1" priority="73" stopIfTrue="1">
      <formula>IF(VLOOKUP($AJ$3,preferredAttributePTDMap,MATCH($A5,attributeMapFeedProductType,0)+1,FALSE)&gt;0,1,0)</formula>
    </cfRule>
    <cfRule type="expression" dxfId="0" priority="74"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BA5:BA8 BA10:BA95">
    <cfRule type="expression" dxfId="4" priority="1289" stopIfTrue="1">
      <formula>IF(LEN(BA5)&gt;0,1,0)</formula>
    </cfRule>
    <cfRule type="expression" dxfId="3" priority="1290" stopIfTrue="1">
      <formula>IF(VLOOKUP($H$3,requiredAttributePTDMap,MATCH($A5,attributeMapFeedProductType,0)+1,FALSE)&gt;0,1,0)</formula>
    </cfRule>
    <cfRule type="expression" dxfId="2" priority="1291" stopIfTrue="1">
      <formula>IF(VLOOKUP($H$3,optionalAttributePTDMap,MATCH($A5,attributeMapFeedProductType,0)+1,FALSE)&gt;0,1,0)</formula>
    </cfRule>
    <cfRule type="expression" dxfId="1" priority="1292" stopIfTrue="1">
      <formula>IF(VLOOKUP($H$3,preferredAttributePTDMap,MATCH($A5,attributeMapFeedProductType,0)+1,FALSE)&gt;0,1,0)</formula>
    </cfRule>
    <cfRule type="expression" dxfId="0" priority="1293"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BF5:BK5 BG6:BH8 BI6:BK12 BG10:BH12 BF6:BF12 BF13:BK95 BG9">
    <cfRule type="expression" dxfId="4" priority="1175" stopIfTrue="1">
      <formula>IF(LEN(BF5)&gt;0,1,0)</formula>
    </cfRule>
  </conditionalFormatting>
  <conditionalFormatting sqref="BH5:BH8 BH10:BH95">
    <cfRule type="expression" dxfId="3" priority="1184" stopIfTrue="1">
      <formula>IF(VLOOKUP($BO$3,requiredAttributePTDMap,MATCH($A5,attributeMapFeedProductType,0)+1,FALSE)&gt;0,1,0)</formula>
    </cfRule>
    <cfRule type="expression" dxfId="2" priority="1185" stopIfTrue="1">
      <formula>IF(VLOOKUP($BO$3,optionalAttributePTDMap,MATCH($A5,attributeMapFeedProductType,0)+1,FALSE)&gt;0,1,0)</formula>
    </cfRule>
    <cfRule type="expression" dxfId="1" priority="1186" stopIfTrue="1">
      <formula>IF(VLOOKUP($BO$3,preferredAttributePTDMap,MATCH($A5,attributeMapFeedProductType,0)+1,FALSE)&gt;0,1,0)</formula>
    </cfRule>
    <cfRule type="expression" dxfId="0" priority="1187"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CM5:CM8 CM10:CM95">
    <cfRule type="expression" dxfId="4" priority="1225" stopIfTrue="1">
      <formula>IF(LEN(CM5)&gt;0,1,0)</formula>
    </cfRule>
    <cfRule type="expression" dxfId="3" priority="1226" stopIfTrue="1">
      <formula>IF(VLOOKUP($J$3,requiredAttributePTDMap,MATCH($A5,attributeMapFeedProductType,0)+1,FALSE)&gt;0,1,0)</formula>
    </cfRule>
    <cfRule type="expression" dxfId="2" priority="1227" stopIfTrue="1">
      <formula>IF(VLOOKUP($J$3,optionalAttributePTDMap,MATCH($A5,attributeMapFeedProductType,0)+1,FALSE)&gt;0,1,0)</formula>
    </cfRule>
    <cfRule type="expression" dxfId="1" priority="1228" stopIfTrue="1">
      <formula>IF(VLOOKUP($J$3,preferredAttributePTDMap,MATCH($A5,attributeMapFeedProductType,0)+1,FALSE)&gt;0,1,0)</formula>
    </cfRule>
    <cfRule type="expression" dxfId="0" priority="1229"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CQ5:CQ8 CQ10">
    <cfRule type="expression" dxfId="4" priority="1150" stopIfTrue="1">
      <formula>IF(LEN(CQ5)&gt;0,1,0)</formula>
    </cfRule>
    <cfRule type="expression" dxfId="3" priority="1151" stopIfTrue="1">
      <formula>IF(VLOOKUP($CO$3,requiredAttributePTDMap,MATCH($A5,attributeMapFeedProductType,0)+1,FALSE)&gt;0,1,0)</formula>
    </cfRule>
    <cfRule type="expression" dxfId="2" priority="1152" stopIfTrue="1">
      <formula>IF(VLOOKUP($CO$3,optionalAttributePTDMap,MATCH($A5,attributeMapFeedProductType,0)+1,FALSE)&gt;0,1,0)</formula>
    </cfRule>
    <cfRule type="expression" dxfId="1" priority="1153" stopIfTrue="1">
      <formula>IF(VLOOKUP($CO$3,preferredAttributePTDMap,MATCH($A5,attributeMapFeedProductType,0)+1,FALSE)&gt;0,1,0)</formula>
    </cfRule>
    <cfRule type="expression" dxfId="0" priority="1154"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R5:CR8 CR10">
    <cfRule type="expression" dxfId="4" priority="1120" stopIfTrue="1">
      <formula>IF(LEN(CR5)&gt;0,1,0)</formula>
    </cfRule>
    <cfRule type="expression" dxfId="3" priority="1121" stopIfTrue="1">
      <formula>IF(VLOOKUP($CP$3,requiredAttributePTDMap,MATCH($A5,attributeMapFeedProductType,0)+1,FALSE)&gt;0,1,0)</formula>
    </cfRule>
    <cfRule type="expression" dxfId="2" priority="1122" stopIfTrue="1">
      <formula>IF(VLOOKUP($CP$3,optionalAttributePTDMap,MATCH($A5,attributeMapFeedProductType,0)+1,FALSE)&gt;0,1,0)</formula>
    </cfRule>
    <cfRule type="expression" dxfId="1" priority="1123" stopIfTrue="1">
      <formula>IF(VLOOKUP($CP$3,preferredAttributePTDMap,MATCH($A5,attributeMapFeedProductType,0)+1,FALSE)&gt;0,1,0)</formula>
    </cfRule>
    <cfRule type="expression" dxfId="0" priority="1124"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S5:CS8 CS10:CS95">
    <cfRule type="expression" dxfId="4" priority="1105" stopIfTrue="1">
      <formula>IF(LEN(CS5)&gt;0,1,0)</formula>
    </cfRule>
    <cfRule type="expression" dxfId="3" priority="1106" stopIfTrue="1">
      <formula>IF(VLOOKUP($CQ$3,requiredAttributePTDMap,MATCH($A5,attributeMapFeedProductType,0)+1,FALSE)&gt;0,1,0)</formula>
    </cfRule>
    <cfRule type="expression" dxfId="2" priority="1107" stopIfTrue="1">
      <formula>IF(VLOOKUP($CQ$3,optionalAttributePTDMap,MATCH($A5,attributeMapFeedProductType,0)+1,FALSE)&gt;0,1,0)</formula>
    </cfRule>
    <cfRule type="expression" dxfId="1" priority="1108" stopIfTrue="1">
      <formula>IF(VLOOKUP($CQ$3,preferredAttributePTDMap,MATCH($A5,attributeMapFeedProductType,0)+1,FALSE)&gt;0,1,0)</formula>
    </cfRule>
    <cfRule type="expression" dxfId="0" priority="1109"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U5:CU8 CU10:CU95">
    <cfRule type="expression" dxfId="4" priority="1100" stopIfTrue="1">
      <formula>IF(LEN(CU5)&gt;0,1,0)</formula>
    </cfRule>
    <cfRule type="expression" dxfId="3" priority="1101" stopIfTrue="1">
      <formula>IF(VLOOKUP($CS$3,requiredAttributePTDMap,MATCH($A5,attributeMapFeedProductType,0)+1,FALSE)&gt;0,1,0)</formula>
    </cfRule>
    <cfRule type="expression" dxfId="2" priority="1102" stopIfTrue="1">
      <formula>IF(VLOOKUP($CS$3,optionalAttributePTDMap,MATCH($A5,attributeMapFeedProductType,0)+1,FALSE)&gt;0,1,0)</formula>
    </cfRule>
    <cfRule type="expression" dxfId="1" priority="1103" stopIfTrue="1">
      <formula>IF(VLOOKUP($CS$3,preferredAttributePTDMap,MATCH($A5,attributeMapFeedProductType,0)+1,FALSE)&gt;0,1,0)</formula>
    </cfRule>
    <cfRule type="expression" dxfId="0" priority="1104"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AC6:AC8 AC10:AC15 AC156:AC1048576">
    <cfRule type="expression" dxfId="4" priority="1465" stopIfTrue="1">
      <formula>IF(LEN(AC6)&gt;0,1,0)</formula>
    </cfRule>
    <cfRule type="expression" dxfId="3" priority="1466" stopIfTrue="1">
      <formula>IF(VLOOKUP($AC$3,requiredAttributePTDMap,MATCH($A6,attributeMapFeedProductType,0)+1,FALSE)&gt;0,1,0)</formula>
    </cfRule>
    <cfRule type="expression" dxfId="2" priority="1467" stopIfTrue="1">
      <formula>IF(VLOOKUP($AC$3,optionalAttributePTDMap,MATCH($A6,attributeMapFeedProductType,0)+1,FALSE)&gt;0,1,0)</formula>
    </cfRule>
    <cfRule type="expression" dxfId="1" priority="1468" stopIfTrue="1">
      <formula>IF(VLOOKUP($AC$3,preferredAttributePTDMap,MATCH($A6,attributeMapFeedProductType,0)+1,FALSE)&gt;0,1,0)</formula>
    </cfRule>
    <cfRule type="expression" dxfId="0" priority="1469" stopIfTrue="1">
      <formula>AND(IF(IFERROR(VLOOKUP($AC$3,requiredAttributePTDMap,MATCH($A6,attributeMapFeedProductType,0)+1,FALSE),0)&gt;0,0,1),IF(IFERROR(VLOOKUP($AC$3,optionalAttributePTDMap,MATCH($A6,attributeMapFeedProductType,0)+1,FALSE),0)&gt;0,0,1),IF(IFERROR(VLOOKUP($AC$3,preferredAttributePTDMap,MATCH($A6,attributeMapFeedProductType,0)+1,FALSE),0)&gt;0,0,1),IF(IFERROR(MATCH($A6,attributeMapFeedProductType,0),0)&gt;0,1,0))</formula>
    </cfRule>
  </conditionalFormatting>
  <dataValidations count="200">
    <dataValidation allowBlank="1" showInputMessage="1" prompt="Seleziona dall'elenco di valori validi." sqref="A2 AU2 AX2 BC2 CP2 EN2 FL2"/>
    <dataValidation allowBlank="1" showInputMessage="1" prompt="Numero identificativo univoco. Se non inserisci lo SKU, Amazon ne assegnerà uno al prodotto automaticamente." sqref="B2"/>
    <dataValidation allowBlank="1" showInputMessage="1" prompt="Stringa alfanumerica. Può essere lunga da 1 a 50 caratteri." sqref="C2"/>
    <dataValidation allowBlank="1" showInputMessage="1" prompt="Una stringa alfanumerica con un massimo di 100 caratteri." sqref="D2"/>
    <dataValidation allowBlank="1" showInputMessage="1" prompt="Il tipo di codice univoco inserito nel campo Product ID. Se viene compilato, questo campo è obbligatorio." sqref="E2"/>
    <dataValidation allowBlank="1" showInputMessage="1" prompt="Stringa alfanumerica. Può essere lunga da 1 a 200 caratteri.&#10;&#10;Per gli SKU &quot;parent&quot;:&#10;[Marca]+[Sesso/Gruppo di età]+[Linea articolo]+[Materiale*]+[Tipo di calzatura]&#10;&#10;Per gli SKU &quot;child&quot;: &#10;[Marca]+[Sesso/Gruppo di età]+[Linea articolo]+[Colore]+[Material..." sqref="F2"/>
    <dataValidation allowBlank="1" showInputMessage="1" prompt="Stringa di testo di massimo 2000 caratteri. Nota: caratteri ASCII in apice di tipo 1 (®, ©, ™, ecc.) o altri caratteri speciali non sono supportati." sqref="G2"/>
    <dataValidation allowBlank="1" showInputMessage="1" prompt="Testo (massimo 50 caratteri). I tag HTML e i caratteri ASCII estesi di tipo 1 non presenti su una tastiera standard (p. es. ®, ©, ™ ecc.) non sono supportati." sqref="H2"/>
    <dataValidation allowBlank="1" showInputMessage="1" prompt="Nodo della struttura di navigazione Amazon." sqref="I2"/>
    <dataValidation allowBlank="1" showInputMessage="1" prompt="Seleziona un valore dall'elenco dei valori validi." sqref="J2 AZ2 BN2 BP2 BT2 CM2"/>
    <dataValidation allowBlank="1" showInputMessage="1" prompt="Come da Regolamento Europeo del Settore Tessile, per favore inserisca la valida e legale composizione tessile della fodera, per esempio 80% Cotone, 20% Viscosa (la somma delle percentuali deve raggiungere il 100%). Nel caso in cui il prodotto non avess..." sqref="K2"/>
    <dataValidation allowBlank="1" showInputMessage="1" prompt="Una stringa alfanumerica composta da un massimo di 100 caratteri." sqref="L2"/>
    <dataValidation allowBlank="1" showInputMessage="1" prompt="Stringa alfanumerica" sqref="M2"/>
    <dataValidation allowBlank="1" showInputMessage="1" prompt="Valutazione dello scomparto più ampio del congelatore." sqref="N2"/>
    <dataValidation allowBlank="1" showInputMessage="1" sqref="O2:P2 BS2 BU2:CD2 CI2 CO2 CX2 ED2 EF2:EG2 FJ2 B4 BA4 B51:B84 B156:B1048576 D156:D1048576 K4:K12 K156:K1048576 M4:M12 M156:M1048576 O4:O12 O156:O1048576 AB5:AB95 AH13:AH95 AV4:AV95 AV156:AV1048576 BB4:BB95 BM4:BM95 BM156:BM1048576 BU4:BU12 BU156:BU1048576 CB4:CB47 CD4:CD12 CD156:CD1048576 CF4:CF12 CF156:CF1048576 CK4:CK12 CK156:CK1048576 CM5:CM95 CO4:CO12 CO156:CO1048576 CU4:CU95 CU156:CU1048576 DN4:DN12 DN156:DN1048576 DP4:DP12 DP156:DP1048576 EA4:EA12 EA156:EA1048576 EC4:EC12 FB4:FB12 FB156:FB1048576 F156:H1048576 G4:H95 V4:W95 ED4:EE95 V156:W1048576 AF4:AT12 AF156:AT1048576 BA156:BB1048576 DK156:DL1048576 EY156:EZ1048576 FI156:FJ1048576 FM156:FN1048576 BD4:BE12 BD156:BK1048576 BF4:BK95 BW4:CA12 BW156:CB1048576 CQ4:CS95 CQ156:CS1048576 FE156:FG1048576 DF4:DI12 DF156:DI1048576 DK4:DL12 EY4:EZ12 FI4:FJ12 FM4:FN12 DW4:DY12 DW156:DY1048576 EC156:EE1048576 EO4:EU12 EO156:EU1048576 EP13:ER95 FE4:FG12 FP4:FY12 FP156:FY1048576 GA4:GH12 GA156:GH1048576"/>
    <dataValidation allowBlank="1" showInputMessage="1" prompt="Indica il linguaggio utilizzato per la codifica" sqref="Q2:U2"/>
    <dataValidation allowBlank="1" showInputMessage="1" prompt="Numero composto da un massimo di dieci cifre a sinistra del simbolo decimale e da un massimo di due a destra di questo. Utilizzare il punto come separatore decimale." sqref="V2"/>
    <dataValidation allowBlank="1" showInputMessage="1" prompt="Un numero intero positivo." sqref="W2 EO2 FG2"/>
    <dataValidation allowBlank="1" showInputMessage="1" prompt="Selezionare una delle seguenti opzioni: Femmina, Maschio, Unisex" sqref="X2"/>
    <dataValidation allowBlank="1" showInputMessage="1" prompt="Selezionare una delle seguenti opzioni:Adulto, Bambino, Neonato" sqref="Y2"/>
    <dataValidation allowBlank="1" showInputMessage="1" prompt="Le taglie devono essere indicate secondo il sistema specifico utilizzato nel Paese indicato e possono differire dalla taglia sull'etichetta." sqref="Z2"/>
    <dataValidation allowBlank="1" showInputMessage="1" prompt="Inserisci it formato di taglia utilizzato." sqref="AA2"/>
    <dataValidation allowBlank="1" showInputMessage="1" prompt="Inserisci il valore della taglia in base al sistema e al formato di taglie utilizzato." sqref="AB2"/>
    <dataValidation allowBlank="1" showInputMessage="1" prompt="Se si usa un intervallo di taglie, inserire il limite superiore (valore più alto) in base al sistema e al formato di taglie utilizzato. Il valore deve essere maggiore del valore della dimensione." sqref="AC2"/>
    <dataValidation allowBlank="1" showInputMessage="1" prompt="Inserisci il tipo di corporatura per cui l'abito è realizzato. Nessun tipo di corporatura speciale, scegli &quot;Regular&quot;." sqref="AD2"/>
    <dataValidation allowBlank="1" showInputMessage="1" prompt="Inserisci l'altezza per cui l'abito è realizzato. Nessun l'altezza per cui l'abito  speciale, scegli &quot;Regular&quot;." sqref="AE2"/>
    <dataValidation allowBlank="1" showInputMessage="1" prompt="Le immagini devono avere una risoluzione minima di 1000x1200 pixel e il lato più lungo deve misurare almeno 1000 pixel. Il formato deve essere preferibilmente JPEG (.jpg). L'URL deve includere la parte iniziale (es. http://) e deve essere valido. Il no..." sqref="AF2"/>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AG2:AN2"/>
    <dataValidation allowBlank="1" showInputMessage="1" prompt="Un URL valido del sito web esterno in cui è disponibile l'immagine, incluse le parti iniziali &quot;http://&quot; e PS01 (il nome della variante dell'immagine). L'URL fa distinzione tra maiuscole e minuscole, quindi verifica di utilizzarle in modo corretto ed ev..." sqref="AO2"/>
    <dataValidation allowBlank="1" showInputMessage="1" prompt="Un URL valido del sito web esterno in cui è disponibile l'immagine, incluse le parti iniziali &quot;http://&quot; e PS02 (il nome della variante dell'immagine). L'URL fa distinzione tra maiuscole e minuscole, quindi verifica di utilizzarle in modo corretto ed ev..." sqref="AP2"/>
    <dataValidation allowBlank="1" showInputMessage="1" prompt="Un URL valido del sito web esterno in cui è disponibile l'immagine, incluse le parti iniziali &quot;http://&quot; e PS03 (il nome della variante dell'immagine). L'URL fa distinzione tra maiuscole e minuscole, quindi verifica di utilizzarle in modo corretto ed ev..." sqref="AQ2"/>
    <dataValidation allowBlank="1" showInputMessage="1" prompt="Un URL valido del sito web esterno in cui è disponibile l'immagine, incluse le parti iniziali &quot;http://&quot; e PS04 (il nome della variante dell'immagine). L'URL fa distinzione tra maiuscole e minuscole, quindi verifica di utilizzarle in modo corretto ed ev..." sqref="AR2"/>
    <dataValidation allowBlank="1" showInputMessage="1" prompt="Un URL valido del sito web esterno in cui è disponibile l'immagine, incluse le parti iniziali &quot;http://&quot; e PS05 (il nome della variante dell'immagine). L'URL fa distinzione tra maiuscole e minuscole, quindi verifica di utilizzarle in modo corretto ed ev..." sqref="AS2"/>
    <dataValidation allowBlank="1" showInputMessage="1" prompt="Un URL valido del sito web esterno in cui è disponibile l'immagine, incluse le parti iniziali &quot;http://&quot; e PS06 (il nome della variante dell'immagine). L'URL fa distinzione tra maiuscole e minuscole, quindi verifica di utilizzarle in modo corretto ed ev..." sqref="AT2"/>
    <dataValidation allowBlank="1" showInputMessage="1" prompt="Una stringa alfanumerica con un massimo di 40 caratteri." sqref="AV2"/>
    <dataValidation allowBlank="1" showInputMessage="1" prompt="Fornire il tipo di relazione" sqref="AW2"/>
    <dataValidation allowBlank="1" showInputMessage="1" prompt="Inserire &quot;Unità&quot; se il prodotto è l'aggregazione più piccola vendibile singolarmente.&quot;Cassa&quot; per creare un prodotto contente più Unità.&quot;Pacco Principale&quot; per creare un prodotto contente più Casse.Se cassa coincide con pacco principale, inserire &quot;Cassa&quot;" sqref="AY2"/>
    <dataValidation allowBlank="1" showInputMessage="1" prompt="Stringa di testo alfanumerica di minimo 1 carattere e massimo 50 caratteri. Anche se il tuo articolo è disponibile in diversi colori, immetti un solo record per ciascun articolo." sqref="BA2"/>
    <dataValidation allowBlank="1" showInputMessage="1" prompt="Stringa alfanumerica che descrive in dettaglio le dimensioni dell'articolo che il cliente può scegliere al momento dell'acquisto.  Deve includere dimensioni, larghezza, sistema di taglie, sesso (e gruppo di età appropriato per le scarpe da bambino). Pe..." sqref="BB2"/>
    <dataValidation allowBlank="1" showInputMessage="1" prompt="Numero di elementi presenti nel livello di aggregazione indicato nella colonna precedente (Se selezionato &quot;Cassa&quot; indicare il numero di &quot;Unità&quot; contenute nella cassa, se &quot;Pacco Principale&quot; indicare il numero di &quot;Casse&quot; presenti nel pacco principale)" sqref="BD2"/>
    <dataValidation allowBlank="1" showInputMessage="1" prompt="Questo attributo indica gli attributi presenti nella confezione del prodotto" sqref="BE2"/>
    <dataValidation allowBlank="1" showInputMessage="1" prompt="Termini di ricerca che descrivano il tuo prodotto: senza ripetizioni, marchi di competitors o ASIN" sqref="BF2"/>
    <dataValidation allowBlank="1" showInputMessage="1" prompt="Stringa alfanumerica con un massimo di 500 caratteri per ogni punto elenco. Non inserire un oggetto punto elenco, ma solo il testo usato per descrivere l'articolo. Nota: caratteri ASCII in apice di tipo 1 (®, ©, ™, ecc.) o altri caratteri speciali non ..." sqref="BG2:BK2"/>
    <dataValidation allowBlank="1" showInputMessage="1" prompt="Seleziona un valore dalla scheda Valori validi." sqref="BL2 BO2 BQ2 CG2 CN2"/>
    <dataValidation allowBlank="1" showInputMessage="1" prompt="Select a value from the Valid Values worksheet." sqref="BM2"/>
    <dataValidation allowBlank="1" showInputMessage="1" prompt="Indica se gli articoli sono o meno firmati." sqref="BR2"/>
    <dataValidation allowBlank="1" showInputMessage="1" prompt="Specifica la frequenza di disponibilità prevista dell’articolo" sqref="CE2"/>
    <dataValidation allowBlank="1" showInputMessage="1" prompt="La data in cui un fornitore deve ricevere un ordine di acquisto per poter consegnare le merci ad Amazon in una data specifica (AAAAMMGG)" sqref="CF2"/>
    <dataValidation allowBlank="1" showInputMessage="1" prompt="Indica i canali di vendita richiesti per il prodotto. Questo canale di vendita si basa sul fatto che il prodotto sia considerato un dispositivo medico dal Regolamento sui dispositivi medici della Commissione europea [MDR] o dal Regolamento sui disposit..." sqref="CH2"/>
    <dataValidation allowBlank="1" showInputMessage="1" prompt="Fornire l'unità di misura del periodo di validità FC" sqref="CJ2"/>
    <dataValidation allowBlank="1" showInputMessage="1" prompt="Numero composto da un massimo di dieci cifre a sinistra del simbolo decimale e da un massimo di due a destra di quest'ultimo. Non usare virgole." sqref="CK2"/>
    <dataValidation allowBlank="1" showInputMessage="1" prompt="Selezionare una delle seguenti opzioni: &#10;GR&#10;KG" sqref="CL2"/>
    <dataValidation allowBlank="1" showInputMessage="1" prompt="Numero composto da un massimo di dieci cifre a sinistra del simbolo decimale e da un massimo di due a destra di quest'ultimo." sqref="CQ2:CS2"/>
    <dataValidation allowBlank="1" showInputMessage="1" prompt="Seleziona uno dei seguenti valori: &#10;MM&#10;CM&#10;M" sqref="CT2"/>
    <dataValidation allowBlank="1" showInputMessage="1" prompt="Numero composto da un massimo di dieci cifre a sinistra del simbolo decimale e da un massimo di due a destra di questo." sqref="CU2"/>
    <dataValidation allowBlank="1" showInputMessage="1" prompt="Seleziona uno dei seguenti valori: &#10;GR&#10;KG" sqref="CV2"/>
    <dataValidation allowBlank="1" showInputMessage="1" prompt="Seleziona un valore dall'elenco dei valori validi.&#10;" sqref="CW2"/>
    <dataValidation allowBlank="1" showInputMessage="1" prompt="Seleziona l'opzione che indica il paese/regione da cui proviene il prodotto." sqref="CY2"/>
    <dataValidation allowBlank="1" showInputMessage="1" prompt="Seleziona una delle seguenti opzioni: VERO o FALSO" sqref="CZ2:DA2 EW2"/>
    <dataValidation allowBlank="1" showInputMessage="1" prompt="Seleziona un valore dall'elenco dei valori validi.n" sqref="DB2"/>
    <dataValidation allowBlank="1" showInputMessage="1" prompt="Seleziona un'opzione nel foglio di lavoro Valori validi" sqref="DC2:DE2"/>
    <dataValidation allowBlank="1" showInputMessage="1" prompt="Numero intero." sqref="DF2:DH2 EU2"/>
    <dataValidation allowBlank="1" showInputMessage="1" prompt="Numero di massimo 10 cifre e 2 decimali." sqref="DI2"/>
    <dataValidation allowBlank="1" showInputMessage="1" prompt="Peso batteria." sqref="DJ2"/>
    <dataValidation allowBlank="1" showInputMessage="1" prompt="Numero totale di celle di litio (metallo) contenute nel prodotto, laddove le celle non sono inserite in una batteria rivestita." sqref="DK2"/>
    <dataValidation allowBlank="1" showInputMessage="1" prompt="Numero totale di celle di litio (ioni) contenute nel prodotto, laddove le celle non sono inserite in una batteria rivestita." sqref="DL2"/>
    <dataValidation allowBlank="1" showInputMessage="1" prompt="Seleziona dai valori indicati." sqref="DM2"/>
    <dataValidation allowBlank="1" showInputMessage="1" prompt="Contenuto energetico in Watt-ora (Wh) di tutte le batterie o celle a ioni di litio." sqref="DN2"/>
    <dataValidation allowBlank="1" showInputMessage="1" prompt="Selezionare l'unità di misura del contenuto energetico della batteria a litio. Se si utilizzano contenuti energetici della batteria a litio, è necessario inserire anche la relativa unità di misura." sqref="DO2"/>
    <dataValidation allowBlank="1" showInputMessage="1" prompt="Peso in grammi del litio contenuto nella batteria" sqref="DP2"/>
    <dataValidation allowBlank="1" showInputMessage="1" prompt="Unità di misura per definire il peso della batteria al litio." sqref="DQ2"/>
    <dataValidation allowBlank="1" showInputMessage="1" prompt="Selezionare la risposta attinente dal menu a tendina." sqref="DR2:DV2"/>
    <dataValidation allowBlank="1" showInputMessage="1" prompt="Generalmente incluso nella scheda di dati di sicurezza o fornito dal produttore/distributore. Per maggiori informazioni, consulta le pagine di aiuto." sqref="DW2"/>
    <dataValidation allowBlank="1" showInputMessage="1" prompt="Contiene il collegamento al SDS (Scheda Dati di Sicurezza) in hosting esterno di un dato articolo" sqref="DX2"/>
    <dataValidation allowBlank="1" showInputMessage="1" prompt="Numero contenente fino a 10 cifre a sinistra del separatore decimale e 2 cifre a destra del separatore decimale. Non utilizzare virgole." sqref="DY2 EA2"/>
    <dataValidation allowBlank="1" showInputMessage="1" prompt="Unità di misura utilizzata per descrivere il peso del prodotto, espressa in grammi, chilogrammi, once o libbre. Non inserire il peso effettivo, che sarà recuperato nel campo &quot;item-weight&quot;" sqref="DZ2"/>
    <dataValidation allowBlank="1" showInputMessage="1" prompt="Seleziona un'opzione nel foglio di lavoro &quot;&quot;Valori validi&quot;&quot;" sqref="EB2"/>
    <dataValidation allowBlank="1" showInputMessage="1" prompt="Indica l'identificativo dell'indirizzo e-mail del responsabile. Si tratta delle informazioni di contatto del responsabile memorizzate nel relativo registro." sqref="EC2"/>
    <dataValidation allowBlank="1" showInputMessage="1" prompt="Un numero composto da massimo di 10 cifre a sinistra e 2 cifre a destra destra del separatore decimale. Non utilizzare virgole." sqref="EE2"/>
    <dataValidation allowBlank="1" showInputMessage="1" prompt="Specifica se il prodotto contiene uno dei materiali soggetti a regolamentazione. Seleziona tutto ciò che è applicabile se no scegli non applicabile." sqref="EH2:EJ2"/>
    <dataValidation allowBlank="1" showInputMessage="1" prompt="Generalmente incluso nella scheda di dati di sicurezza o sulla confezione del prodotto." sqref="EK2:EM2"/>
    <dataValidation allowBlank="1" showInputMessage="1" prompt="Numero composto da un massimo di dieci cifre a sinistra del simbolo decimale e da un massimo di due a destra di questo. " sqref="EP2"/>
    <dataValidation allowBlank="1" showInputMessage="1" prompt="Una data nel formato formato aaaa-mm-gg." sqref="EQ2:ER2"/>
    <dataValidation allowBlank="1" showInputMessage="1" prompt="Numero intero positivo." sqref="ES2:ET2"/>
    <dataValidation allowBlank="1" showInputMessage="1" prompt="Seleziona una delle seguenti opzioni: TRUE (VERO) o FALSE (FALSO)" sqref="EV2"/>
    <dataValidation allowBlank="1" showInputMessage="1" prompt="Seleziona True o False" sqref="EX2"/>
    <dataValidation allowBlank="1" showInputMessage="1" prompt="Si tratta della data in cui i clienti inizieranno a visualizzare questo prodotto su Amazon." sqref="EY2"/>
    <dataValidation allowBlank="1" showInputMessage="1" prompt="Questo campo viene utilizzato per impostare l'ordine arretrato e si tratta della data in cui i prodotti acquistati come ordine arretrato saranno disponibili per la spedizione ai clienti." sqref="EZ2"/>
    <dataValidation allowBlank="1" showInputMessage="1" prompt="Prodotto soggetto a scadenza" sqref="FA2"/>
    <dataValidation allowBlank="1" showInputMessage="1" prompt="Questo campo viene utilizzato per impostare il preordine e si tratta della data a partire dalla quale il prodotto acquistato in preordine sarà disponibile per essere spedito ai clienti." sqref="FB2"/>
    <dataValidation allowBlank="1" showInputMessage="1" prompt="Selezionare dall'elenco dei valori validi" sqref="FC2"/>
    <dataValidation allowBlank="1" showInputMessage="1" prompt="Fornire il prezzo di listino del prodotto, tasse incluse.  Il prezzo di listino viene spesso indicato come il prezzo al dettaglio consigliato dal produttore (MSRP), il prezzo di vendita consigliato (RRP) o il prezzo al dettaglio suggerito (SRP). Questo..." sqref="FD2"/>
    <dataValidation allowBlank="1" showInputMessage="1" prompt="Durata di conservazione all'interno del Centro Logistico di Amazon" sqref="FE2"/>
    <dataValidation allowBlank="1" showInputMessage="1" prompt="Si tratta della data a partire dalla quale il cliente non potrà ordinare il prodotto, indipendentemente dalle giacenze disponibili. Tuttavia, se venduto da altri partner di vendita, il prodotto sarà ancora attivo." sqref="FF2"/>
    <dataValidation allowBlank="1" showInputMessage="1" prompt="Configurazioni di Spedizione delle Offerte. Le configurazioni di spedizione vengono create e gestite dal venditore attraverso le impostazioni di spedizione del prodotto." sqref="FH2"/>
    <dataValidation allowBlank="1" showInputMessage="1" prompt="Una volta lanciato il prodotto su Amazon, i clienti potranno iniziare a ordinarlo a partire da questa data." sqref="FI2"/>
    <dataValidation allowBlank="1" showInputMessage="1" prompt="Codice standard Amazon per identificare le proprietà tributarie di un prodotto" sqref="FK2"/>
    <dataValidation allowBlank="1" showInputMessage="1" prompt="Stringa di testo di massimo 1000 caratteri. Non sono consentiti caratteri speciali nel campo Nota sulla condizione." sqref="FM2"/>
    <dataValidation allowBlank="1" showInputMessage="1" prompt="Un prezzo aziendale maggiore di uno.  Non inserire i separatori per le migliaia o i simboli di valuta. Se esite un prezzo, il prezzo aziendale deve essere inferiore o uguale a questo." sqref="FN2"/>
    <dataValidation allowBlank="1" showInputMessage="1" prompt="Uno dei seguenti:&#10;- fixed&#10;- percent" sqref="FO2"/>
    <dataValidation allowBlank="1" showInputMessage="1" prompt="Un numero intero positivo. Non inserire i separatori per le migliaia." sqref="FP2 FR2 FT2 FV2 FX2"/>
    <dataValidation allowBlank="1" showInputMessage="1" prompt="Se quantity-price-type = fixed, un prezzo superiore a uno. Non inserire i separatori per le migliaia o i simboli di valuta.&#10;&#10;Se quantity-price-type = percent, un numero maggiore di zero che rappresenta una %&#10;7 = 7% di sconto" sqref="FQ2 FS2 FU2 FW2 FY2"/>
    <dataValidation allowBlank="1" showInputMessage="1" prompt="L'unità di misura dello sconto sarà espressa o con un prezzo fisso in dollari statunitensi o in percentuale di sconto." sqref="FZ2"/>
    <dataValidation allowBlank="1" showInputMessage="1" prompt="La quantità minima di acquisto necessaria per ottenere il prezzo fisso o la percentuale di sconto associati." sqref="GA2 GC2 GE2"/>
    <dataValidation allowBlank="1" showInputMessage="1" prompt="Prezzo fisso o percentuale di sconto stabiliti dal venditore per un prodotto se l'acquirente ne acquista come minimo la quantità associata." sqref="GB2 GD2 GF2"/>
    <dataValidation allowBlank="1" showInputMessage="1" prompt="Un codice alfanumerico di 13 cifre, che è il codice articolo standard secondo la definizione NATO" sqref="GG2"/>
    <dataValidation allowBlank="1" showInputMessage="1" prompt="Un codice alfanumerico di otto cifre per la classificazione dei prodotti in base al sistema UNSPSC" sqref="GH2"/>
    <dataValidation allowBlank="1" showInputMessage="1" prompt="&quot;delete business_price&quot; (senza le virgolette)" sqref="GI2"/>
    <dataValidation type="list" showInputMessage="1" sqref="L4 L156:L1048576">
      <formula1>INDIRECT(IF(ISNUMBER(VALUE(LEFT(A4,1))),"_","")&amp;SUBSTITUTE(SUBSTITUTE(A4,"-","_")," ","")&amp;"care_instructions")</formula1>
    </dataValidation>
    <dataValidation type="list" showInputMessage="1" showErrorMessage="1" sqref="AB4 AB156:AB1048576">
      <formula1>INDIRECT(IF(ISNUMBER(VALUE(LEFT(A4,1))),"_","")&amp;SUBSTITUTE(SUBSTITUTE(A4,"-","_")," ","")&amp;"apparel_size")</formula1>
    </dataValidation>
    <dataValidation type="list" showInputMessage="1" showErrorMessage="1" sqref="AD4:AE4 AD5:AD95 AD156:AD1048576">
      <formula1>INDIRECT(IF(ISNUMBER(VALUE(LEFT(A4,1))),"_","")&amp;SUBSTITUTE(SUBSTITUTE(A4,"-","_")," ","")&amp;"apparel_body_type")</formula1>
    </dataValidation>
    <dataValidation type="list" showInputMessage="1" sqref="AZ4 AZ156:AZ1048576">
      <formula1>INDIRECT(IF(ISNUMBER(VALUE(LEFT(A4,1))),"_","")&amp;SUBSTITUTE(SUBSTITUTE(A4,"-","_")," ","")&amp;"color_map")</formula1>
    </dataValidation>
    <dataValidation type="list" showInputMessage="1" sqref="CM4 CM156:CM1048576">
      <formula1>INDIRECT(IF(ISNUMBER(VALUE(LEFT(A4,1))),"_","")&amp;SUBSTITUTE(SUBSTITUTE(A4,"-","_")," ","")&amp;"size_map")</formula1>
    </dataValidation>
    <dataValidation type="list" showInputMessage="1" showErrorMessage="1" sqref="AC5">
      <formula1>INDIRECT(IF(ISNUMBER(VALUE(LEFT(A4,1))),"_","")&amp;SUBSTITUTE(SUBSTITUTE(A4,"-","_")," ","")&amp;"apparel_size_to")</formula1>
    </dataValidation>
    <dataValidation type="list" showInputMessage="1" showErrorMessage="1" sqref="A4:A95 A156:A1048576">
      <formula1>feed_product_type</formula1>
    </dataValidation>
    <dataValidation type="list" showInputMessage="1" sqref="C4:C95 C156:C1048576">
      <formula1>brand_name</formula1>
    </dataValidation>
    <dataValidation type="list" showInputMessage="1" showErrorMessage="1" sqref="E4:E12">
      <formula1>INDIRECT(IF(ISNUMBER(VALUE(LEFT(A5,1))),"_","")&amp;SUBSTITUTE(SUBSTITUTE(A5,"-","_")," ","")&amp;"external_product_id_type")</formula1>
    </dataValidation>
    <dataValidation type="list" showInputMessage="1" showErrorMessage="1" sqref="E156:E1048576">
      <formula1>INDIRECT(IF(ISNUMBER(VALUE(LEFT(A156,1))),"_","")&amp;SUBSTITUTE(SUBSTITUTE(A156,"-","_")," ","")&amp;"external_product_id_type")</formula1>
    </dataValidation>
    <dataValidation type="list" showInputMessage="1" sqref="I4:I95 I156:I1048576">
      <formula1>INDIRECT(IF(ISNUMBER(VALUE(LEFT(A4,1))),"_","")&amp;SUBSTITUTE(SUBSTITUTE(A4,"-","_")," ","")&amp;"recommended_browse_nodes")</formula1>
    </dataValidation>
    <dataValidation type="list" showInputMessage="1" sqref="J4:J95 J156:J1048576">
      <formula1>INDIRECT(IF(ISNUMBER(VALUE(LEFT(A4,1))),"_","")&amp;SUBSTITUTE(SUBSTITUTE(A4,"-","_")," ","")&amp;"outer_material_type")</formula1>
    </dataValidation>
    <dataValidation type="list" showInputMessage="1" sqref="L5:L95">
      <formula1>INDIRECT(IF(ISNUMBER(VALUE(LEFT(XDO5,1))),"_","")&amp;SUBSTITUTE(SUBSTITUTE(XDO5,"-","_")," ","")&amp;"care_instructions")</formula1>
    </dataValidation>
    <dataValidation type="list" showInputMessage="1" sqref="N4:N12 N156:N1048576">
      <formula1>INDIRECT(IF(ISNUMBER(VALUE(LEFT(A4,1))),"_","")&amp;SUBSTITUTE(SUBSTITUTE(A4,"-","_")," ","")&amp;"temperature_rating")</formula1>
    </dataValidation>
    <dataValidation type="list" showInputMessage="1" showErrorMessage="1" sqref="P4:P12 P156:P1048576">
      <formula1>INDIRECT(IF(ISNUMBER(VALUE(LEFT(A4,1))),"_","")&amp;SUBSTITUTE(SUBSTITUTE(A4,"-","_")," ","")&amp;"gtin_exemption_reason")</formula1>
    </dataValidation>
    <dataValidation type="list" showInputMessage="1" showErrorMessage="1" sqref="Q4:Q12 Q156:Q1048576">
      <formula1>INDIRECT(IF(ISNUMBER(VALUE(LEFT(A4,1))),"_","")&amp;SUBSTITUTE(SUBSTITUTE(A4,"-","_")," ","")&amp;"language_value")</formula1>
    </dataValidation>
    <dataValidation type="list" showInputMessage="1" showErrorMessage="1" sqref="R4:R12 R156:R1048576">
      <formula1>INDIRECT(IF(ISNUMBER(VALUE(LEFT(A4,1))),"_","")&amp;SUBSTITUTE(SUBSTITUTE(A4,"-","_")," ","")&amp;"language_value")</formula1>
    </dataValidation>
    <dataValidation type="list" showInputMessage="1" showErrorMessage="1" sqref="S4:S12 S156:S1048576">
      <formula1>INDIRECT(IF(ISNUMBER(VALUE(LEFT(A4,1))),"_","")&amp;SUBSTITUTE(SUBSTITUTE(A4,"-","_")," ","")&amp;"language_value")</formula1>
    </dataValidation>
    <dataValidation type="list" showInputMessage="1" showErrorMessage="1" sqref="T4:T12 T156:T1048576">
      <formula1>INDIRECT(IF(ISNUMBER(VALUE(LEFT(A4,1))),"_","")&amp;SUBSTITUTE(SUBSTITUTE(A4,"-","_")," ","")&amp;"language_value")</formula1>
    </dataValidation>
    <dataValidation type="list" showInputMessage="1" showErrorMessage="1" sqref="U4:U12 U156:U1048576">
      <formula1>INDIRECT(IF(ISNUMBER(VALUE(LEFT(A4,1))),"_","")&amp;SUBSTITUTE(SUBSTITUTE(A4,"-","_")," ","")&amp;"language_value")</formula1>
    </dataValidation>
    <dataValidation type="list" showInputMessage="1" showErrorMessage="1" sqref="X4:X95 X156:X1048576">
      <formula1>INDIRECT(IF(ISNUMBER(VALUE(LEFT(A4,1))),"_","")&amp;SUBSTITUTE(SUBSTITUTE(A4,"-","_")," ","")&amp;"target_gender")</formula1>
    </dataValidation>
    <dataValidation type="list" showInputMessage="1" sqref="Y4:Y95 Y156:Y1048576">
      <formula1>INDIRECT(IF(ISNUMBER(VALUE(LEFT(A4,1))),"_","")&amp;SUBSTITUTE(SUBSTITUTE(A4,"-","_")," ","")&amp;"age_range_description")</formula1>
    </dataValidation>
    <dataValidation type="list" showInputMessage="1" showErrorMessage="1" sqref="Z4:Z95 Z156:Z1048576">
      <formula1>INDIRECT(IF(ISNUMBER(VALUE(LEFT(A4,1))),"_","")&amp;SUBSTITUTE(SUBSTITUTE(A4,"-","_")," ","")&amp;"apparel_size_system")</formula1>
    </dataValidation>
    <dataValidation type="list" showInputMessage="1" showErrorMessage="1" sqref="AA4:AA95 AA156:AA1048576">
      <formula1>INDIRECT(IF(ISNUMBER(VALUE(LEFT(A4,1))),"_","")&amp;SUBSTITUTE(SUBSTITUTE(A4,"-","_")," ","")&amp;"apparel_size_class")</formula1>
    </dataValidation>
    <dataValidation type="list" showInputMessage="1" showErrorMessage="1" sqref="AC6:AC15 AC156:AC1048576">
      <formula1>INDIRECT(IF(ISNUMBER(VALUE(LEFT(A6,1))),"_","")&amp;SUBSTITUTE(SUBSTITUTE(A6,"-","_")," ","")&amp;"apparel_size_to")</formula1>
    </dataValidation>
    <dataValidation type="list" showInputMessage="1" showErrorMessage="1" sqref="AE5:AE95 AE156:AE1048576">
      <formula1>INDIRECT(IF(ISNUMBER(VALUE(LEFT(A5,1))),"_","")&amp;SUBSTITUTE(SUBSTITUTE(A5,"-","_")," ","")&amp;"apparel_height_type")</formula1>
    </dataValidation>
    <dataValidation type="list" showInputMessage="1" showErrorMessage="1" sqref="AU4:AU95 AU156:AU1048576">
      <formula1>INDIRECT(IF(ISNUMBER(VALUE(LEFT(A4,1))),"_","")&amp;SUBSTITUTE(SUBSTITUTE(A4,"-","_")," ","")&amp;"parent_child")</formula1>
    </dataValidation>
    <dataValidation type="list" showInputMessage="1" showErrorMessage="1" sqref="AW4:AW95 AW156:AW1048576">
      <formula1>INDIRECT(IF(ISNUMBER(VALUE(LEFT(A4,1))),"_","")&amp;SUBSTITUTE(SUBSTITUTE(A4,"-","_")," ","")&amp;"relationship_type")</formula1>
    </dataValidation>
    <dataValidation type="list" showInputMessage="1" showErrorMessage="1" sqref="AX4:AX95 AX156:AX1048576">
      <formula1>INDIRECT(IF(ISNUMBER(VALUE(LEFT(A4,1))),"_","")&amp;SUBSTITUTE(SUBSTITUTE(A4,"-","_")," ","")&amp;"variation_theme")</formula1>
    </dataValidation>
    <dataValidation type="list" showInputMessage="1" showErrorMessage="1" sqref="AY4:AY95 AY156:AY1048576">
      <formula1>INDIRECT(IF(ISNUMBER(VALUE(LEFT(A4,1))),"_","")&amp;SUBSTITUTE(SUBSTITUTE(A4,"-","_")," ","")&amp;"package_level")</formula1>
    </dataValidation>
    <dataValidation type="list" showInputMessage="1" showErrorMessage="1" sqref="BC4:BC95 BC156:BC1048576">
      <formula1>INDIRECT(IF(ISNUMBER(VALUE(LEFT(A4,1))),"_","")&amp;SUBSTITUTE(SUBSTITUTE(A4,"-","_")," ","")&amp;"update_delete")</formula1>
    </dataValidation>
    <dataValidation type="list" showInputMessage="1" sqref="BL4:BL95 BL156:BL1048576">
      <formula1>INDIRECT(IF(ISNUMBER(VALUE(LEFT(A4,1))),"_","")&amp;SUBSTITUTE(SUBSTITUTE(A4,"-","_")," ","")&amp;"collection_name")</formula1>
    </dataValidation>
    <dataValidation type="list" showInputMessage="1" sqref="BN4:BN95 BN156:BN1048576">
      <formula1>INDIRECT(IF(ISNUMBER(VALUE(LEFT(A4,1))),"_","")&amp;SUBSTITUTE(SUBSTITUTE(A4,"-","_")," ","")&amp;"lifestyle")</formula1>
    </dataValidation>
    <dataValidation type="list" showInputMessage="1" sqref="BO4:BO95 BO156:BO1048576">
      <formula1>INDIRECT(IF(ISNUMBER(VALUE(LEFT(A4,1))),"_","")&amp;SUBSTITUTE(SUBSTITUTE(A4,"-","_")," ","")&amp;"style_name")</formula1>
    </dataValidation>
    <dataValidation type="list" showInputMessage="1" sqref="BP4:BP95 BP156:BP1048576">
      <formula1>INDIRECT(IF(ISNUMBER(VALUE(LEFT(A4,1))),"_","")&amp;SUBSTITUTE(SUBSTITUTE(A4,"-","_")," ","")&amp;"department_name")</formula1>
    </dataValidation>
    <dataValidation type="list" showInputMessage="1" sqref="BQ4:BQ95 BQ156:BQ1048576">
      <formula1>INDIRECT(IF(ISNUMBER(VALUE(LEFT(A4,1))),"_","")&amp;SUBSTITUTE(SUBSTITUTE(A4,"-","_")," ","")&amp;"special_size_type")</formula1>
    </dataValidation>
    <dataValidation type="list" showInputMessage="1" showErrorMessage="1" sqref="BR4:BR95 BR156:BR1048576">
      <formula1>INDIRECT(IF(ISNUMBER(VALUE(LEFT(A4,1))),"_","")&amp;SUBSTITUTE(SUBSTITUTE(A4,"-","_")," ","")&amp;"is_autographed")</formula1>
    </dataValidation>
    <dataValidation type="list" showInputMessage="1" sqref="BS4:BS95 BS156:BS1048576">
      <formula1>INDIRECT(IF(ISNUMBER(VALUE(LEFT(A4,1))),"_","")&amp;SUBSTITUTE(SUBSTITUTE(A4,"-","_")," ","")&amp;"neck_style")</formula1>
    </dataValidation>
    <dataValidation type="list" showInputMessage="1" sqref="BT4:BT12 BT156:BT1048576">
      <formula1>INDIRECT(IF(ISNUMBER(VALUE(LEFT(A4,1))),"_","")&amp;SUBSTITUTE(SUBSTITUTE(A4,"-","_")," ","")&amp;"seasons")</formula1>
    </dataValidation>
    <dataValidation type="list" showInputMessage="1" sqref="BV4:BV12 BV156:BV1048576">
      <formula1>INDIRECT(IF(ISNUMBER(VALUE(LEFT(A4,1))),"_","")&amp;SUBSTITUTE(SUBSTITUTE(A4,"-","_")," ","")&amp;"team_name")</formula1>
    </dataValidation>
    <dataValidation type="list" showInputMessage="1" sqref="CC4:CC12 CC156:CC1048576">
      <formula1>INDIRECT(IF(ISNUMBER(VALUE(LEFT(A4,1))),"_","")&amp;SUBSTITUTE(SUBSTITUTE(A4,"-","_")," ","")&amp;"league_name")</formula1>
    </dataValidation>
    <dataValidation type="list" showInputMessage="1" showErrorMessage="1" sqref="CE4:CE95 CE156:CE1048576">
      <formula1>INDIRECT(IF(ISNUMBER(VALUE(LEFT(A4,1))),"_","")&amp;SUBSTITUTE(SUBSTITUTE(A4,"-","_")," ","")&amp;"lifecycle_supply_type")</formula1>
    </dataValidation>
    <dataValidation type="list" showInputMessage="1" sqref="CG4:CG84 CG156:CG1048576">
      <formula1>INDIRECT(IF(ISNUMBER(VALUE(LEFT(A4,1))),"_","")&amp;SUBSTITUTE(SUBSTITUTE(A4,"-","_")," ","")&amp;"sleeve_type")</formula1>
    </dataValidation>
    <dataValidation type="list" showInputMessage="1" showErrorMessage="1" sqref="CH4:CH12 CH156:CH1048576">
      <formula1>INDIRECT(IF(ISNUMBER(VALUE(LEFT(A4,1))),"_","")&amp;SUBSTITUTE(SUBSTITUTE(A4,"-","_")," ","")&amp;"ec_medical_device_sales_channel")</formula1>
    </dataValidation>
    <dataValidation type="list" showInputMessage="1" showErrorMessage="1" sqref="CI4:CI12 CI156:CI1048576">
      <formula1>INDIRECT(IF(ISNUMBER(VALUE(LEFT(A4,1))),"_","")&amp;SUBSTITUTE(SUBSTITUTE(A4,"-","_")," ","")&amp;"flash_point_unit_of_measure")</formula1>
    </dataValidation>
    <dataValidation type="list" showInputMessage="1" showErrorMessage="1" sqref="CJ4:CJ12 CJ156:CJ1048576">
      <formula1>INDIRECT(IF(ISNUMBER(VALUE(LEFT(A4,1))),"_","")&amp;SUBSTITUTE(SUBSTITUTE(A4,"-","_")," ","")&amp;"fc_shelf_life_unit_of_measure")</formula1>
    </dataValidation>
    <dataValidation type="list" showInputMessage="1" showErrorMessage="1" sqref="CL4:CL12 CL156:CL1048576">
      <formula1>INDIRECT(IF(ISNUMBER(VALUE(LEFT(A4,1))),"_","")&amp;SUBSTITUTE(SUBSTITUTE(A4,"-","_")," ","")&amp;"website_shipping_weight_unit_of_measure")</formula1>
    </dataValidation>
    <dataValidation type="list" showInputMessage="1" sqref="CN4:CN95 CN156:CN1048576">
      <formula1>INDIRECT(IF(ISNUMBER(VALUE(LEFT(A4,1))),"_","")&amp;SUBSTITUTE(SUBSTITUTE(A4,"-","_")," ","")&amp;"item_length_description")</formula1>
    </dataValidation>
    <dataValidation type="list" showInputMessage="1" showErrorMessage="1" sqref="CP4:CP12 CP156:CP1048576">
      <formula1>INDIRECT(IF(ISNUMBER(VALUE(LEFT(A4,1))),"_","")&amp;SUBSTITUTE(SUBSTITUTE(A4,"-","_")," ","")&amp;"fulfillment_center_id")</formula1>
    </dataValidation>
    <dataValidation type="list" showInputMessage="1" showErrorMessage="1" sqref="CT4:CT95 CT156:CT1048576">
      <formula1>INDIRECT(IF(ISNUMBER(VALUE(LEFT(A4,1))),"_","")&amp;SUBSTITUTE(SUBSTITUTE(A4,"-","_")," ","")&amp;"package_length_unit_of_measure")</formula1>
    </dataValidation>
    <dataValidation type="list" showInputMessage="1" showErrorMessage="1" sqref="CV4:CV95 CV156:CV1048576">
      <formula1>INDIRECT(IF(ISNUMBER(VALUE(LEFT(A4,1))),"_","")&amp;SUBSTITUTE(SUBSTITUTE(A4,"-","_")," ","")&amp;"package_weight_unit_of_measure")</formula1>
    </dataValidation>
    <dataValidation type="list" showInputMessage="1" showErrorMessage="1" sqref="CW4:CW95 CW156:CW1048576">
      <formula1>INDIRECT(IF(ISNUMBER(VALUE(LEFT(A4,1))),"_","")&amp;SUBSTITUTE(SUBSTITUTE(A4,"-","_")," ","")&amp;"package_height_unit_of_measure")</formula1>
    </dataValidation>
    <dataValidation type="list" showInputMessage="1" showErrorMessage="1" sqref="CX4:CX95 CX156:CX1048576">
      <formula1>INDIRECT(IF(ISNUMBER(VALUE(LEFT(A4,1))),"_","")&amp;SUBSTITUTE(SUBSTITUTE(A4,"-","_")," ","")&amp;"package_width_unit_of_measure")</formula1>
    </dataValidation>
    <dataValidation type="list" showInputMessage="1" showErrorMessage="1" sqref="CY4:CY95 CY156:CY1048576">
      <formula1>INDIRECT(IF(ISNUMBER(VALUE(LEFT(A4,1))),"_","")&amp;SUBSTITUTE(SUBSTITUTE(A4,"-","_")," ","")&amp;"country_of_origin")</formula1>
    </dataValidation>
    <dataValidation type="list" showInputMessage="1" showErrorMessage="1" sqref="CZ4:CZ95 CZ156:CZ1048576">
      <formula1>INDIRECT(IF(ISNUMBER(VALUE(LEFT(A4,1))),"_","")&amp;SUBSTITUTE(SUBSTITUTE(A4,"-","_")," ","")&amp;"batteries_required")</formula1>
    </dataValidation>
    <dataValidation type="list" showInputMessage="1" showErrorMessage="1" sqref="DA4:DA95 DA156:DA1048576">
      <formula1>INDIRECT(IF(ISNUMBER(VALUE(LEFT(A4,1))),"_","")&amp;SUBSTITUTE(SUBSTITUTE(A4,"-","_")," ","")&amp;"are_batteries_included")</formula1>
    </dataValidation>
    <dataValidation type="list" showInputMessage="1" showErrorMessage="1" sqref="DB4:DB95 DB156:DB1048576">
      <formula1>INDIRECT(IF(ISNUMBER(VALUE(LEFT(A4,1))),"_","")&amp;SUBSTITUTE(SUBSTITUTE(A4,"-","_")," ","")&amp;"battery_cell_composition")</formula1>
    </dataValidation>
    <dataValidation type="list" showInputMessage="1" showErrorMessage="1" sqref="DC4:DC12 DC156:DC1048576">
      <formula1>INDIRECT(IF(ISNUMBER(VALUE(LEFT(A4,1))),"_","")&amp;SUBSTITUTE(SUBSTITUTE(A4,"-","_")," ","")&amp;"battery_type")</formula1>
    </dataValidation>
    <dataValidation type="list" showInputMessage="1" showErrorMessage="1" sqref="DD4:DD12 DD156:DD1048576">
      <formula1>INDIRECT(IF(ISNUMBER(VALUE(LEFT(A4,1))),"_","")&amp;SUBSTITUTE(SUBSTITUTE(A4,"-","_")," ","")&amp;"battery_type")</formula1>
    </dataValidation>
    <dataValidation type="list" showInputMessage="1" showErrorMessage="1" sqref="DE4:DE12 DE156:DE1048576">
      <formula1>INDIRECT(IF(ISNUMBER(VALUE(LEFT(A4,1))),"_","")&amp;SUBSTITUTE(SUBSTITUTE(A4,"-","_")," ","")&amp;"battery_type")</formula1>
    </dataValidation>
    <dataValidation type="list" showInputMessage="1" showErrorMessage="1" sqref="DJ4:DJ12 DJ156:DJ1048576">
      <formula1>INDIRECT(IF(ISNUMBER(VALUE(LEFT(A4,1))),"_","")&amp;SUBSTITUTE(SUBSTITUTE(A4,"-","_")," ","")&amp;"battery_weight_unit_of_measure")</formula1>
    </dataValidation>
    <dataValidation type="list" showInputMessage="1" showErrorMessage="1" sqref="DM4:DM12 DM156:DM1048576">
      <formula1>INDIRECT(IF(ISNUMBER(VALUE(LEFT(A4,1))),"_","")&amp;SUBSTITUTE(SUBSTITUTE(A4,"-","_")," ","")&amp;"lithium_battery_packaging")</formula1>
    </dataValidation>
    <dataValidation type="list" showInputMessage="1" showErrorMessage="1" sqref="DO4:DO12 DO156:DO1048576">
      <formula1>INDIRECT(IF(ISNUMBER(VALUE(LEFT(A4,1))),"_","")&amp;SUBSTITUTE(SUBSTITUTE(A4,"-","_")," ","")&amp;"lithium_battery_energy_content_unit_of_measure")</formula1>
    </dataValidation>
    <dataValidation type="list" showInputMessage="1" showErrorMessage="1" sqref="DQ4:DQ12 DQ156:DQ1048576">
      <formula1>INDIRECT(IF(ISNUMBER(VALUE(LEFT(A4,1))),"_","")&amp;SUBSTITUTE(SUBSTITUTE(A4,"-","_")," ","")&amp;"lithium_battery_weight_unit_of_measure")</formula1>
    </dataValidation>
    <dataValidation type="list" showInputMessage="1" showErrorMessage="1" sqref="DR4:DR12 DR156:DR1048576">
      <formula1>INDIRECT(IF(ISNUMBER(VALUE(LEFT(A4,1))),"_","")&amp;SUBSTITUTE(SUBSTITUTE(A4,"-","_")," ","")&amp;"supplier_declared_dg_hz_regulation")</formula1>
    </dataValidation>
    <dataValidation type="list" showInputMessage="1" showErrorMessage="1" sqref="DS4:DS12 DS156:DS1048576">
      <formula1>INDIRECT(IF(ISNUMBER(VALUE(LEFT(A4,1))),"_","")&amp;SUBSTITUTE(SUBSTITUTE(A4,"-","_")," ","")&amp;"supplier_declared_dg_hz_regulation")</formula1>
    </dataValidation>
    <dataValidation type="list" showInputMessage="1" showErrorMessage="1" sqref="DT4:DT12 DT156:DT1048576">
      <formula1>INDIRECT(IF(ISNUMBER(VALUE(LEFT(A4,1))),"_","")&amp;SUBSTITUTE(SUBSTITUTE(A4,"-","_")," ","")&amp;"supplier_declared_dg_hz_regulation")</formula1>
    </dataValidation>
    <dataValidation type="list" showInputMessage="1" showErrorMessage="1" sqref="DU4:DU12 DU156:DU1048576">
      <formula1>INDIRECT(IF(ISNUMBER(VALUE(LEFT(A4,1))),"_","")&amp;SUBSTITUTE(SUBSTITUTE(A4,"-","_")," ","")&amp;"supplier_declared_dg_hz_regulation")</formula1>
    </dataValidation>
    <dataValidation type="list" showInputMessage="1" showErrorMessage="1" sqref="DV4:DV12 DV156:DV1048576">
      <formula1>INDIRECT(IF(ISNUMBER(VALUE(LEFT(A4,1))),"_","")&amp;SUBSTITUTE(SUBSTITUTE(A4,"-","_")," ","")&amp;"supplier_declared_dg_hz_regulation")</formula1>
    </dataValidation>
    <dataValidation type="list" showInputMessage="1" showErrorMessage="1" sqref="DZ4:DZ12 DZ156:DZ1048576">
      <formula1>INDIRECT(IF(ISNUMBER(VALUE(LEFT(A4,1))),"_","")&amp;SUBSTITUTE(SUBSTITUTE(A4,"-","_")," ","")&amp;"item_weight_unit_of_measure")</formula1>
    </dataValidation>
    <dataValidation type="list" showInputMessage="1" showErrorMessage="1" sqref="EB4:EB12 EB156:EB1048576">
      <formula1>INDIRECT(IF(ISNUMBER(VALUE(LEFT(A4,1))),"_","")&amp;SUBSTITUTE(SUBSTITUTE(A4,"-","_")," ","")&amp;"item_volume_unit_of_measure")</formula1>
    </dataValidation>
    <dataValidation type="list" showInputMessage="1" showErrorMessage="1" sqref="EF4:EF95 EF156:EF1048576">
      <formula1>INDIRECT(IF(ISNUMBER(VALUE(LEFT(A4,1))),"_","")&amp;SUBSTITUTE(SUBSTITUTE(A4,"-","_")," ","")&amp;"eu_toys_safety_directive_language")</formula1>
    </dataValidation>
    <dataValidation type="list" showInputMessage="1" showErrorMessage="1" sqref="EG4:EG95 EG156:EG1048576">
      <formula1>INDIRECT(IF(ISNUMBER(VALUE(LEFT(A4,1))),"_","")&amp;SUBSTITUTE(SUBSTITUTE(A4,"-","_")," ","")&amp;"eu_toys_safety_directive_warning")</formula1>
    </dataValidation>
    <dataValidation type="list" showInputMessage="1" showErrorMessage="1" sqref="EH4:EH95 EH156:EH1048576">
      <formula1>INDIRECT(IF(ISNUMBER(VALUE(LEFT(A4,1))),"_","")&amp;SUBSTITUTE(SUBSTITUTE(A4,"-","_")," ","")&amp;"supplier_declared_material_regulation")</formula1>
    </dataValidation>
    <dataValidation type="list" showInputMessage="1" showErrorMessage="1" sqref="EI4:EI12 EI156:EI1048576">
      <formula1>INDIRECT(IF(ISNUMBER(VALUE(LEFT(A4,1))),"_","")&amp;SUBSTITUTE(SUBSTITUTE(A4,"-","_")," ","")&amp;"supplier_declared_material_regulation")</formula1>
    </dataValidation>
    <dataValidation type="list" showInputMessage="1" showErrorMessage="1" sqref="EJ4:EJ12 EJ156:EJ1048576">
      <formula1>INDIRECT(IF(ISNUMBER(VALUE(LEFT(A4,1))),"_","")&amp;SUBSTITUTE(SUBSTITUTE(A4,"-","_")," ","")&amp;"supplier_declared_material_regulation")</formula1>
    </dataValidation>
    <dataValidation type="list" showInputMessage="1" showErrorMessage="1" sqref="EK4:EK12 EK156:EK1048576">
      <formula1>INDIRECT(IF(ISNUMBER(VALUE(LEFT(A4,1))),"_","")&amp;SUBSTITUTE(SUBSTITUTE(A4,"-","_")," ","")&amp;"ghs_classification_class")</formula1>
    </dataValidation>
    <dataValidation type="list" showInputMessage="1" showErrorMessage="1" sqref="EL4:EL12 EL156:EL1048576">
      <formula1>INDIRECT(IF(ISNUMBER(VALUE(LEFT(A4,1))),"_","")&amp;SUBSTITUTE(SUBSTITUTE(A4,"-","_")," ","")&amp;"ghs_classification_class")</formula1>
    </dataValidation>
    <dataValidation type="list" showInputMessage="1" showErrorMessage="1" sqref="EM4:EM12 EM156:EM1048576">
      <formula1>INDIRECT(IF(ISNUMBER(VALUE(LEFT(A4,1))),"_","")&amp;SUBSTITUTE(SUBSTITUTE(A4,"-","_")," ","")&amp;"ghs_classification_class")</formula1>
    </dataValidation>
    <dataValidation type="list" showInputMessage="1" showErrorMessage="1" sqref="EN4:EN12 EN156:EN1048576">
      <formula1>INDIRECT(IF(ISNUMBER(VALUE(LEFT(A4,1))),"_","")&amp;SUBSTITUTE(SUBSTITUTE(A4,"-","_")," ","")&amp;"currency")</formula1>
    </dataValidation>
    <dataValidation type="list" showInputMessage="1" showErrorMessage="1" sqref="EV4:EV12 EV156:EV1048576">
      <formula1>INDIRECT(IF(ISNUMBER(VALUE(LEFT(A4,1))),"_","")&amp;SUBSTITUTE(SUBSTITUTE(A4,"-","_")," ","")&amp;"offering_can_be_gift_messaged")</formula1>
    </dataValidation>
    <dataValidation type="list" showInputMessage="1" showErrorMessage="1" sqref="EW4:EW12 EW156:EW1048576">
      <formula1>INDIRECT(IF(ISNUMBER(VALUE(LEFT(A4,1))),"_","")&amp;SUBSTITUTE(SUBSTITUTE(A4,"-","_")," ","")&amp;"offering_can_be_giftwrapped")</formula1>
    </dataValidation>
    <dataValidation type="list" showInputMessage="1" showErrorMessage="1" sqref="EX4:EX12 EX156:EX1048576">
      <formula1>INDIRECT(IF(ISNUMBER(VALUE(LEFT(A4,1))),"_","")&amp;SUBSTITUTE(SUBSTITUTE(A4,"-","_")," ","")&amp;"is_discontinued_by_manufacturer")</formula1>
    </dataValidation>
    <dataValidation type="list" showInputMessage="1" showErrorMessage="1" sqref="FA4:FA12 FA156:FA1048576">
      <formula1>INDIRECT(IF(ISNUMBER(VALUE(LEFT(A4,1))),"_","")&amp;SUBSTITUTE(SUBSTITUTE(A4,"-","_")," ","")&amp;"is_expiration_dated_product")</formula1>
    </dataValidation>
    <dataValidation type="list" showInputMessage="1" sqref="FH4:FH12 FH156:FH1048576">
      <formula1>merchant_shipping_group_name</formula1>
    </dataValidation>
    <dataValidation type="list" showInputMessage="1" sqref="FK4:FK12 FK156:FK1048576">
      <formula1>INDIRECT(IF(ISNUMBER(VALUE(LEFT(A4,1))),"_","")&amp;SUBSTITUTE(SUBSTITUTE(A4,"-","_")," ","")&amp;"product_tax_code")</formula1>
    </dataValidation>
    <dataValidation type="list" showInputMessage="1" showErrorMessage="1" sqref="FL4:FL95 FL156:FL1048576">
      <formula1>INDIRECT(IF(ISNUMBER(VALUE(LEFT(A4,1))),"_","")&amp;SUBSTITUTE(SUBSTITUTE(A4,"-","_")," ","")&amp;"condition_type")</formula1>
    </dataValidation>
    <dataValidation type="list" showInputMessage="1" showErrorMessage="1" sqref="FO4:FO12 FO156:FO1048576">
      <formula1>INDIRECT(IF(ISNUMBER(VALUE(LEFT(A4,1))),"_","")&amp;SUBSTITUTE(SUBSTITUTE(A4,"-","_")," ","")&amp;"quantity_price_type")</formula1>
    </dataValidation>
    <dataValidation type="list" showInputMessage="1" showErrorMessage="1" sqref="FZ4:FZ12 FZ156:FZ1048576">
      <formula1>INDIRECT(IF(ISNUMBER(VALUE(LEFT(A4,1))),"_","")&amp;SUBSTITUTE(SUBSTITUTE(A4,"-","_")," ","")&amp;"progressive_discount_type")</formula1>
    </dataValidation>
    <dataValidation type="list" showInputMessage="1" showErrorMessage="1" sqref="GI4:GI12 GI156:GI1048576">
      <formula1>INDIRECT(IF(ISNUMBER(VALUE(LEFT(A4,1))),"_","")&amp;SUBSTITUTE(SUBSTITUTE(A4,"-","_")," ","")&amp;"pricing_action")</formula1>
    </dataValidation>
    <dataValidation type="list" showInputMessage="1" sqref="FC156:FD1048576 FC4:FD12">
      <formula1>INDIRECT(IF(ISNUMBER(VALUE(LEFT(A4,1))),"_","")&amp;SUBSTITUTE(SUBSTITUTE(A4,"-","_")," ","")&amp;"product_expiration_type")</formula1>
    </dataValidation>
    <dataValidation type="list" showInputMessage="1" sqref="AZ5:BA95">
      <formula1>INDIRECT(IF(ISNUMBER(VALUE(LEFT(AS5,1))),"_","")&amp;SUBSTITUTE(SUBSTITUTE(AS5,"-","_")," ","")&amp;"color_map")</formula1>
    </dataValidation>
  </dataValidations>
  <pageMargins left="0.75" right="0.75" top="1" bottom="1" header="0.5" footer="0.5"/>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D13"/>
  <sheetViews>
    <sheetView workbookViewId="0">
      <selection activeCell="A1" sqref="A1"/>
    </sheetView>
  </sheetViews>
  <sheetFormatPr defaultColWidth="9" defaultRowHeight="16.8" outlineLevelCol="3"/>
  <cols>
    <col min="1" max="4" width="8" style="1" customWidth="1"/>
  </cols>
  <sheetData>
    <row r="1" spans="1:4">
      <c r="A1" s="1" t="s">
        <v>1790</v>
      </c>
      <c r="B1" s="1" t="s">
        <v>1791</v>
      </c>
      <c r="C1" s="1" t="s">
        <v>1792</v>
      </c>
      <c r="D1" s="1" t="s">
        <v>1793</v>
      </c>
    </row>
    <row r="2" spans="1:4">
      <c r="A2" s="1" t="s">
        <v>88</v>
      </c>
      <c r="B2" s="1" t="s">
        <v>1794</v>
      </c>
      <c r="C2" s="1" t="s">
        <v>284</v>
      </c>
      <c r="D2" s="1" t="s">
        <v>87</v>
      </c>
    </row>
    <row r="3" spans="1:4">
      <c r="B3" s="1" t="s">
        <v>1795</v>
      </c>
    </row>
    <row r="4" spans="1:4">
      <c r="B4" s="1" t="s">
        <v>1796</v>
      </c>
    </row>
    <row r="5" spans="1:4">
      <c r="B5" s="1" t="s">
        <v>1797</v>
      </c>
    </row>
    <row r="6" spans="1:4">
      <c r="B6" s="1" t="s">
        <v>588</v>
      </c>
    </row>
    <row r="7" spans="1:4">
      <c r="B7" s="1" t="s">
        <v>601</v>
      </c>
    </row>
    <row r="8" spans="1:4">
      <c r="B8" s="1" t="s">
        <v>1798</v>
      </c>
    </row>
    <row r="9" spans="1:4">
      <c r="B9" s="1" t="s">
        <v>1799</v>
      </c>
    </row>
    <row r="10" spans="1:4">
      <c r="B10" s="1" t="s">
        <v>1800</v>
      </c>
    </row>
    <row r="11" spans="1:4">
      <c r="B11" s="1" t="s">
        <v>1801</v>
      </c>
    </row>
    <row r="12" spans="1:4">
      <c r="B12" s="1" t="s">
        <v>1802</v>
      </c>
    </row>
    <row r="13" spans="1:4">
      <c r="B13" s="1" t="s">
        <v>1803</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4</vt:i4>
      </vt:variant>
    </vt:vector>
  </HeadingPairs>
  <TitlesOfParts>
    <vt:vector size="4" baseType="lpstr">
      <vt:lpstr>Dropdown Lists</vt:lpstr>
      <vt:lpstr>AttributePTDMAP</vt:lpstr>
      <vt:lpstr>template</vt:lpstr>
      <vt:lpstr>Conditions List</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melodylu</cp:lastModifiedBy>
  <dcterms:created xsi:type="dcterms:W3CDTF">2012-05-04T02:29:00Z</dcterms:created>
  <dcterms:modified xsi:type="dcterms:W3CDTF">2026-03-18T13:20:19Z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2052-12.1.25201.25201</vt:lpwstr>
  </property>
  <property fmtid="{D5CDD505-2E9C-101B-9397-08002B2CF9AE}" pid="3" name="ICV">
    <vt:lpwstr>CBBA21B03AAB4D0B81E608EA3DFEC062_13</vt:lpwstr>
  </property>
  <property fmtid="{D5CDD505-2E9C-101B-9397-08002B2CF9AE}" pid="4" name="CalculationRule">
    <vt:i4>0</vt:i4>
  </property>
</Properties>
</file>