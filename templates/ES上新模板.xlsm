
<file path=[Content_Types].xml><?xml version="1.0" encoding="utf-8"?>
<Types xmlns="http://schemas.openxmlformats.org/package/2006/content-types">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dbsheet="http://web.wps.cn/et/2021/dbsheet">
  <fileVersion appName="xl" lastEdited="3" lowestEdited="5" rupBuild="9302"/>
  <workbookPr codeName="ThisWorkbook"/>
  <bookViews>
    <workbookView windowWidth="30200" windowHeight="15280" firstSheet="2" activeTab="2"/>
  </bookViews>
  <sheets>
    <sheet name="Dropdown Lists" sheetId="23" state="hidden" r:id="rId1"/>
    <sheet name="AttributePTDMAP" sheetId="24" state="hidden" r:id="rId2"/>
    <sheet name="template" sheetId="25" r:id="rId3"/>
    <sheet name="Conditions List" sheetId="27" state="hidden" r:id="rId4"/>
  </sheets>
  <externalReferences>
    <externalReference r:id="rId5"/>
    <externalReference r:id="rId6"/>
  </externalReferences>
  <definedNames>
    <definedName name="feed_product_type">'Dropdown Lists'!$A$4</definedName>
    <definedName name="dressrelationship_type">'Dropdown Lists'!$B$4:$B$7</definedName>
    <definedName name="dressage_range_description">'Dropdown Lists'!$C$4:$C$7</definedName>
    <definedName name="dressis_autographed">'Dropdown Lists'!$D$4:$D$5</definedName>
    <definedName name="dressis_expiration_dated_product">'Dropdown Lists'!$E$4:$E$5</definedName>
    <definedName name="dressapparel_body_type">'Dropdown Lists'!$F$4:$F$5</definedName>
    <definedName name="dresscountry_of_origin">'Dropdown Lists'!$G$4:$G$271</definedName>
    <definedName name="dresslithium_battery_packaging">'Dropdown Lists'!$H$4:$H$6</definedName>
    <definedName name="dressexternal_product_id_type">'Dropdown Lists'!$I$4:$I$8</definedName>
    <definedName name="dressvariation_theme">'Dropdown Lists'!$J$4:$J$20</definedName>
    <definedName name="dresstarget_gender">'Dropdown Lists'!$K$4:$K$6</definedName>
    <definedName name="dressneck_style">'Dropdown Lists'!$L$4:$L$15</definedName>
    <definedName name="dresscurrency">'Dropdown Lists'!$M$4:$M$11</definedName>
    <definedName name="dresssupplier_declared_dg_hz_regulation">'Dropdown Lists'!$N$4:$N$10</definedName>
    <definedName name="dressbatteries_required">'Dropdown Lists'!$O$4:$O$5</definedName>
    <definedName name="dressbattery_cell_composition">'Dropdown Lists'!$P$4:$P$36</definedName>
    <definedName name="dresspackage_weight_unit_of_measure">'Dropdown Lists'!$Q$4:$Q$8</definedName>
    <definedName name="dressupdate_delete">'Dropdown Lists'!$R$4:$R$6</definedName>
    <definedName name="dressapparel_height_type">'Dropdown Lists'!$S$4:$S$8</definedName>
    <definedName name="dresscolor_map">'Dropdown Lists'!$T$4:$T$21</definedName>
    <definedName name="dressare_batteries_included">'Dropdown Lists'!$U$4:$U$5</definedName>
    <definedName name="dressproduct_expiration_type">'Dropdown Lists'!$V$4:$V$8</definedName>
    <definedName name="dresssize_map">'Dropdown Lists'!$W$4:$W$51</definedName>
    <definedName name="dresstemperature_rating">'Dropdown Lists'!$X$4:$X$7</definedName>
    <definedName name="dressseasons">'Dropdown Lists'!$Y$4:$Y$5</definedName>
    <definedName name="dressteam_name">'Dropdown Lists'!$Z$4</definedName>
    <definedName name="dresseu_toys_safety_directive_language">'Dropdown Lists'!$AA$4:$AA$24</definedName>
    <definedName name="dressec_medical_device_sales_channel">'Dropdown Lists'!$AB$4:$AB$11</definedName>
    <definedName name="dresswebsite_shipping_weight_unit_of_measure">'Dropdown Lists'!$AC$4:$AC$8</definedName>
    <definedName name="dresscollection_name">'Dropdown Lists'!$AD$4:$AD$13</definedName>
    <definedName name="dressprogressive_discount_type">'Dropdown Lists'!$AE$4:$AE$5</definedName>
    <definedName name="dresslithium_battery_weight_unit_of_measure">'Dropdown Lists'!$AF$4:$AF$8</definedName>
    <definedName name="dressfulfillment_center_id">'Dropdown Lists'!$AG$4:$AG$5</definedName>
    <definedName name="dresspackage_length_unit_of_measure">'Dropdown Lists'!$AH$4:$AH$9</definedName>
    <definedName name="dresslifestyle">'Dropdown Lists'!$AI$4:$AI$7</definedName>
    <definedName name="dressitem_length_description">'Dropdown Lists'!$AJ$4:$AJ$7</definedName>
    <definedName name="dressghs_classification_class">'Dropdown Lists'!$AK$4:$AK$13</definedName>
    <definedName name="dressapparel_size">'Dropdown Lists'!$AL$4:$AL$104</definedName>
    <definedName name="dresspackage_height_unit_of_measure">'Dropdown Lists'!$AM$4:$AM$9</definedName>
    <definedName name="dressoffering_can_be_giftwrapped">'Dropdown Lists'!$AN$4:$AN$5</definedName>
    <definedName name="dresslithium_battery_energy_content_unit_of_measure">'Dropdown Lists'!$AO$4:$AO$12</definedName>
    <definedName name="dressbattery_type">'Dropdown Lists'!$AP$4:$AP$22</definedName>
    <definedName name="dressouter_material_type">'Dropdown Lists'!$AQ$4:$AQ$21</definedName>
    <definedName name="dressapparel_size_system">'Dropdown Lists'!$AR$4</definedName>
    <definedName name="dressflash_point_unit_of_measure">'Dropdown Lists'!$AS$4:$AS$6</definedName>
    <definedName name="dresspackage_level">'Dropdown Lists'!$AT$4:$AT$6</definedName>
    <definedName name="dresseu_toys_safety_directive_warning">'Dropdown Lists'!$AU$4:$AU$12</definedName>
    <definedName name="dressapparel_size_class">'Dropdown Lists'!$AV$4:$AV$6</definedName>
    <definedName name="dressfc_shelf_life_unit_of_measure">'Dropdown Lists'!$AW$4:$AW$10</definedName>
    <definedName name="dressdepartment_name">'Dropdown Lists'!$AX$4:$AX$9</definedName>
    <definedName name="dressleague_name">'Dropdown Lists'!$AY$4:$AY$51</definedName>
    <definedName name="dresscondition_type">'Dropdown Lists'!$AZ$4:$AZ$13</definedName>
    <definedName name="dressspecial_size_type">'Dropdown Lists'!$BA$4:$BA$7</definedName>
    <definedName name="dressbattery_weight_unit_of_measure">'Dropdown Lists'!$BB$4:$BB$8</definedName>
    <definedName name="dressmerchant_shipping_group_name">'Dropdown Lists'!$BC$4</definedName>
    <definedName name="dressgtin_exemption_reason">'Dropdown Lists'!$BD$4:$BD$5</definedName>
    <definedName name="dressis_discontinued_by_manufacturer">'Dropdown Lists'!$BE$4:$BE$5</definedName>
    <definedName name="dressitem_weight_unit_of_measure">'Dropdown Lists'!$BF$4:$BF$8</definedName>
    <definedName name="dresssupplier_declared_material_regulation">'Dropdown Lists'!$BG$4:$BG$7</definedName>
    <definedName name="dresssleeve_type">'Dropdown Lists'!$BH$4:$BH$7</definedName>
    <definedName name="dresslanguage_value">'Dropdown Lists'!$BI$4:$BI$546</definedName>
    <definedName name="dressitem_volume_unit_of_measure">'Dropdown Lists'!$BJ$4:$BJ$21</definedName>
    <definedName name="dresspricing_action">'Dropdown Lists'!$BK$4:$BK$6</definedName>
    <definedName name="dressparent_child">'Dropdown Lists'!$BL$4:$BL$7</definedName>
    <definedName name="dresspackage_width_unit_of_measure">'Dropdown Lists'!$BM$4:$BM$9</definedName>
    <definedName name="dresslifecycle_supply_type">'Dropdown Lists'!$BN$4:$BN$7</definedName>
    <definedName name="dressquantity_price_type">'Dropdown Lists'!$BO$4:$BO$5</definedName>
    <definedName name="dressproduct_tax_code">'Dropdown Lists'!$BP$4:$BP$72</definedName>
    <definedName name="dresscare_instructions">'Dropdown Lists'!$BQ$4:$BQ$6</definedName>
    <definedName name="dressoffering_can_be_gift_messaged">'Dropdown Lists'!$BR$4:$BR$5</definedName>
    <definedName name="dressapparel_size_to">'Dropdown Lists'!$BS$4:$BS$104</definedName>
    <definedName name="dressstyle_name">'Dropdown Lists'!$BT$4:$BT$24</definedName>
    <definedName name="brand_name">'Dropdown Lists'!$BU$4:$BU$12</definedName>
    <definedName name="merchant_shipping_group_name">'Dropdown Lists'!$BV$4</definedName>
    <definedName name="dressrecommended_browse_nodes">'Dropdown Lists'!$BW$4:$BW$288</definedName>
    <definedName name="requiredAttributePTDMap">AttributePTDMAP!$A$1:$B$29</definedName>
    <definedName name="optionalAttributePTDMap">AttributePTDMAP!$A$30:$B$189</definedName>
    <definedName name="preferredAttributePTDMap">AttributePTDMAP!$A$190:$B$194</definedName>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item_sku">template!$B$1:$B$1048498</definedName>
    <definedName name="dressitem_width_unit_of_measure">'[1]Dropdown Lists'!$E$4:$E$9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<sst xmlns="http://schemas.openxmlformats.org/spreadsheetml/2006/main" count="2809" uniqueCount="2051">
  <si>
    <t/>
  </si>
  <si>
    <t>dress</t>
  </si>
  <si>
    <t>feed_product_type</t>
  </si>
  <si>
    <t>relationship_type</t>
  </si>
  <si>
    <t>age_range_description</t>
  </si>
  <si>
    <t>is_autographed</t>
  </si>
  <si>
    <t>is_expiration_dated_product</t>
  </si>
  <si>
    <t>apparel_body_type</t>
  </si>
  <si>
    <t>country_of_origin</t>
  </si>
  <si>
    <t>lithium_battery_packaging</t>
  </si>
  <si>
    <t>external_product_id_type</t>
  </si>
  <si>
    <t>variation_theme</t>
  </si>
  <si>
    <t>target_gender</t>
  </si>
  <si>
    <t>neck_style</t>
  </si>
  <si>
    <t>currency</t>
  </si>
  <si>
    <t>supplier_declared_dg_hz_regulation1</t>
  </si>
  <si>
    <t>batteries_required</t>
  </si>
  <si>
    <t>battery_cell_composition</t>
  </si>
  <si>
    <t>package_weight_unit_of_measure</t>
  </si>
  <si>
    <t>update_delete</t>
  </si>
  <si>
    <t>apparel_height_type</t>
  </si>
  <si>
    <t>color_map</t>
  </si>
  <si>
    <t>are_batteries_included</t>
  </si>
  <si>
    <t>product_expiration_type</t>
  </si>
  <si>
    <t>size_map</t>
  </si>
  <si>
    <t>temperature_rating</t>
  </si>
  <si>
    <t>seasons</t>
  </si>
  <si>
    <t>team_name</t>
  </si>
  <si>
    <t>eu_toys_safety_directive_language</t>
  </si>
  <si>
    <t>ec_medical_device_sales_channel</t>
  </si>
  <si>
    <t>website_shipping_weight_unit_of_measure</t>
  </si>
  <si>
    <t>collection_name</t>
  </si>
  <si>
    <t>progressive_discount_type</t>
  </si>
  <si>
    <t>lithium_battery_weight_unit_of_measure</t>
  </si>
  <si>
    <t>fulfillment_center_id</t>
  </si>
  <si>
    <t>package_length_unit_of_measure</t>
  </si>
  <si>
    <t>lifestyle</t>
  </si>
  <si>
    <t>item_length_description</t>
  </si>
  <si>
    <t>ghs_classification_class1</t>
  </si>
  <si>
    <t>apparel_size</t>
  </si>
  <si>
    <t>package_height_unit_of_measure</t>
  </si>
  <si>
    <t>offering_can_be_giftwrapped</t>
  </si>
  <si>
    <t>lithium_battery_energy_content_unit_of_measure</t>
  </si>
  <si>
    <t>battery_type1</t>
  </si>
  <si>
    <t>outer_material_type</t>
  </si>
  <si>
    <t>apparel_size_system</t>
  </si>
  <si>
    <t>flash_point_unit_of_measure</t>
  </si>
  <si>
    <t>package_level</t>
  </si>
  <si>
    <t>eu_toys_safety_directive_warning</t>
  </si>
  <si>
    <t>apparel_size_class</t>
  </si>
  <si>
    <t>fc_shelf_life_unit_of_measure</t>
  </si>
  <si>
    <t>department_name</t>
  </si>
  <si>
    <t>league_name</t>
  </si>
  <si>
    <t>condition_type</t>
  </si>
  <si>
    <t>special_size_type</t>
  </si>
  <si>
    <t>battery_weight_unit_of_measure</t>
  </si>
  <si>
    <t>merchant_shipping_group_name</t>
  </si>
  <si>
    <t>gtin_exemption_reason</t>
  </si>
  <si>
    <t>is_discontinued_by_manufacturer</t>
  </si>
  <si>
    <t>item_weight_unit_of_measure</t>
  </si>
  <si>
    <t>supplier_declared_material_regulation1</t>
  </si>
  <si>
    <t>sleeve_type</t>
  </si>
  <si>
    <t>language_value1</t>
  </si>
  <si>
    <t>item_volume_unit_of_measure</t>
  </si>
  <si>
    <t>pricing_action</t>
  </si>
  <si>
    <t>parent_child</t>
  </si>
  <si>
    <t>package_width_unit_of_measure</t>
  </si>
  <si>
    <t>lifecycle_supply_type</t>
  </si>
  <si>
    <t>quantity_price_type</t>
  </si>
  <si>
    <t>product_tax_code</t>
  </si>
  <si>
    <t>care_instructions</t>
  </si>
  <si>
    <t>offering_can_be_gift_messaged</t>
  </si>
  <si>
    <t>apparel_size_to</t>
  </si>
  <si>
    <t>style_name</t>
  </si>
  <si>
    <t>brand_name</t>
  </si>
  <si>
    <t>recommended_browse_nodes</t>
  </si>
  <si>
    <t>Accessory</t>
  </si>
  <si>
    <t>Adulto</t>
  </si>
  <si>
    <t>Sí</t>
  </si>
  <si>
    <t>Grande</t>
  </si>
  <si>
    <t>Afganistán</t>
  </si>
  <si>
    <t>Baterías en el paquete</t>
  </si>
  <si>
    <t>GTIN</t>
  </si>
  <si>
    <t>ItemPackageQuantity-Material</t>
  </si>
  <si>
    <t>Masculino</t>
  </si>
  <si>
    <t>abotonado</t>
  </si>
  <si>
    <t>JPY</t>
  </si>
  <si>
    <t>GHS</t>
  </si>
  <si>
    <t>Yes</t>
  </si>
  <si>
    <t>lead_acid_agm</t>
  </si>
  <si>
    <t>LB</t>
  </si>
  <si>
    <t>Actualización</t>
  </si>
  <si>
    <t>Pequeño</t>
  </si>
  <si>
    <t>Beige</t>
  </si>
  <si>
    <t>Does Not Expire</t>
  </si>
  <si>
    <t>talla única</t>
  </si>
  <si>
    <t>Temperatura ambiente: de 15 °C a 25 °C</t>
  </si>
  <si>
    <t>Autumn-Winter</t>
  </si>
  <si>
    <t>Tenis</t>
  </si>
  <si>
    <t>Griego</t>
  </si>
  <si>
    <t>Exento de la clasificación de dispositivos médicos (MDR) y dispositivos médicos de diagnóstico in vitro (IVDR)</t>
  </si>
  <si>
    <t>otoño-invierno 18</t>
  </si>
  <si>
    <t>fixed</t>
  </si>
  <si>
    <t>AMAZON_EU</t>
  </si>
  <si>
    <t>IN</t>
  </si>
  <si>
    <t>casual</t>
  </si>
  <si>
    <t>maxi</t>
  </si>
  <si>
    <t>explosive</t>
  </si>
  <si>
    <t>30</t>
  </si>
  <si>
    <t>Kilovatios-hora</t>
  </si>
  <si>
    <t>Número de baterías AA</t>
  </si>
  <si>
    <t>algodón</t>
  </si>
  <si>
    <t>FR / ES</t>
  </si>
  <si>
    <t>Kelvin</t>
  </si>
  <si>
    <t>unit</t>
  </si>
  <si>
    <t>Contiene fragancias potencialmente alérgicas</t>
  </si>
  <si>
    <t>Edad</t>
  </si>
  <si>
    <t>Años</t>
  </si>
  <si>
    <t>bebé-niñas</t>
  </si>
  <si>
    <t>Baloncesto japonés</t>
  </si>
  <si>
    <t>De coleccionista - muy bueno</t>
  </si>
  <si>
    <t>default</t>
  </si>
  <si>
    <t>part</t>
  </si>
  <si>
    <t>Lana</t>
  </si>
  <si>
    <t>manga 3/4</t>
  </si>
  <si>
    <t>Sin calificar</t>
  </si>
  <si>
    <t>cups</t>
  </si>
  <si>
    <t>delete business_price</t>
  </si>
  <si>
    <t>Principal</t>
  </si>
  <si>
    <t>Perennial</t>
  </si>
  <si>
    <t>A_BABY_BIBCLOTH</t>
  </si>
  <si>
    <t>Lavar a máquina</t>
  </si>
  <si>
    <t>ajustado</t>
  </si>
  <si>
    <t>Ever-Pretty Plus</t>
  </si>
  <si>
    <t>Plantilla de Amazon</t>
  </si>
  <si>
    <t>2928725031</t>
  </si>
  <si>
    <t>Variation</t>
  </si>
  <si>
    <t>Infante</t>
  </si>
  <si>
    <t>No</t>
  </si>
  <si>
    <t>Regular</t>
  </si>
  <si>
    <t>Albania</t>
  </si>
  <si>
    <t>Baterías incluidas en el producto</t>
  </si>
  <si>
    <t>EAN</t>
  </si>
  <si>
    <t>ItemPackageQuantity</t>
  </si>
  <si>
    <t>Femenino</t>
  </si>
  <si>
    <t>asimétrico</t>
  </si>
  <si>
    <t>MXN</t>
  </si>
  <si>
    <t>Unknown</t>
  </si>
  <si>
    <t>lithium_air</t>
  </si>
  <si>
    <t>OZ</t>
  </si>
  <si>
    <t>Actualizar parcialmente</t>
  </si>
  <si>
    <t>Corto</t>
  </si>
  <si>
    <t>Negro</t>
  </si>
  <si>
    <t>Expiration Date Required</t>
  </si>
  <si>
    <t>xx-small</t>
  </si>
  <si>
    <t>Frío o fresco: de 8 °C a 15 °C</t>
  </si>
  <si>
    <t>Spring-Summer</t>
  </si>
  <si>
    <t>Sueco</t>
  </si>
  <si>
    <t>Otros sin receta</t>
  </si>
  <si>
    <t>primavera-verano 18</t>
  </si>
  <si>
    <t>percent</t>
  </si>
  <si>
    <t>DEFAULT</t>
  </si>
  <si>
    <t>FT</t>
  </si>
  <si>
    <t>ceremonia</t>
  </si>
  <si>
    <t>midi</t>
  </si>
  <si>
    <t>flammable</t>
  </si>
  <si>
    <t>32</t>
  </si>
  <si>
    <t>Joules</t>
  </si>
  <si>
    <t>Batería AAA</t>
  </si>
  <si>
    <t>cáñamo</t>
  </si>
  <si>
    <t>Grados Fahrenheit</t>
  </si>
  <si>
    <t>pallet</t>
  </si>
  <si>
    <t>Necesita dispositivo de protección</t>
  </si>
  <si>
    <t>Letras</t>
  </si>
  <si>
    <t>Segundos</t>
  </si>
  <si>
    <t>bebé-niños</t>
  </si>
  <si>
    <t>MLB</t>
  </si>
  <si>
    <t>De 2ª mano - bueno</t>
  </si>
  <si>
    <t>Premamá</t>
  </si>
  <si>
    <t>bundle</t>
  </si>
  <si>
    <t>Piel</t>
  </si>
  <si>
    <t>manga corta</t>
  </si>
  <si>
    <t>Escandinavo</t>
  </si>
  <si>
    <t>microliters</t>
  </si>
  <si>
    <t>delete quantity_price</t>
  </si>
  <si>
    <t>Parent</t>
  </si>
  <si>
    <t>Year Round Replenishable</t>
  </si>
  <si>
    <t>A_BABY_CARSEAT</t>
  </si>
  <si>
    <t>Limpieza en seco solamente.</t>
  </si>
  <si>
    <t>EVER PRETTY</t>
  </si>
  <si>
    <t>2928914031</t>
  </si>
  <si>
    <t>variation</t>
  </si>
  <si>
    <t>Niño</t>
  </si>
  <si>
    <t>Alemania</t>
  </si>
  <si>
    <t>Sólo baterías</t>
  </si>
  <si>
    <t>GCID</t>
  </si>
  <si>
    <t>Color</t>
  </si>
  <si>
    <t>Unisex</t>
  </si>
  <si>
    <t>banda</t>
  </si>
  <si>
    <t>EUR</t>
  </si>
  <si>
    <t>Other</t>
  </si>
  <si>
    <t>lithium_cobalt</t>
  </si>
  <si>
    <t>KG</t>
  </si>
  <si>
    <t>Eliminación</t>
  </si>
  <si>
    <t>Azul</t>
  </si>
  <si>
    <t>Expiration On Package</t>
  </si>
  <si>
    <t>x-small</t>
  </si>
  <si>
    <t>Congelador: -15 °C o más bajo</t>
  </si>
  <si>
    <t>Alemán</t>
  </si>
  <si>
    <t>Farmacia sin receta</t>
  </si>
  <si>
    <t>otoño-invierno 17</t>
  </si>
  <si>
    <t>CM</t>
  </si>
  <si>
    <t>negocios</t>
  </si>
  <si>
    <t>mini</t>
  </si>
  <si>
    <t>oxidizing</t>
  </si>
  <si>
    <t>34</t>
  </si>
  <si>
    <t>Pie cúbico</t>
  </si>
  <si>
    <t>Batería ión-litio</t>
  </si>
  <si>
    <t>caucho</t>
  </si>
  <si>
    <t>Grados Celsius</t>
  </si>
  <si>
    <t>case</t>
  </si>
  <si>
    <t>Potencial riesgo de estrangulamiento</t>
  </si>
  <si>
    <t>Números</t>
  </si>
  <si>
    <t>Meses</t>
  </si>
  <si>
    <t>hombre</t>
  </si>
  <si>
    <t>Pro Wrestling League</t>
  </si>
  <si>
    <t>Club</t>
  </si>
  <si>
    <t>Bajo</t>
  </si>
  <si>
    <t>No aplicable</t>
  </si>
  <si>
    <t>manga larga</t>
  </si>
  <si>
    <t>Belarusian</t>
  </si>
  <si>
    <t>cubic_feet</t>
  </si>
  <si>
    <t>delete progressive_discount</t>
  </si>
  <si>
    <t>Child</t>
  </si>
  <si>
    <t>Seasonal Basic</t>
  </si>
  <si>
    <t>A_BABY_NAPPIES</t>
  </si>
  <si>
    <t>Lavar solo a mano.</t>
  </si>
  <si>
    <t>camisero</t>
  </si>
  <si>
    <t>EVER-PRETTY</t>
  </si>
  <si>
    <t>26392316031</t>
  </si>
  <si>
    <t>package_contains</t>
  </si>
  <si>
    <t>Niños pequeños</t>
  </si>
  <si>
    <t>Andorra</t>
  </si>
  <si>
    <t>UPC</t>
  </si>
  <si>
    <t>color-size</t>
  </si>
  <si>
    <t>barco</t>
  </si>
  <si>
    <t>GBP</t>
  </si>
  <si>
    <t>Not Applicable</t>
  </si>
  <si>
    <t>lithium_nickel_cobalt_aluminum</t>
  </si>
  <si>
    <t>MG</t>
  </si>
  <si>
    <t>Alto</t>
  </si>
  <si>
    <t>Marrón</t>
  </si>
  <si>
    <t>Production Date Required</t>
  </si>
  <si>
    <t>small</t>
  </si>
  <si>
    <t>Refrigerador: de 2 °C a 8 °C</t>
  </si>
  <si>
    <t>Español</t>
  </si>
  <si>
    <t>Venta al por menor sin receta médica</t>
  </si>
  <si>
    <t>primavera-verano 17</t>
  </si>
  <si>
    <t>MM</t>
  </si>
  <si>
    <t>noche</t>
  </si>
  <si>
    <t>por la rodilla</t>
  </si>
  <si>
    <t>compressed_gas</t>
  </si>
  <si>
    <t>36</t>
  </si>
  <si>
    <t>watt_hours</t>
  </si>
  <si>
    <t>Pila A</t>
  </si>
  <si>
    <t>cuero</t>
  </si>
  <si>
    <t>Necesita de la supervisión de un adulto</t>
  </si>
  <si>
    <t>Días</t>
  </si>
  <si>
    <t>mujer</t>
  </si>
  <si>
    <t>WUSA</t>
  </si>
  <si>
    <t>De coleccionista - aceptable</t>
  </si>
  <si>
    <t>Bambú</t>
  </si>
  <si>
    <t>sin mangas</t>
  </si>
  <si>
    <t>Scandinavian Languages</t>
  </si>
  <si>
    <t>centiliters</t>
  </si>
  <si>
    <t>Hijo</t>
  </si>
  <si>
    <t>Fashion</t>
  </si>
  <si>
    <t>A_BOOK_ATLAS</t>
  </si>
  <si>
    <t>cóctel</t>
  </si>
  <si>
    <t>EVER-PRETTY(エバー プリティー)</t>
  </si>
  <si>
    <t>26392322031</t>
  </si>
  <si>
    <t>Angola</t>
  </si>
  <si>
    <t>ASIN</t>
  </si>
  <si>
    <t>Size</t>
  </si>
  <si>
    <t>cisne</t>
  </si>
  <si>
    <t>USD</t>
  </si>
  <si>
    <t>Transportation</t>
  </si>
  <si>
    <t>lithium_nickel_manganese_cobalt</t>
  </si>
  <si>
    <t>GR</t>
  </si>
  <si>
    <t>Extra alto</t>
  </si>
  <si>
    <t>Dorado</t>
  </si>
  <si>
    <t>Shelf Life</t>
  </si>
  <si>
    <t>medium</t>
  </si>
  <si>
    <t>Danés</t>
  </si>
  <si>
    <t>Otros con prescripción</t>
  </si>
  <si>
    <t>otoño-invierno 16</t>
  </si>
  <si>
    <t>M</t>
  </si>
  <si>
    <t>corrosive</t>
  </si>
  <si>
    <t>38</t>
  </si>
  <si>
    <t>Miliamperio-hora (mAh)</t>
  </si>
  <si>
    <t>Batería CR2</t>
  </si>
  <si>
    <t>denim</t>
  </si>
  <si>
    <t>El producto no incluye equipamiento de protección</t>
  </si>
  <si>
    <t>Horas</t>
  </si>
  <si>
    <t>niñas</t>
  </si>
  <si>
    <t>Béisbol japonés</t>
  </si>
  <si>
    <t>De coleccionista - como nuevo</t>
  </si>
  <si>
    <t>Pidgin English</t>
  </si>
  <si>
    <t>gallons</t>
  </si>
  <si>
    <t>A_BOOK_AUDIOBOOK</t>
  </si>
  <si>
    <t>con aberturas</t>
  </si>
  <si>
    <t>Ever Pretty</t>
  </si>
  <si>
    <t>2928719031</t>
  </si>
  <si>
    <t>Anguila</t>
  </si>
  <si>
    <t>Material</t>
  </si>
  <si>
    <t>con capucha</t>
  </si>
  <si>
    <t>CAD</t>
  </si>
  <si>
    <t>Waste</t>
  </si>
  <si>
    <t>lithium_phosphate</t>
  </si>
  <si>
    <t>Verde</t>
  </si>
  <si>
    <t>large</t>
  </si>
  <si>
    <t>Eslovaco</t>
  </si>
  <si>
    <t>Farmacia de prescripción</t>
  </si>
  <si>
    <t>primavera-verano 16</t>
  </si>
  <si>
    <t>Yardas</t>
  </si>
  <si>
    <t>toxic</t>
  </si>
  <si>
    <t>40</t>
  </si>
  <si>
    <t>Metro cúbico</t>
  </si>
  <si>
    <t>Batería C</t>
  </si>
  <si>
    <t>fieltro</t>
  </si>
  <si>
    <t>Solo para uso domestico</t>
  </si>
  <si>
    <t>Semanas</t>
  </si>
  <si>
    <t>niños</t>
  </si>
  <si>
    <t>NBA</t>
  </si>
  <si>
    <t>De 2ª mano - como nuevo</t>
  </si>
  <si>
    <t>Maharati</t>
  </si>
  <si>
    <t>quarts</t>
  </si>
  <si>
    <t>A_BOOK_GLOBE</t>
  </si>
  <si>
    <t>corte imperio</t>
  </si>
  <si>
    <t>Ever-Pretty</t>
  </si>
  <si>
    <t>2935096031</t>
  </si>
  <si>
    <t>Antártida</t>
  </si>
  <si>
    <t>Size-Material</t>
  </si>
  <si>
    <t>con solapa</t>
  </si>
  <si>
    <t>INR</t>
  </si>
  <si>
    <t>Storage</t>
  </si>
  <si>
    <t>lithium_titanate</t>
  </si>
  <si>
    <t>Gris</t>
  </si>
  <si>
    <t>x-large</t>
  </si>
  <si>
    <t>Italiano</t>
  </si>
  <si>
    <t>Venta al por menor con receta médica</t>
  </si>
  <si>
    <t>otoño-invierno 15</t>
  </si>
  <si>
    <t>irritant</t>
  </si>
  <si>
    <t>42</t>
  </si>
  <si>
    <t>Miliamperios-hora (mAh)</t>
  </si>
  <si>
    <t>Batería D</t>
  </si>
  <si>
    <t>forro polar</t>
  </si>
  <si>
    <t>Ningún aviso de seguridad aplicable</t>
  </si>
  <si>
    <t>Minutos</t>
  </si>
  <si>
    <t>Premiere League canadiense</t>
  </si>
  <si>
    <t>De coleccionista - bueno</t>
  </si>
  <si>
    <t>Bahasa</t>
  </si>
  <si>
    <t>nanoliters</t>
  </si>
  <si>
    <t>A_BOOK_MAGAZINE</t>
  </si>
  <si>
    <t>cuello hálter</t>
  </si>
  <si>
    <t>ever-pretty</t>
  </si>
  <si>
    <t>13901097031</t>
  </si>
  <si>
    <t>Antigua y Barbuda</t>
  </si>
  <si>
    <t>Color-ItemPackageQuantity</t>
  </si>
  <si>
    <t>escote cuadrado</t>
  </si>
  <si>
    <t>CNY</t>
  </si>
  <si>
    <t>nickel_iron</t>
  </si>
  <si>
    <t>Naranja</t>
  </si>
  <si>
    <t>xx-large</t>
  </si>
  <si>
    <t>Lituano</t>
  </si>
  <si>
    <t>Uso profesional</t>
  </si>
  <si>
    <t>primavera-verano 15</t>
  </si>
  <si>
    <t>health_hazard</t>
  </si>
  <si>
    <t>44</t>
  </si>
  <si>
    <t>Miliamperio-segundo (mAs)</t>
  </si>
  <si>
    <t>Batería CR5</t>
  </si>
  <si>
    <t>lana</t>
  </si>
  <si>
    <t>Necesita de la supervisión de un adulto si se utiliza bajo el agua</t>
  </si>
  <si>
    <t>X Games</t>
  </si>
  <si>
    <t>Nuevo</t>
  </si>
  <si>
    <t>Belgian</t>
  </si>
  <si>
    <t>liters</t>
  </si>
  <si>
    <t>A_BOOK_MAP</t>
  </si>
  <si>
    <t>de punto</t>
  </si>
  <si>
    <t>ايفير بريتي</t>
  </si>
  <si>
    <t>2929942031</t>
  </si>
  <si>
    <t>Antillas Holandesas</t>
  </si>
  <si>
    <t>ItemPackageQuantity-Size</t>
  </si>
  <si>
    <t>media cremallera</t>
  </si>
  <si>
    <t>nickel_zinc</t>
  </si>
  <si>
    <t>Rosa</t>
  </si>
  <si>
    <t>xxx-large</t>
  </si>
  <si>
    <t>Húngaro</t>
  </si>
  <si>
    <t>otoño-invierno 14</t>
  </si>
  <si>
    <t>environmentally_damaging</t>
  </si>
  <si>
    <t>46</t>
  </si>
  <si>
    <t>Unidad térmica británica</t>
  </si>
  <si>
    <t>Batería AAAA</t>
  </si>
  <si>
    <t>lentejuelas</t>
  </si>
  <si>
    <t>Contiene un juguete. Se recomienda la supervisión de un adulto</t>
  </si>
  <si>
    <t>Liga de fútbol india</t>
  </si>
  <si>
    <t>De 2ª mano - muy bueno</t>
  </si>
  <si>
    <t>Náhuatl</t>
  </si>
  <si>
    <t>picoliters</t>
  </si>
  <si>
    <t>A_BOOKS_GEN</t>
  </si>
  <si>
    <t>drapeado</t>
  </si>
  <si>
    <t>エバー プリティー</t>
  </si>
  <si>
    <t>2929375031</t>
  </si>
  <si>
    <t>Arabia Saudita</t>
  </si>
  <si>
    <t>Color-Material</t>
  </si>
  <si>
    <t>pico</t>
  </si>
  <si>
    <t>silver_calcium</t>
  </si>
  <si>
    <t>Morado</t>
  </si>
  <si>
    <t>xxxx-large</t>
  </si>
  <si>
    <t>Holandés</t>
  </si>
  <si>
    <t>primavera-verano 14</t>
  </si>
  <si>
    <t>amzn_specific_no_label_with_warning</t>
  </si>
  <si>
    <t>48</t>
  </si>
  <si>
    <t>Batería P76</t>
  </si>
  <si>
    <t>lino</t>
  </si>
  <si>
    <t>Federación Mexicana De Fútbol Asociación</t>
  </si>
  <si>
    <t>De 2ª mano - aceptable</t>
  </si>
  <si>
    <t>Romanche</t>
  </si>
  <si>
    <t>fluid_ounces</t>
  </si>
  <si>
    <t>A_CLTH_BABY</t>
  </si>
  <si>
    <t>encorsetado</t>
  </si>
  <si>
    <t>13901102031</t>
  </si>
  <si>
    <t>Argelia</t>
  </si>
  <si>
    <t>Material-Size</t>
  </si>
  <si>
    <t>polo</t>
  </si>
  <si>
    <t>silver_zinc</t>
  </si>
  <si>
    <t>Rojo</t>
  </si>
  <si>
    <t>Finlandés</t>
  </si>
  <si>
    <t>50</t>
  </si>
  <si>
    <t>Número de baterías específicas</t>
  </si>
  <si>
    <t>pana</t>
  </si>
  <si>
    <t>Fútbol holandés</t>
  </si>
  <si>
    <t>Provenzal</t>
  </si>
  <si>
    <t>cubic_meters</t>
  </si>
  <si>
    <t>A_CLTH_CHILD</t>
  </si>
  <si>
    <t>globo</t>
  </si>
  <si>
    <t>16160600031</t>
  </si>
  <si>
    <t>Argentina</t>
  </si>
  <si>
    <t>Material-Color</t>
  </si>
  <si>
    <t>redondo</t>
  </si>
  <si>
    <t>zinc_air</t>
  </si>
  <si>
    <t>Plateado</t>
  </si>
  <si>
    <t>Estonio</t>
  </si>
  <si>
    <t>52</t>
  </si>
  <si>
    <t>Litio-Polímero</t>
  </si>
  <si>
    <t>pelo</t>
  </si>
  <si>
    <t>Liga india de hockey</t>
  </si>
  <si>
    <t>Chino tradicional</t>
  </si>
  <si>
    <t>pints</t>
  </si>
  <si>
    <t>A_CLTH_PROTECTIVE</t>
  </si>
  <si>
    <t>kimono</t>
  </si>
  <si>
    <t>2935456031</t>
  </si>
  <si>
    <t>Armenia</t>
  </si>
  <si>
    <t>SizeName-ColorName</t>
  </si>
  <si>
    <t>lithium_thionyl_chloride</t>
  </si>
  <si>
    <t>Turquesa</t>
  </si>
  <si>
    <t>Esloveno</t>
  </si>
  <si>
    <t>54</t>
  </si>
  <si>
    <t>Desconocido</t>
  </si>
  <si>
    <t>pelo sintético</t>
  </si>
  <si>
    <t>Liga nacional de lacrosse</t>
  </si>
  <si>
    <t>Chino simplificado</t>
  </si>
  <si>
    <t>cubic_yards</t>
  </si>
  <si>
    <t>A_FOOD_ANIMALFOOD</t>
  </si>
  <si>
    <t>lápiz</t>
  </si>
  <si>
    <t>2935657031</t>
  </si>
  <si>
    <t>Aruba</t>
  </si>
  <si>
    <t>Color-Tamaño</t>
  </si>
  <si>
    <t>nickel_oxyhydroxide</t>
  </si>
  <si>
    <t>Blanco</t>
  </si>
  <si>
    <t>Inglés</t>
  </si>
  <si>
    <t>56</t>
  </si>
  <si>
    <t>Batería metal de litio</t>
  </si>
  <si>
    <t>plumaje</t>
  </si>
  <si>
    <t>MLS</t>
  </si>
  <si>
    <t>Valencian</t>
  </si>
  <si>
    <t>cubic_inches</t>
  </si>
  <si>
    <t>A_FOOD_ANIMALMED</t>
  </si>
  <si>
    <t>peplum</t>
  </si>
  <si>
    <t>2929541031</t>
  </si>
  <si>
    <t>Australia</t>
  </si>
  <si>
    <t>SizeName</t>
  </si>
  <si>
    <t>zinc_chloride</t>
  </si>
  <si>
    <t>Amarillo</t>
  </si>
  <si>
    <t>Portugués</t>
  </si>
  <si>
    <t>58</t>
  </si>
  <si>
    <t>Batería no Estándar</t>
  </si>
  <si>
    <t>satén</t>
  </si>
  <si>
    <t>NFL</t>
  </si>
  <si>
    <t>Español latino</t>
  </si>
  <si>
    <t>imperial_gallons</t>
  </si>
  <si>
    <t>A_FOOD_ANIMALVITAMINS</t>
  </si>
  <si>
    <t>plisado</t>
  </si>
  <si>
    <t>2935439031</t>
  </si>
  <si>
    <t>Austria</t>
  </si>
  <si>
    <t>ItemPackageQuantity-Color</t>
  </si>
  <si>
    <t>lithium</t>
  </si>
  <si>
    <t>Marfil</t>
  </si>
  <si>
    <t>Búlgaro</t>
  </si>
  <si>
    <t>60</t>
  </si>
  <si>
    <t>Batería CR123A</t>
  </si>
  <si>
    <t>seda</t>
  </si>
  <si>
    <t>Pro Volleyball League</t>
  </si>
  <si>
    <t>Gahrwali</t>
  </si>
  <si>
    <t>milliliters</t>
  </si>
  <si>
    <t>A_FOOD_CAKEDECOR</t>
  </si>
  <si>
    <t>recto</t>
  </si>
  <si>
    <t>2930020031</t>
  </si>
  <si>
    <t>Azerbaiyán</t>
  </si>
  <si>
    <t>ColorName</t>
  </si>
  <si>
    <t>zinc_carbon</t>
  </si>
  <si>
    <t>Multicolor</t>
  </si>
  <si>
    <t>Polaco</t>
  </si>
  <si>
    <t>62</t>
  </si>
  <si>
    <t>LR44</t>
  </si>
  <si>
    <t>sintético</t>
  </si>
  <si>
    <t>Selecciones de fútbol</t>
  </si>
  <si>
    <t>Tulu</t>
  </si>
  <si>
    <t>cubic_centimeters</t>
  </si>
  <si>
    <t>A_FOOD_CANFRUIT</t>
  </si>
  <si>
    <t>sin tirantes</t>
  </si>
  <si>
    <t>2935737031</t>
  </si>
  <si>
    <t>Bélgica</t>
  </si>
  <si>
    <t>mercury_oxide</t>
  </si>
  <si>
    <t>Transparente</t>
  </si>
  <si>
    <t>Rumano</t>
  </si>
  <si>
    <t>64</t>
  </si>
  <si>
    <t>Batería 12v</t>
  </si>
  <si>
    <t>terciopelo</t>
  </si>
  <si>
    <t>Fútbol francés</t>
  </si>
  <si>
    <t>Kumaoni</t>
  </si>
  <si>
    <t>deciliters</t>
  </si>
  <si>
    <t>A_FOOD_CEREALBARS</t>
  </si>
  <si>
    <t>skater</t>
  </si>
  <si>
    <t>2935674031</t>
  </si>
  <si>
    <t>Bahrein</t>
  </si>
  <si>
    <t>plomo-ácido-estampado</t>
  </si>
  <si>
    <t>Francés</t>
  </si>
  <si>
    <t>66</t>
  </si>
  <si>
    <t>Batería 9v</t>
  </si>
  <si>
    <t>Fútbol inglés</t>
  </si>
  <si>
    <t>Haryanvi</t>
  </si>
  <si>
    <t>A_FOOD_CEREALCHOCBARS</t>
  </si>
  <si>
    <t>trapecio</t>
  </si>
  <si>
    <t>26086424031</t>
  </si>
  <si>
    <t>Bangladesh</t>
  </si>
  <si>
    <t>NiMh</t>
  </si>
  <si>
    <t>Checo</t>
  </si>
  <si>
    <t>68</t>
  </si>
  <si>
    <t>Otros equipos de fútbol</t>
  </si>
  <si>
    <t>PortugueseBrazilian</t>
  </si>
  <si>
    <t>A_FOOD_CHOCEREAL</t>
  </si>
  <si>
    <t>tulipán</t>
  </si>
  <si>
    <t>3074887031</t>
  </si>
  <si>
    <t>Barbados</t>
  </si>
  <si>
    <t>alkaline</t>
  </si>
  <si>
    <t>Letón</t>
  </si>
  <si>
    <t>70</t>
  </si>
  <si>
    <t>Fútbol alemán</t>
  </si>
  <si>
    <t>OldIrish</t>
  </si>
  <si>
    <t>A_FOOD_CNDY</t>
  </si>
  <si>
    <t>túnica</t>
  </si>
  <si>
    <t>26086476031</t>
  </si>
  <si>
    <t>Belarús</t>
  </si>
  <si>
    <t>lithium_polymer</t>
  </si>
  <si>
    <t>72</t>
  </si>
  <si>
    <t>Fútbol portugués</t>
  </si>
  <si>
    <t>Egyptian</t>
  </si>
  <si>
    <t>A_FOOD_COFFEE</t>
  </si>
  <si>
    <t>2930055031</t>
  </si>
  <si>
    <t>Belice</t>
  </si>
  <si>
    <t>NiCAD</t>
  </si>
  <si>
    <t>74</t>
  </si>
  <si>
    <t>Masai</t>
  </si>
  <si>
    <t>A_FOOD_DAIRY</t>
  </si>
  <si>
    <t>26984259031</t>
  </si>
  <si>
    <t>Benin</t>
  </si>
  <si>
    <t>óxido-plata</t>
  </si>
  <si>
    <t>76</t>
  </si>
  <si>
    <t>Fútbol escocés</t>
  </si>
  <si>
    <t>Kongo</t>
  </si>
  <si>
    <t>A_FOOD_DESSERT</t>
  </si>
  <si>
    <t>26039391031</t>
  </si>
  <si>
    <t>Bermuda</t>
  </si>
  <si>
    <t>dióxido-manganeso-litio</t>
  </si>
  <si>
    <t>80</t>
  </si>
  <si>
    <t>PGA</t>
  </si>
  <si>
    <t>Rarotongan</t>
  </si>
  <si>
    <t>A_FOOD_DRIEDFRUIT</t>
  </si>
  <si>
    <t>2929295031</t>
  </si>
  <si>
    <t>BES Islands</t>
  </si>
  <si>
    <t>lead_calcium</t>
  </si>
  <si>
    <t>86</t>
  </si>
  <si>
    <t>Fútbol italiano</t>
  </si>
  <si>
    <t>Siksika</t>
  </si>
  <si>
    <t>A_FOOD_FLOUR</t>
  </si>
  <si>
    <t>2929437031</t>
  </si>
  <si>
    <t>Birmania (Myanmar)</t>
  </si>
  <si>
    <t>litio-metal</t>
  </si>
  <si>
    <t>92</t>
  </si>
  <si>
    <t>NCAA</t>
  </si>
  <si>
    <t>Pampanga</t>
  </si>
  <si>
    <t>A_FOOD_GEN</t>
  </si>
  <si>
    <t>2935130031</t>
  </si>
  <si>
    <t>Bolivia</t>
  </si>
  <si>
    <t>polymer</t>
  </si>
  <si>
    <t>98</t>
  </si>
  <si>
    <t>Copa mundial de fútbol</t>
  </si>
  <si>
    <t>NorthernFrisian</t>
  </si>
  <si>
    <t>A_FOOD_MEATCHICKEN</t>
  </si>
  <si>
    <t>2929328031</t>
  </si>
  <si>
    <t>Bosnia y Herzegovina</t>
  </si>
  <si>
    <t>alumnio-oxígeno</t>
  </si>
  <si>
    <t>104</t>
  </si>
  <si>
    <t>Fútbol japonés</t>
  </si>
  <si>
    <t>DravidianLanguages</t>
  </si>
  <si>
    <t>A_FOOD_MISCBEVERAGE</t>
  </si>
  <si>
    <t>2929284031</t>
  </si>
  <si>
    <t>Botswana</t>
  </si>
  <si>
    <t>plomo-ácido</t>
  </si>
  <si>
    <t>110</t>
  </si>
  <si>
    <t>Liga de fútbol canadiense</t>
  </si>
  <si>
    <t>Lezghian</t>
  </si>
  <si>
    <t>A_FOOD_NAAN</t>
  </si>
  <si>
    <t>2929529031</t>
  </si>
  <si>
    <t>Brasil</t>
  </si>
  <si>
    <t>zinc</t>
  </si>
  <si>
    <t>116</t>
  </si>
  <si>
    <t>Deportes electrónicos</t>
  </si>
  <si>
    <t>CaucasianLanguages</t>
  </si>
  <si>
    <t>A_FOOD_NCARBWTR</t>
  </si>
  <si>
    <t>15326650031</t>
  </si>
  <si>
    <t>British Indian Ocean Territory</t>
  </si>
  <si>
    <t>manganeso</t>
  </si>
  <si>
    <t>120</t>
  </si>
  <si>
    <t>Fútbol español</t>
  </si>
  <si>
    <t>HiriMotu</t>
  </si>
  <si>
    <t>A_FOOD_OIL</t>
  </si>
  <si>
    <t>2935736031</t>
  </si>
  <si>
    <t>Brunei</t>
  </si>
  <si>
    <t>lithium_ion</t>
  </si>
  <si>
    <t>122</t>
  </si>
  <si>
    <t>NWSL</t>
  </si>
  <si>
    <t>Tuvalu</t>
  </si>
  <si>
    <t>A_FOOD_PASTANOODLE</t>
  </si>
  <si>
    <t>3074498031</t>
  </si>
  <si>
    <t>Bulgaria</t>
  </si>
  <si>
    <t>2 años</t>
  </si>
  <si>
    <t>128</t>
  </si>
  <si>
    <t>I-League</t>
  </si>
  <si>
    <t>SonghaiLanguages</t>
  </si>
  <si>
    <t>A_FOOD_PASTRYCASE</t>
  </si>
  <si>
    <t>3074811031</t>
  </si>
  <si>
    <t>Burkina Faso</t>
  </si>
  <si>
    <t>3 años</t>
  </si>
  <si>
    <t>130</t>
  </si>
  <si>
    <t>Fórmula 1</t>
  </si>
  <si>
    <t>CelticLanguages</t>
  </si>
  <si>
    <t>A_FOOD_PETFOOD</t>
  </si>
  <si>
    <t>2935656031</t>
  </si>
  <si>
    <t>Burundi</t>
  </si>
  <si>
    <t>4 años</t>
  </si>
  <si>
    <t>134</t>
  </si>
  <si>
    <t>NHL</t>
  </si>
  <si>
    <t>UpperSorbian</t>
  </si>
  <si>
    <t>A_FOOD_PLAINBISCUIT</t>
  </si>
  <si>
    <t>26086509031</t>
  </si>
  <si>
    <t>Bután</t>
  </si>
  <si>
    <t>5 años</t>
  </si>
  <si>
    <t>140</t>
  </si>
  <si>
    <t>UFC</t>
  </si>
  <si>
    <t>Manchu</t>
  </si>
  <si>
    <t>A_FOOD_PLAINCRACKER</t>
  </si>
  <si>
    <t>2935226031</t>
  </si>
  <si>
    <t>Cabo Verde</t>
  </si>
  <si>
    <t>6 años</t>
  </si>
  <si>
    <t>146</t>
  </si>
  <si>
    <t>Cricket internacional</t>
  </si>
  <si>
    <t>PapuanLanguages</t>
  </si>
  <si>
    <t>A_FOOD_PLAINNUT</t>
  </si>
  <si>
    <t>2936158031</t>
  </si>
  <si>
    <t>Camboya</t>
  </si>
  <si>
    <t>7 años</t>
  </si>
  <si>
    <t>150</t>
  </si>
  <si>
    <t>Minor League Baseball</t>
  </si>
  <si>
    <t>NiloSaharanLanguages</t>
  </si>
  <si>
    <t>A_FOOD_RICE</t>
  </si>
  <si>
    <t>3074119031</t>
  </si>
  <si>
    <t>Camerún</t>
  </si>
  <si>
    <t>8 años</t>
  </si>
  <si>
    <t>152</t>
  </si>
  <si>
    <t>NASCAR</t>
  </si>
  <si>
    <t>KarenLanguages</t>
  </si>
  <si>
    <t>A_FOOD_SEASONINGS</t>
  </si>
  <si>
    <t>2930019031</t>
  </si>
  <si>
    <t>Canadá</t>
  </si>
  <si>
    <t>9 años</t>
  </si>
  <si>
    <t>158</t>
  </si>
  <si>
    <t>Pro Kabaddi League</t>
  </si>
  <si>
    <t>Hitita</t>
  </si>
  <si>
    <t>A_FOOD_SNACK</t>
  </si>
  <si>
    <t>26039390031</t>
  </si>
  <si>
    <t>Canarias</t>
  </si>
  <si>
    <t>10 años</t>
  </si>
  <si>
    <t>160</t>
  </si>
  <si>
    <t>WWE</t>
  </si>
  <si>
    <t>MundaLanguages</t>
  </si>
  <si>
    <t>A_FOOD_SODAJUICE</t>
  </si>
  <si>
    <t>16042177031</t>
  </si>
  <si>
    <t>Chad</t>
  </si>
  <si>
    <t>11 años</t>
  </si>
  <si>
    <t>164</t>
  </si>
  <si>
    <t>Premier Badminton League</t>
  </si>
  <si>
    <t>Fulah</t>
  </si>
  <si>
    <t>A_FOOD_SODAJUICEUNSWEET</t>
  </si>
  <si>
    <t>2936376031</t>
  </si>
  <si>
    <t>Chile</t>
  </si>
  <si>
    <t>12 años</t>
  </si>
  <si>
    <t>170</t>
  </si>
  <si>
    <t>Baloncesto europeo</t>
  </si>
  <si>
    <t>Lushai</t>
  </si>
  <si>
    <t>A_FOOD_SPREAD</t>
  </si>
  <si>
    <t>15326643031</t>
  </si>
  <si>
    <t>China</t>
  </si>
  <si>
    <t>13 años</t>
  </si>
  <si>
    <t>176</t>
  </si>
  <si>
    <t>World Baseball Classic</t>
  </si>
  <si>
    <t>GalibiCarib</t>
  </si>
  <si>
    <t>A_FOOD_SWEETNER</t>
  </si>
  <si>
    <t>2929306031</t>
  </si>
  <si>
    <t>Chipre</t>
  </si>
  <si>
    <t>14 años</t>
  </si>
  <si>
    <t>182</t>
  </si>
  <si>
    <t>LPGA</t>
  </si>
  <si>
    <t>Niuean</t>
  </si>
  <si>
    <t>A_FOOD_TEA</t>
  </si>
  <si>
    <t>2935100031</t>
  </si>
  <si>
    <t>Colombia</t>
  </si>
  <si>
    <t>15 años</t>
  </si>
  <si>
    <t>188</t>
  </si>
  <si>
    <t>Premier League india</t>
  </si>
  <si>
    <t>Ojibwa</t>
  </si>
  <si>
    <t>A_FOOD_VEGETABLE</t>
  </si>
  <si>
    <t>2929283031</t>
  </si>
  <si>
    <t>Corea del Norte</t>
  </si>
  <si>
    <t>16 años</t>
  </si>
  <si>
    <t>Talla única</t>
  </si>
  <si>
    <t>WNBA</t>
  </si>
  <si>
    <t>Bliss</t>
  </si>
  <si>
    <t>A_GEN_NOTAX</t>
  </si>
  <si>
    <t>5512277031</t>
  </si>
  <si>
    <t>Corea del Sur</t>
  </si>
  <si>
    <t>6XS</t>
  </si>
  <si>
    <t>JudeoArabic</t>
  </si>
  <si>
    <t>A_GEN_REDUCED</t>
  </si>
  <si>
    <t>2929918031</t>
  </si>
  <si>
    <t>Costa de Marfil</t>
  </si>
  <si>
    <t>5XS</t>
  </si>
  <si>
    <t>Komi</t>
  </si>
  <si>
    <t>A_GEN_STANDARD</t>
  </si>
  <si>
    <t>26392369031</t>
  </si>
  <si>
    <t>Costa Rica</t>
  </si>
  <si>
    <t>4XS</t>
  </si>
  <si>
    <t>BandaLanguages</t>
  </si>
  <si>
    <t>A_HLTH_NUTRITIONBAR</t>
  </si>
  <si>
    <t>13901098031</t>
  </si>
  <si>
    <t>Croacia</t>
  </si>
  <si>
    <t>3XS</t>
  </si>
  <si>
    <t>Caddo</t>
  </si>
  <si>
    <t>A_HLTH_NUTRITIONDRINK</t>
  </si>
  <si>
    <t>26086418031</t>
  </si>
  <si>
    <t>Cuba</t>
  </si>
  <si>
    <t>XXS</t>
  </si>
  <si>
    <t>Karakalpako</t>
  </si>
  <si>
    <t>A_HLTH_PILLCAPSULETABLET</t>
  </si>
  <si>
    <t>4535179031</t>
  </si>
  <si>
    <t>CuraCao</t>
  </si>
  <si>
    <t>XS</t>
  </si>
  <si>
    <t>Sukuma</t>
  </si>
  <si>
    <t>A_HLTH_SMOKINGCESSATION</t>
  </si>
  <si>
    <t>26086443031</t>
  </si>
  <si>
    <t>De las Islas Malvinas</t>
  </si>
  <si>
    <t>S</t>
  </si>
  <si>
    <t>Tokelau</t>
  </si>
  <si>
    <t>A_HLTH_SMOKINGGUM</t>
  </si>
  <si>
    <t>2935181031</t>
  </si>
  <si>
    <t>Dinamarca</t>
  </si>
  <si>
    <t>Kimbundu</t>
  </si>
  <si>
    <t>A_HLTH_VITAMINS</t>
  </si>
  <si>
    <t>2929943031</t>
  </si>
  <si>
    <t>Dominica</t>
  </si>
  <si>
    <t>L</t>
  </si>
  <si>
    <t>Mapudungun</t>
  </si>
  <si>
    <t>A_HPC_CONTACTLENSES</t>
  </si>
  <si>
    <t>2930014031</t>
  </si>
  <si>
    <t>Ecuador</t>
  </si>
  <si>
    <t>XL</t>
  </si>
  <si>
    <t>Erzya</t>
  </si>
  <si>
    <t>A_HPC_CONTRACEPTIVE</t>
  </si>
  <si>
    <t>2929374031</t>
  </si>
  <si>
    <t>EE.UU. Islas menores alejadas de</t>
  </si>
  <si>
    <t>XXL</t>
  </si>
  <si>
    <t>Basa</t>
  </si>
  <si>
    <t>A_HPC_CORRECTIVEGLASSES</t>
  </si>
  <si>
    <t>2936169031</t>
  </si>
  <si>
    <t>Egipto</t>
  </si>
  <si>
    <t>3XL</t>
  </si>
  <si>
    <t>Nyoro</t>
  </si>
  <si>
    <t>A_HPC_DIETARYSUPPL</t>
  </si>
  <si>
    <t>3074502031</t>
  </si>
  <si>
    <t>El Sáhara Occidental</t>
  </si>
  <si>
    <t>4XL</t>
  </si>
  <si>
    <t>IroquoianLanguages</t>
  </si>
  <si>
    <t>A_HPC_INCONTINENCE</t>
  </si>
  <si>
    <t>3074074031</t>
  </si>
  <si>
    <t>El Salvador</t>
  </si>
  <si>
    <t>5XL</t>
  </si>
  <si>
    <t>SouthNdebele</t>
  </si>
  <si>
    <t>A_HPC_MEDICINE</t>
  </si>
  <si>
    <t>6681855031</t>
  </si>
  <si>
    <t>Emiratos Árabes Unidos</t>
  </si>
  <si>
    <t>6XL</t>
  </si>
  <si>
    <t>Beja</t>
  </si>
  <si>
    <t>A_HPC_SANITARYPRODUCTS</t>
  </si>
  <si>
    <t>3074816031</t>
  </si>
  <si>
    <t>Eritrea</t>
  </si>
  <si>
    <t>7XL</t>
  </si>
  <si>
    <t>Dakota</t>
  </si>
  <si>
    <t>A_HPC_WALKINGSTICK</t>
  </si>
  <si>
    <t>26086503031</t>
  </si>
  <si>
    <t>Eslovaquia</t>
  </si>
  <si>
    <t>8XL</t>
  </si>
  <si>
    <t>Tigre</t>
  </si>
  <si>
    <t>A_OUTDOOR_FERTILIZER</t>
  </si>
  <si>
    <t>15326651031</t>
  </si>
  <si>
    <t>Eslovenia</t>
  </si>
  <si>
    <t>9XL</t>
  </si>
  <si>
    <t>ManoboLanguages</t>
  </si>
  <si>
    <t>A_OUTDOOR_LAWNCONTROL</t>
  </si>
  <si>
    <t>2929101031</t>
  </si>
  <si>
    <t>España</t>
  </si>
  <si>
    <t>10XL</t>
  </si>
  <si>
    <t>Sandawe</t>
  </si>
  <si>
    <t>A_OUTDOOR_PLANTFOOD</t>
  </si>
  <si>
    <t>26086446031</t>
  </si>
  <si>
    <t>Estados Unidos</t>
  </si>
  <si>
    <t>11XL</t>
  </si>
  <si>
    <t>Magahi</t>
  </si>
  <si>
    <t>A_OUTDOOR_PLANTS</t>
  </si>
  <si>
    <t>3074496031</t>
  </si>
  <si>
    <t>Estonia</t>
  </si>
  <si>
    <t>12XL</t>
  </si>
  <si>
    <t>AthapascanLanguages</t>
  </si>
  <si>
    <t>A_OUTDOOR_SEEDS</t>
  </si>
  <si>
    <t>15326645031</t>
  </si>
  <si>
    <t>Etiopía</t>
  </si>
  <si>
    <t>13XL</t>
  </si>
  <si>
    <t>InariSami</t>
  </si>
  <si>
    <t>2929327031</t>
  </si>
  <si>
    <t>Filipinas</t>
  </si>
  <si>
    <t>14XL</t>
  </si>
  <si>
    <t>AltaicLanguages</t>
  </si>
  <si>
    <t>2935102031</t>
  </si>
  <si>
    <t>Finlandia</t>
  </si>
  <si>
    <t>15XL</t>
  </si>
  <si>
    <t>Hupa</t>
  </si>
  <si>
    <t>14002566031</t>
  </si>
  <si>
    <t>Fiyi</t>
  </si>
  <si>
    <t>16XL</t>
  </si>
  <si>
    <t>Haida</t>
  </si>
  <si>
    <t>26392361031</t>
  </si>
  <si>
    <t>Francés de Guayana</t>
  </si>
  <si>
    <t>17XL</t>
  </si>
  <si>
    <t>WakashanLanguages</t>
  </si>
  <si>
    <t>1909391031</t>
  </si>
  <si>
    <t>Francia</t>
  </si>
  <si>
    <t>18XL</t>
  </si>
  <si>
    <t>Votic</t>
  </si>
  <si>
    <t>2928873031</t>
  </si>
  <si>
    <t>Gabón</t>
  </si>
  <si>
    <t>Prematuro</t>
  </si>
  <si>
    <t>Haitiano</t>
  </si>
  <si>
    <t>2929285031</t>
  </si>
  <si>
    <t>Gambia</t>
  </si>
  <si>
    <t>0 meses</t>
  </si>
  <si>
    <t>OldSlavonic</t>
  </si>
  <si>
    <t>2935414031</t>
  </si>
  <si>
    <t>Georgia</t>
  </si>
  <si>
    <t>3 meses</t>
  </si>
  <si>
    <t>Grebo</t>
  </si>
  <si>
    <t>3074810031</t>
  </si>
  <si>
    <t>Georgia del Sur y Sandwich del S. ISL.</t>
  </si>
  <si>
    <t>6 meses</t>
  </si>
  <si>
    <t>FrenchCreole</t>
  </si>
  <si>
    <t>26984286031</t>
  </si>
  <si>
    <t>Ghana</t>
  </si>
  <si>
    <t>9 meses</t>
  </si>
  <si>
    <t>Neapolitan</t>
  </si>
  <si>
    <t>26086420031</t>
  </si>
  <si>
    <t>Gibraltar</t>
  </si>
  <si>
    <t>12 meses</t>
  </si>
  <si>
    <t>Mari</t>
  </si>
  <si>
    <t>13901109031</t>
  </si>
  <si>
    <t>Gran Bretaña</t>
  </si>
  <si>
    <t>18 meses</t>
  </si>
  <si>
    <t>Gondi</t>
  </si>
  <si>
    <t>26392338031</t>
  </si>
  <si>
    <t>Granada</t>
  </si>
  <si>
    <t>24 meses</t>
  </si>
  <si>
    <t>OldPersian</t>
  </si>
  <si>
    <t>2928609031</t>
  </si>
  <si>
    <t>Grecia</t>
  </si>
  <si>
    <t>1 año</t>
  </si>
  <si>
    <t>BamilekeLanguages</t>
  </si>
  <si>
    <t>2930016031</t>
  </si>
  <si>
    <t>Groenlandia</t>
  </si>
  <si>
    <t>Isla de Man</t>
  </si>
  <si>
    <t>58768801031</t>
  </si>
  <si>
    <t>Guadalupe</t>
  </si>
  <si>
    <t>Kanuri</t>
  </si>
  <si>
    <t>2935151031</t>
  </si>
  <si>
    <t>Guam</t>
  </si>
  <si>
    <t>Sasak</t>
  </si>
  <si>
    <t>2935128031</t>
  </si>
  <si>
    <t>Guatemala</t>
  </si>
  <si>
    <t>Zaza</t>
  </si>
  <si>
    <t>3074485031</t>
  </si>
  <si>
    <t>Guayana</t>
  </si>
  <si>
    <t>OldHighGerman</t>
  </si>
  <si>
    <t>2929179031</t>
  </si>
  <si>
    <t>Guernesey</t>
  </si>
  <si>
    <t>Vai</t>
  </si>
  <si>
    <t>2929955031</t>
  </si>
  <si>
    <t>Guinea</t>
  </si>
  <si>
    <t>Tsimshian</t>
  </si>
  <si>
    <t>2935472031</t>
  </si>
  <si>
    <t>Guinea Ecuatorial</t>
  </si>
  <si>
    <t>Gbaya</t>
  </si>
  <si>
    <t>2929542031</t>
  </si>
  <si>
    <t>Guinea-Bissau</t>
  </si>
  <si>
    <t>Venda</t>
  </si>
  <si>
    <t>2929917031</t>
  </si>
  <si>
    <t>Haití</t>
  </si>
  <si>
    <t>Nyamwezi</t>
  </si>
  <si>
    <t>2935222031</t>
  </si>
  <si>
    <t>Honduras</t>
  </si>
  <si>
    <t>Efik</t>
  </si>
  <si>
    <t>3074882031</t>
  </si>
  <si>
    <t>Hong Kong</t>
  </si>
  <si>
    <t>Nko</t>
  </si>
  <si>
    <t>13901099031</t>
  </si>
  <si>
    <t>Hungría</t>
  </si>
  <si>
    <t>Gayo</t>
  </si>
  <si>
    <t>26086425031</t>
  </si>
  <si>
    <t>India</t>
  </si>
  <si>
    <t>Papiamento</t>
  </si>
  <si>
    <t>26086419031</t>
  </si>
  <si>
    <t>Indonesia</t>
  </si>
  <si>
    <t>Serer</t>
  </si>
  <si>
    <t>26392320031</t>
  </si>
  <si>
    <t>Irán</t>
  </si>
  <si>
    <t>17 años</t>
  </si>
  <si>
    <t>Nzima</t>
  </si>
  <si>
    <t>13901108031</t>
  </si>
  <si>
    <t>Irak</t>
  </si>
  <si>
    <t>18 años</t>
  </si>
  <si>
    <t>Adangme</t>
  </si>
  <si>
    <t>3074121031</t>
  </si>
  <si>
    <t>Irlanda</t>
  </si>
  <si>
    <t>Aragonese</t>
  </si>
  <si>
    <t>4535163031</t>
  </si>
  <si>
    <t>Isla Ascensión</t>
  </si>
  <si>
    <t>NigerKordofanianLanguages</t>
  </si>
  <si>
    <t>2929296031</t>
  </si>
  <si>
    <t>Isla Bouvet</t>
  </si>
  <si>
    <t>MiddleIrish</t>
  </si>
  <si>
    <t>3062351031</t>
  </si>
  <si>
    <t>Isla de Man.</t>
  </si>
  <si>
    <t>Soninke</t>
  </si>
  <si>
    <t>3074809031</t>
  </si>
  <si>
    <t>Isla de Navidad</t>
  </si>
  <si>
    <t>Rapanui</t>
  </si>
  <si>
    <t>2929537031</t>
  </si>
  <si>
    <t>Islandia</t>
  </si>
  <si>
    <t>Tlingit</t>
  </si>
  <si>
    <t>2929944031</t>
  </si>
  <si>
    <t>Islas Aland</t>
  </si>
  <si>
    <t>Kachin</t>
  </si>
  <si>
    <t>2929543031</t>
  </si>
  <si>
    <t>Islas Cocos (Keeling)</t>
  </si>
  <si>
    <t>AlgonquianLanguages</t>
  </si>
  <si>
    <t>3074115031</t>
  </si>
  <si>
    <t>Islas Heard y McDonald</t>
  </si>
  <si>
    <t>Chuvash</t>
  </si>
  <si>
    <t>2930015031</t>
  </si>
  <si>
    <t>Islas Marianas del Norte</t>
  </si>
  <si>
    <t>Fon</t>
  </si>
  <si>
    <t>2928676031</t>
  </si>
  <si>
    <t>Islas Pitcairn</t>
  </si>
  <si>
    <t>Kamba</t>
  </si>
  <si>
    <t>2929438031</t>
  </si>
  <si>
    <t>Islas Turcas y Caicos</t>
  </si>
  <si>
    <t>CushiticLanguages</t>
  </si>
  <si>
    <t>5518994031</t>
  </si>
  <si>
    <t>Islas Vírgenes Británicas</t>
  </si>
  <si>
    <t>Nias</t>
  </si>
  <si>
    <t>2928707031</t>
  </si>
  <si>
    <t>Islas Vírgenes de EE.UU.</t>
  </si>
  <si>
    <t>SouthernSami</t>
  </si>
  <si>
    <t>3074815031</t>
  </si>
  <si>
    <t>Israel</t>
  </si>
  <si>
    <t>Oveja</t>
  </si>
  <si>
    <t>2929008031</t>
  </si>
  <si>
    <t>Italia</t>
  </si>
  <si>
    <t>Choctaw</t>
  </si>
  <si>
    <t>2935735031</t>
  </si>
  <si>
    <t>Jamaica</t>
  </si>
  <si>
    <t>Luxembourgish</t>
  </si>
  <si>
    <t>4535158031</t>
  </si>
  <si>
    <t>Japón</t>
  </si>
  <si>
    <t>ArtificialLanguages</t>
  </si>
  <si>
    <t>3074497031</t>
  </si>
  <si>
    <t>Jersey</t>
  </si>
  <si>
    <t>Fang</t>
  </si>
  <si>
    <t>14002572031</t>
  </si>
  <si>
    <t>Jordania</t>
  </si>
  <si>
    <t>Gilbertese</t>
  </si>
  <si>
    <t>2935097031</t>
  </si>
  <si>
    <t>Kazajstán</t>
  </si>
  <si>
    <t>Achinese</t>
  </si>
  <si>
    <t>2935129031</t>
  </si>
  <si>
    <t>Kenia</t>
  </si>
  <si>
    <t>Arapaho</t>
  </si>
  <si>
    <t>23036122031</t>
  </si>
  <si>
    <t>Kirguistán</t>
  </si>
  <si>
    <t>Yapese</t>
  </si>
  <si>
    <t>26392309031</t>
  </si>
  <si>
    <t>Kiribati</t>
  </si>
  <si>
    <t>Pahlavi</t>
  </si>
  <si>
    <t>2929305031</t>
  </si>
  <si>
    <t>Kuwait</t>
  </si>
  <si>
    <t>Elamita</t>
  </si>
  <si>
    <t>3074783031</t>
  </si>
  <si>
    <t>La República Checa</t>
  </si>
  <si>
    <t>AfroAsiaticLanguages</t>
  </si>
  <si>
    <t>2929707031</t>
  </si>
  <si>
    <t>La Reunión</t>
  </si>
  <si>
    <t>Sardinian</t>
  </si>
  <si>
    <t>2935531031</t>
  </si>
  <si>
    <t>Líbano</t>
  </si>
  <si>
    <t>Chichewa</t>
  </si>
  <si>
    <t>2935101031</t>
  </si>
  <si>
    <t>Laos</t>
  </si>
  <si>
    <t>Cabila</t>
  </si>
  <si>
    <t>2935228031</t>
  </si>
  <si>
    <t>Las Bahamas</t>
  </si>
  <si>
    <t>Mandingo</t>
  </si>
  <si>
    <t>2935503031</t>
  </si>
  <si>
    <t>Las Comoras</t>
  </si>
  <si>
    <t>Angika</t>
  </si>
  <si>
    <t>13901103031</t>
  </si>
  <si>
    <t>Las Islas Caimán</t>
  </si>
  <si>
    <t>Aromanian</t>
  </si>
  <si>
    <t>2928599031</t>
  </si>
  <si>
    <t>Las Islas Cook</t>
  </si>
  <si>
    <t>Kumyk</t>
  </si>
  <si>
    <t>6681859031</t>
  </si>
  <si>
    <t>Las Islas Feroe</t>
  </si>
  <si>
    <t>Bini</t>
  </si>
  <si>
    <t>2930021031</t>
  </si>
  <si>
    <t>Las Islas Marshall</t>
  </si>
  <si>
    <t>LubaKatanga</t>
  </si>
  <si>
    <t>2935654031</t>
  </si>
  <si>
    <t>Las Islas Salomón</t>
  </si>
  <si>
    <t>OldProvencal</t>
  </si>
  <si>
    <t>2935224031</t>
  </si>
  <si>
    <t>Lesoto</t>
  </si>
  <si>
    <t>TupiLanguages</t>
  </si>
  <si>
    <t>2929298031</t>
  </si>
  <si>
    <t>Letonia</t>
  </si>
  <si>
    <t>Pangasinan</t>
  </si>
  <si>
    <t>26086479031</t>
  </si>
  <si>
    <t>Liberia</t>
  </si>
  <si>
    <t>Gwichin</t>
  </si>
  <si>
    <t>58768802031</t>
  </si>
  <si>
    <t>Libia</t>
  </si>
  <si>
    <t>Lamba</t>
  </si>
  <si>
    <t>2935150031</t>
  </si>
  <si>
    <t>Liechtenstein</t>
  </si>
  <si>
    <t>NepalBhasa</t>
  </si>
  <si>
    <t>26086433031</t>
  </si>
  <si>
    <t>Lituania</t>
  </si>
  <si>
    <t>Tiv</t>
  </si>
  <si>
    <t>2929308031</t>
  </si>
  <si>
    <t>Luxemburgo</t>
  </si>
  <si>
    <t>Pedi</t>
  </si>
  <si>
    <t>2929956031</t>
  </si>
  <si>
    <t>México</t>
  </si>
  <si>
    <t>Cree</t>
  </si>
  <si>
    <t>14002562031</t>
  </si>
  <si>
    <t>Mónaco</t>
  </si>
  <si>
    <t>Kutenai</t>
  </si>
  <si>
    <t>26984285031</t>
  </si>
  <si>
    <t>Macau</t>
  </si>
  <si>
    <t>Gorontalo</t>
  </si>
  <si>
    <t>2929916031</t>
  </si>
  <si>
    <t>Macedonia del Norte</t>
  </si>
  <si>
    <t>PhilippineLanguages</t>
  </si>
  <si>
    <t>2929526031</t>
  </si>
  <si>
    <t>Madagascar</t>
  </si>
  <si>
    <t>Luiseno</t>
  </si>
  <si>
    <t>3074808031</t>
  </si>
  <si>
    <t>Malí</t>
  </si>
  <si>
    <t>OldNorse</t>
  </si>
  <si>
    <t>26086445031</t>
  </si>
  <si>
    <t>Malasia</t>
  </si>
  <si>
    <t>LubaLulua</t>
  </si>
  <si>
    <t>26392342031</t>
  </si>
  <si>
    <t>Malawi</t>
  </si>
  <si>
    <t>Karelian</t>
  </si>
  <si>
    <t>2935099031</t>
  </si>
  <si>
    <t>Maldivas</t>
  </si>
  <si>
    <t>Tereno</t>
  </si>
  <si>
    <t>26392325031</t>
  </si>
  <si>
    <t>Malta</t>
  </si>
  <si>
    <t>Ewondo</t>
  </si>
  <si>
    <t>3074122031</t>
  </si>
  <si>
    <t>Marruecos</t>
  </si>
  <si>
    <t>Mandar</t>
  </si>
  <si>
    <t>2928648031</t>
  </si>
  <si>
    <t>Martinica</t>
  </si>
  <si>
    <t>LandDayakLanguages</t>
  </si>
  <si>
    <t>26086416031</t>
  </si>
  <si>
    <t>Mauricio</t>
  </si>
  <si>
    <t>Pohnpeiano</t>
  </si>
  <si>
    <t>6681847031</t>
  </si>
  <si>
    <t>Mauritania</t>
  </si>
  <si>
    <t>Duala</t>
  </si>
  <si>
    <t>2935149031</t>
  </si>
  <si>
    <t>Mayotte</t>
  </si>
  <si>
    <t>IranianLanguages</t>
  </si>
  <si>
    <t>4535160031</t>
  </si>
  <si>
    <t>Micronesia</t>
  </si>
  <si>
    <t>Zenaga</t>
  </si>
  <si>
    <t>2930040031</t>
  </si>
  <si>
    <t>Moldova</t>
  </si>
  <si>
    <t>SiouanLanguages</t>
  </si>
  <si>
    <t>2928551031</t>
  </si>
  <si>
    <t>Mongolia</t>
  </si>
  <si>
    <t>Umbundu</t>
  </si>
  <si>
    <t>3074500031</t>
  </si>
  <si>
    <t>Montenegro</t>
  </si>
  <si>
    <t>Yao</t>
  </si>
  <si>
    <t>2930058031</t>
  </si>
  <si>
    <t>Montserrat</t>
  </si>
  <si>
    <t>TaiLanguages</t>
  </si>
  <si>
    <t>3074116031</t>
  </si>
  <si>
    <t>Mozambique</t>
  </si>
  <si>
    <t>Blin</t>
  </si>
  <si>
    <t>26392307031</t>
  </si>
  <si>
    <t>Níger</t>
  </si>
  <si>
    <t>Phoenician</t>
  </si>
  <si>
    <t>26392331031</t>
  </si>
  <si>
    <t>Namibia</t>
  </si>
  <si>
    <t>EasternFrisian</t>
  </si>
  <si>
    <t>3074814031</t>
  </si>
  <si>
    <t>Nauru</t>
  </si>
  <si>
    <t>TokPisin</t>
  </si>
  <si>
    <t>13901105031</t>
  </si>
  <si>
    <t>Nepal</t>
  </si>
  <si>
    <t>Sogdian</t>
  </si>
  <si>
    <t>26086427031</t>
  </si>
  <si>
    <t>Nicaragua</t>
  </si>
  <si>
    <t>Chipewyan</t>
  </si>
  <si>
    <t>26392324031</t>
  </si>
  <si>
    <t>Nigeria</t>
  </si>
  <si>
    <t>Buginese</t>
  </si>
  <si>
    <t>26086421031</t>
  </si>
  <si>
    <t>Niué</t>
  </si>
  <si>
    <t>PrakritLanguages</t>
  </si>
  <si>
    <t>6681846031</t>
  </si>
  <si>
    <t>Norfolk Island</t>
  </si>
  <si>
    <t>Ugaritic</t>
  </si>
  <si>
    <t>13901095031</t>
  </si>
  <si>
    <t>Noruega</t>
  </si>
  <si>
    <t>Palao</t>
  </si>
  <si>
    <t>2935098031</t>
  </si>
  <si>
    <t>Nueva Caledonia</t>
  </si>
  <si>
    <t>Lozi</t>
  </si>
  <si>
    <t>14002573031</t>
  </si>
  <si>
    <t>Nueva Zelanda</t>
  </si>
  <si>
    <t>Ossetian</t>
  </si>
  <si>
    <t>26086438031</t>
  </si>
  <si>
    <t>Omán</t>
  </si>
  <si>
    <t>IjoLanguages</t>
  </si>
  <si>
    <t>23036123031</t>
  </si>
  <si>
    <t>Países Bajos</t>
  </si>
  <si>
    <t>Aleut</t>
  </si>
  <si>
    <t>1909473031</t>
  </si>
  <si>
    <t>Pakistán</t>
  </si>
  <si>
    <t>Mossi</t>
  </si>
  <si>
    <t>26392308031</t>
  </si>
  <si>
    <t>Palau</t>
  </si>
  <si>
    <t>Dhivehi</t>
  </si>
  <si>
    <t>26086409031</t>
  </si>
  <si>
    <t>Panamá</t>
  </si>
  <si>
    <t>Kosraean</t>
  </si>
  <si>
    <t>2929377031</t>
  </si>
  <si>
    <t>Papua Nueva Guinea</t>
  </si>
  <si>
    <t>Kpelle</t>
  </si>
  <si>
    <t>2935127031</t>
  </si>
  <si>
    <t>Paraguay</t>
  </si>
  <si>
    <t>Fanti</t>
  </si>
  <si>
    <t>26392330031</t>
  </si>
  <si>
    <t>Perú</t>
  </si>
  <si>
    <t>LowGerman</t>
  </si>
  <si>
    <t>2928890031</t>
  </si>
  <si>
    <t>Polinesia francés</t>
  </si>
  <si>
    <t>Kawi</t>
  </si>
  <si>
    <t>13901104031</t>
  </si>
  <si>
    <t>Polonia</t>
  </si>
  <si>
    <t>SrananTongo</t>
  </si>
  <si>
    <t>2929178031</t>
  </si>
  <si>
    <t>Portugal</t>
  </si>
  <si>
    <t>Lahnda</t>
  </si>
  <si>
    <t>16090380031</t>
  </si>
  <si>
    <t>Puerto Rico</t>
  </si>
  <si>
    <t>NorthernSami</t>
  </si>
  <si>
    <t>2930022031</t>
  </si>
  <si>
    <t>Qatar</t>
  </si>
  <si>
    <t>Afrihili</t>
  </si>
  <si>
    <t>2936367031</t>
  </si>
  <si>
    <t>República Centroafricana</t>
  </si>
  <si>
    <t>Asturiano</t>
  </si>
  <si>
    <t>3074819031</t>
  </si>
  <si>
    <t>República del Congo</t>
  </si>
  <si>
    <t>Cebuano</t>
  </si>
  <si>
    <t>14002568031</t>
  </si>
  <si>
    <t>República Democrática del Congo</t>
  </si>
  <si>
    <t>Nyankole</t>
  </si>
  <si>
    <t>3074094031</t>
  </si>
  <si>
    <t>República Dominicana</t>
  </si>
  <si>
    <t>Tamashek</t>
  </si>
  <si>
    <t>2929068031</t>
  </si>
  <si>
    <t>Ruanda</t>
  </si>
  <si>
    <t>Ekajuk</t>
  </si>
  <si>
    <t>26086426031</t>
  </si>
  <si>
    <t>Rumania</t>
  </si>
  <si>
    <t>OtomianLanguages</t>
  </si>
  <si>
    <t>26392302031</t>
  </si>
  <si>
    <t>Rusia</t>
  </si>
  <si>
    <t>Madureses</t>
  </si>
  <si>
    <t>2929297031</t>
  </si>
  <si>
    <t>Saint Barthelemy</t>
  </si>
  <si>
    <t>Bemba</t>
  </si>
  <si>
    <t>2929538031</t>
  </si>
  <si>
    <t>Saint Kitts y Nevis</t>
  </si>
  <si>
    <t>Sidamo</t>
  </si>
  <si>
    <t>2935207031</t>
  </si>
  <si>
    <t>Saint Martin (French Part)</t>
  </si>
  <si>
    <t>Kabardian</t>
  </si>
  <si>
    <t>2929326031</t>
  </si>
  <si>
    <t>Saint-Martin</t>
  </si>
  <si>
    <t>Osage</t>
  </si>
  <si>
    <t>2935510031</t>
  </si>
  <si>
    <t>Samoa</t>
  </si>
  <si>
    <t>Walloon</t>
  </si>
  <si>
    <t>26086415031</t>
  </si>
  <si>
    <t>Samoa Americana</t>
  </si>
  <si>
    <t>Walamo</t>
  </si>
  <si>
    <t>26086432031</t>
  </si>
  <si>
    <t>San Marino</t>
  </si>
  <si>
    <t>YupikLanguages</t>
  </si>
  <si>
    <t>11659341031</t>
  </si>
  <si>
    <t>San Pedro y Miquelón</t>
  </si>
  <si>
    <t>Minangkabau</t>
  </si>
  <si>
    <t>2935671031</t>
  </si>
  <si>
    <t>San Vicente y las Granadinas</t>
  </si>
  <si>
    <t>CentralAmericanIndianLanguages</t>
  </si>
  <si>
    <t>2929957031</t>
  </si>
  <si>
    <t>Santa Helena</t>
  </si>
  <si>
    <t>SalishanLanguages</t>
  </si>
  <si>
    <t>26984284031</t>
  </si>
  <si>
    <t>Santa Lucía</t>
  </si>
  <si>
    <t>PortugueseCreole</t>
  </si>
  <si>
    <t>2929915031</t>
  </si>
  <si>
    <t>Santa Sede (Vaticano)</t>
  </si>
  <si>
    <t>Friulian</t>
  </si>
  <si>
    <t>2929286031</t>
  </si>
  <si>
    <t>Santo Tomé y Príncipe</t>
  </si>
  <si>
    <t>Washo</t>
  </si>
  <si>
    <t>2929527031</t>
  </si>
  <si>
    <t>Senegal</t>
  </si>
  <si>
    <t>Micmac</t>
  </si>
  <si>
    <t>2929544031</t>
  </si>
  <si>
    <t>Serbia</t>
  </si>
  <si>
    <t>Chamorro</t>
  </si>
  <si>
    <t>3074807031</t>
  </si>
  <si>
    <t>Serbia and Montenegro</t>
  </si>
  <si>
    <t>Akkadian</t>
  </si>
  <si>
    <t>2935220031</t>
  </si>
  <si>
    <t>Seychelles</t>
  </si>
  <si>
    <t>Avestan</t>
  </si>
  <si>
    <t>2935738031</t>
  </si>
  <si>
    <t>Sierra Leona</t>
  </si>
  <si>
    <t>Dogrib</t>
  </si>
  <si>
    <t>26086417031</t>
  </si>
  <si>
    <t>Singapur</t>
  </si>
  <si>
    <t>ClassicalSyriac</t>
  </si>
  <si>
    <t>26086423031</t>
  </si>
  <si>
    <t>Siria</t>
  </si>
  <si>
    <t>Chibcha</t>
  </si>
  <si>
    <t>2930056031</t>
  </si>
  <si>
    <t>Somalia</t>
  </si>
  <si>
    <t>Tumbuka</t>
  </si>
  <si>
    <t>2929539031</t>
  </si>
  <si>
    <t>South Sudan</t>
  </si>
  <si>
    <t>Kurukh</t>
  </si>
  <si>
    <t>2935148031</t>
  </si>
  <si>
    <t>Sri Lanka</t>
  </si>
  <si>
    <t>JudeoPersian</t>
  </si>
  <si>
    <t>26392298031</t>
  </si>
  <si>
    <t>Suazilandia</t>
  </si>
  <si>
    <t>Baluchi</t>
  </si>
  <si>
    <t>2929436031</t>
  </si>
  <si>
    <t>Sudáfrica</t>
  </si>
  <si>
    <t>TongaNyasa</t>
  </si>
  <si>
    <t>4551589031</t>
  </si>
  <si>
    <t>Sudán</t>
  </si>
  <si>
    <t>MiddleDutch</t>
  </si>
  <si>
    <t>2928850031</t>
  </si>
  <si>
    <t>Suecia</t>
  </si>
  <si>
    <t>Avaric</t>
  </si>
  <si>
    <t>2928821031</t>
  </si>
  <si>
    <t>Suiza</t>
  </si>
  <si>
    <t>BalticLanguages</t>
  </si>
  <si>
    <t>26392306031</t>
  </si>
  <si>
    <t>Suriname</t>
  </si>
  <si>
    <t>Hiligaynon</t>
  </si>
  <si>
    <t>3074813031</t>
  </si>
  <si>
    <t>Svalbard</t>
  </si>
  <si>
    <t>Gothic</t>
  </si>
  <si>
    <t>3074874031</t>
  </si>
  <si>
    <t>Tailandia</t>
  </si>
  <si>
    <t>Selkup</t>
  </si>
  <si>
    <t>2929176031</t>
  </si>
  <si>
    <t>Taiwan</t>
  </si>
  <si>
    <t>Delaware</t>
  </si>
  <si>
    <t>3074499031</t>
  </si>
  <si>
    <t>Tanzania</t>
  </si>
  <si>
    <t>SkoltSami</t>
  </si>
  <si>
    <t>15326648031</t>
  </si>
  <si>
    <t>Túnez</t>
  </si>
  <si>
    <t>LuleSami</t>
  </si>
  <si>
    <t>27063535031</t>
  </si>
  <si>
    <t>Tayikistán</t>
  </si>
  <si>
    <t>Cherokee</t>
  </si>
  <si>
    <t>26392317031</t>
  </si>
  <si>
    <t>Territorio palestino</t>
  </si>
  <si>
    <t>Herero</t>
  </si>
  <si>
    <t>2929849031</t>
  </si>
  <si>
    <t>Territorios Franceses del Sur</t>
  </si>
  <si>
    <t>NorwegianBokmal</t>
  </si>
  <si>
    <t>26392352031</t>
  </si>
  <si>
    <t>Timor-Leste</t>
  </si>
  <si>
    <t>Timne</t>
  </si>
  <si>
    <t>13901096031</t>
  </si>
  <si>
    <t>Togo</t>
  </si>
  <si>
    <t>14002570031</t>
  </si>
  <si>
    <t>NorwegianNynorsk</t>
  </si>
  <si>
    <t>2929941031</t>
  </si>
  <si>
    <t>Tonga</t>
  </si>
  <si>
    <t>SlaveAthapascan</t>
  </si>
  <si>
    <t>2930013031</t>
  </si>
  <si>
    <t>TP</t>
  </si>
  <si>
    <t>Arawak</t>
  </si>
  <si>
    <t>2929376031</t>
  </si>
  <si>
    <t>Trinidad y Tobago</t>
  </si>
  <si>
    <t>HimachaliLanguages</t>
  </si>
  <si>
    <t>16160601031</t>
  </si>
  <si>
    <t>Tristán de Acuña</t>
  </si>
  <si>
    <t>Shan</t>
  </si>
  <si>
    <t>26086406031</t>
  </si>
  <si>
    <t>Turkmenistán</t>
  </si>
  <si>
    <t>Bikol</t>
  </si>
  <si>
    <t>2928838031</t>
  </si>
  <si>
    <t>Turquía</t>
  </si>
  <si>
    <t>ApacheLanguages</t>
  </si>
  <si>
    <t>2929307031</t>
  </si>
  <si>
    <t>SouthAmericanIndian</t>
  </si>
  <si>
    <t>2935673031</t>
  </si>
  <si>
    <t>Ucrania</t>
  </si>
  <si>
    <t>Acoli</t>
  </si>
  <si>
    <t>2936347031</t>
  </si>
  <si>
    <t>Uganda</t>
  </si>
  <si>
    <t>Limburgan</t>
  </si>
  <si>
    <t>14002563031</t>
  </si>
  <si>
    <t>Uruguay</t>
  </si>
  <si>
    <t>Ainu</t>
  </si>
  <si>
    <t>3074818031</t>
  </si>
  <si>
    <t>Uzbekistán</t>
  </si>
  <si>
    <t>Zuni</t>
  </si>
  <si>
    <t>26039389031</t>
  </si>
  <si>
    <t>Vanuatu</t>
  </si>
  <si>
    <t>Susu</t>
  </si>
  <si>
    <t>2928695031</t>
  </si>
  <si>
    <t>Venezuela</t>
  </si>
  <si>
    <t>NorthAmericanIndianLanguages</t>
  </si>
  <si>
    <t>2928865031</t>
  </si>
  <si>
    <t>Vietnam</t>
  </si>
  <si>
    <t>Chuuk</t>
  </si>
  <si>
    <t>26392301031</t>
  </si>
  <si>
    <t>Wallis y Futuna</t>
  </si>
  <si>
    <t>Kotanés</t>
  </si>
  <si>
    <t>3074494031</t>
  </si>
  <si>
    <t>WD</t>
  </si>
  <si>
    <t>AustralianLanguages</t>
  </si>
  <si>
    <t>15326647031</t>
  </si>
  <si>
    <t>WZ</t>
  </si>
  <si>
    <t>Tetum</t>
  </si>
  <si>
    <t>2936357031</t>
  </si>
  <si>
    <t>XB</t>
  </si>
  <si>
    <t>ChinookJargon</t>
  </si>
  <si>
    <t>4811190031</t>
  </si>
  <si>
    <t>XC</t>
  </si>
  <si>
    <t>Iloko</t>
  </si>
  <si>
    <t>3074786031</t>
  </si>
  <si>
    <t>XE</t>
  </si>
  <si>
    <t>Akan</t>
  </si>
  <si>
    <t>16042112031</t>
  </si>
  <si>
    <t>XK</t>
  </si>
  <si>
    <t>ZandeLanguages</t>
  </si>
  <si>
    <t>3074031031</t>
  </si>
  <si>
    <t>XM</t>
  </si>
  <si>
    <t>Waray</t>
  </si>
  <si>
    <t>2935095031</t>
  </si>
  <si>
    <t>XN</t>
  </si>
  <si>
    <t>Zapotec</t>
  </si>
  <si>
    <t>2929325031</t>
  </si>
  <si>
    <t>XY</t>
  </si>
  <si>
    <t>Ganda</t>
  </si>
  <si>
    <t>3074503031</t>
  </si>
  <si>
    <t>Yemen</t>
  </si>
  <si>
    <t>Ido</t>
  </si>
  <si>
    <t>26984283031</t>
  </si>
  <si>
    <t>Yibuti</t>
  </si>
  <si>
    <t>SemiticLanguages</t>
  </si>
  <si>
    <t>2935672031</t>
  </si>
  <si>
    <t>Yugoslavia</t>
  </si>
  <si>
    <t>Iban</t>
  </si>
  <si>
    <t>2929958031</t>
  </si>
  <si>
    <t>Zaire</t>
  </si>
  <si>
    <t>MonKhmerLanguages</t>
  </si>
  <si>
    <t>2928634031</t>
  </si>
  <si>
    <t>Zambia</t>
  </si>
  <si>
    <t>KhoisanLanguages</t>
  </si>
  <si>
    <t>2930041031</t>
  </si>
  <si>
    <t>Zimbabue</t>
  </si>
  <si>
    <t>Copto</t>
  </si>
  <si>
    <t>15326653031</t>
  </si>
  <si>
    <t>País desconocido</t>
  </si>
  <si>
    <t>SouthernAltai</t>
  </si>
  <si>
    <t>26039388031</t>
  </si>
  <si>
    <t>United Kingdom</t>
  </si>
  <si>
    <t>Makasar</t>
  </si>
  <si>
    <t>2929528031</t>
  </si>
  <si>
    <t>NubianLanguages</t>
  </si>
  <si>
    <t>2935194031</t>
  </si>
  <si>
    <t>ChamicLanguages</t>
  </si>
  <si>
    <t>2929016031</t>
  </si>
  <si>
    <t>OttomanTurkish</t>
  </si>
  <si>
    <t>2929721031</t>
  </si>
  <si>
    <t>KruLanguages</t>
  </si>
  <si>
    <t>6681851031</t>
  </si>
  <si>
    <t>GermanicLanguages</t>
  </si>
  <si>
    <t>2935655031</t>
  </si>
  <si>
    <t>Geez</t>
  </si>
  <si>
    <t>26086422031</t>
  </si>
  <si>
    <t>Lunda</t>
  </si>
  <si>
    <t>26392323031</t>
  </si>
  <si>
    <t>Konkani</t>
  </si>
  <si>
    <t>2930057031</t>
  </si>
  <si>
    <t>Mizo</t>
  </si>
  <si>
    <t>26086439031</t>
  </si>
  <si>
    <t>Igbo</t>
  </si>
  <si>
    <t>15326642031</t>
  </si>
  <si>
    <t>Sami</t>
  </si>
  <si>
    <t>2929435031</t>
  </si>
  <si>
    <t>Khasi</t>
  </si>
  <si>
    <t>4551588031</t>
  </si>
  <si>
    <t>Chhattisgarhi</t>
  </si>
  <si>
    <t>26392312031</t>
  </si>
  <si>
    <t>Santali</t>
  </si>
  <si>
    <t>2929177031</t>
  </si>
  <si>
    <t>Bodo</t>
  </si>
  <si>
    <t>3074812031</t>
  </si>
  <si>
    <t>Garo</t>
  </si>
  <si>
    <t>2929540031</t>
  </si>
  <si>
    <t>Kokborok</t>
  </si>
  <si>
    <t>14002569031</t>
  </si>
  <si>
    <t>Manipuri</t>
  </si>
  <si>
    <t>None</t>
  </si>
  <si>
    <t>AmericanSignLanguage</t>
  </si>
  <si>
    <t>Yugoslavian</t>
  </si>
  <si>
    <t>AfghanPashtu</t>
  </si>
  <si>
    <t>GaelicScots</t>
  </si>
  <si>
    <t>Pali</t>
  </si>
  <si>
    <t>Escocés</t>
  </si>
  <si>
    <t>ScotsGaelic</t>
  </si>
  <si>
    <t>Bashkir</t>
  </si>
  <si>
    <t>Sicilian</t>
  </si>
  <si>
    <t>Buryat</t>
  </si>
  <si>
    <t>Cayuga</t>
  </si>
  <si>
    <t>Sundanese</t>
  </si>
  <si>
    <t>AncientGreek</t>
  </si>
  <si>
    <t>KarachayBalkar</t>
  </si>
  <si>
    <t>Amárico</t>
  </si>
  <si>
    <t>Kikuyu</t>
  </si>
  <si>
    <t>Uzbek</t>
  </si>
  <si>
    <t>Punjabi</t>
  </si>
  <si>
    <t>Chiricahua</t>
  </si>
  <si>
    <t>Lojban</t>
  </si>
  <si>
    <t>Mirandese</t>
  </si>
  <si>
    <t>Byelorussian</t>
  </si>
  <si>
    <t>Lingala</t>
  </si>
  <si>
    <t>Xhosa</t>
  </si>
  <si>
    <t>Lejos</t>
  </si>
  <si>
    <t>Chechen</t>
  </si>
  <si>
    <t>Romany</t>
  </si>
  <si>
    <t>Multilingual</t>
  </si>
  <si>
    <t>Sesotho</t>
  </si>
  <si>
    <t>Kalmyk</t>
  </si>
  <si>
    <t>Bhutani</t>
  </si>
  <si>
    <t>Azerbaijani</t>
  </si>
  <si>
    <t>Mohawk</t>
  </si>
  <si>
    <t>Faroese</t>
  </si>
  <si>
    <t>Kirundi</t>
  </si>
  <si>
    <t>Vietnamita</t>
  </si>
  <si>
    <t>Zhuang</t>
  </si>
  <si>
    <t>Bantu</t>
  </si>
  <si>
    <t>Bhojpuri</t>
  </si>
  <si>
    <t>Oriya</t>
  </si>
  <si>
    <t>Albanian</t>
  </si>
  <si>
    <t>Indoeuropea</t>
  </si>
  <si>
    <t>Kannada</t>
  </si>
  <si>
    <t>Quechua</t>
  </si>
  <si>
    <t>Catalan</t>
  </si>
  <si>
    <t>Indic</t>
  </si>
  <si>
    <t>Syriac</t>
  </si>
  <si>
    <t>Tamil</t>
  </si>
  <si>
    <t>Fiji</t>
  </si>
  <si>
    <t>Kinyarwanda</t>
  </si>
  <si>
    <t>Kalaallisut</t>
  </si>
  <si>
    <t>Arabic</t>
  </si>
  <si>
    <t>Javanese</t>
  </si>
  <si>
    <t>Dari</t>
  </si>
  <si>
    <t>Esperanto</t>
  </si>
  <si>
    <t>SwissGerman</t>
  </si>
  <si>
    <t>Hausa</t>
  </si>
  <si>
    <t>CantoneseChinese</t>
  </si>
  <si>
    <t>Irlandés</t>
  </si>
  <si>
    <t>PigLatin</t>
  </si>
  <si>
    <t>Udmurt</t>
  </si>
  <si>
    <t>Hokkien</t>
  </si>
  <si>
    <t>Chagatai</t>
  </si>
  <si>
    <t>Tatar</t>
  </si>
  <si>
    <t>Turco</t>
  </si>
  <si>
    <t>Burmese</t>
  </si>
  <si>
    <t>Ruso</t>
  </si>
  <si>
    <t>Tahitian</t>
  </si>
  <si>
    <t>Noruego</t>
  </si>
  <si>
    <t>Cingaleses</t>
  </si>
  <si>
    <t>Croata</t>
  </si>
  <si>
    <t>OldEnglish</t>
  </si>
  <si>
    <t>FrenchCanadian</t>
  </si>
  <si>
    <t>Maorí</t>
  </si>
  <si>
    <t>Romansch</t>
  </si>
  <si>
    <t>Maya</t>
  </si>
  <si>
    <t>Volapuk</t>
  </si>
  <si>
    <t>Moksha</t>
  </si>
  <si>
    <t>Kashmiri</t>
  </si>
  <si>
    <t>SignLanguage</t>
  </si>
  <si>
    <t>Persa</t>
  </si>
  <si>
    <t>Filipino</t>
  </si>
  <si>
    <t>Malayalam</t>
  </si>
  <si>
    <t>Camboyano</t>
  </si>
  <si>
    <t>Wolof</t>
  </si>
  <si>
    <t>Malgache</t>
  </si>
  <si>
    <t>Austronesian</t>
  </si>
  <si>
    <t>Chinese</t>
  </si>
  <si>
    <t>Armenian</t>
  </si>
  <si>
    <t>Twi</t>
  </si>
  <si>
    <t>Samoan</t>
  </si>
  <si>
    <t>Mongo</t>
  </si>
  <si>
    <t>Alsatian</t>
  </si>
  <si>
    <t>Moldavian</t>
  </si>
  <si>
    <t>NorthNdebele</t>
  </si>
  <si>
    <t>Inuktitun</t>
  </si>
  <si>
    <t>Bali</t>
  </si>
  <si>
    <t>Japanese</t>
  </si>
  <si>
    <t>Latin</t>
  </si>
  <si>
    <t>Dinka</t>
  </si>
  <si>
    <t>Interlingue</t>
  </si>
  <si>
    <t>Algarabía</t>
  </si>
  <si>
    <t>Awadhi</t>
  </si>
  <si>
    <t>Ndonga</t>
  </si>
  <si>
    <t>Aymara</t>
  </si>
  <si>
    <t>ClassicalNewari</t>
  </si>
  <si>
    <t>Tsonga</t>
  </si>
  <si>
    <t>Kashubian</t>
  </si>
  <si>
    <t>Flamenco</t>
  </si>
  <si>
    <t>Turkmen</t>
  </si>
  <si>
    <t>Hebrew</t>
  </si>
  <si>
    <t>Bribri</t>
  </si>
  <si>
    <t>Creek</t>
  </si>
  <si>
    <t>Tagalog</t>
  </si>
  <si>
    <t>Dzongkha</t>
  </si>
  <si>
    <t>Dogri</t>
  </si>
  <si>
    <t>Occitan</t>
  </si>
  <si>
    <t>Tzeltal</t>
  </si>
  <si>
    <t>Uighur</t>
  </si>
  <si>
    <t>Tibetano</t>
  </si>
  <si>
    <t>Bambara</t>
  </si>
  <si>
    <t>Slavic</t>
  </si>
  <si>
    <t>Tuvinian</t>
  </si>
  <si>
    <t>Gallego</t>
  </si>
  <si>
    <t>Ladino</t>
  </si>
  <si>
    <t>De Cornualles</t>
  </si>
  <si>
    <t>Interlingua</t>
  </si>
  <si>
    <t>Bislama</t>
  </si>
  <si>
    <t>Dargwa</t>
  </si>
  <si>
    <t>SichuanYi</t>
  </si>
  <si>
    <t>Tigrinya</t>
  </si>
  <si>
    <t>Criollo</t>
  </si>
  <si>
    <t>Inupiaq</t>
  </si>
  <si>
    <t>Lao</t>
  </si>
  <si>
    <t>Aramaic</t>
  </si>
  <si>
    <t>Khmer</t>
  </si>
  <si>
    <t>Telugu</t>
  </si>
  <si>
    <t>Icelandic</t>
  </si>
  <si>
    <t>Gujarati</t>
  </si>
  <si>
    <t>Inupiak</t>
  </si>
  <si>
    <t>Sindhi</t>
  </si>
  <si>
    <t>LowerSorbian</t>
  </si>
  <si>
    <t>MiddleEnglish</t>
  </si>
  <si>
    <t>Batak</t>
  </si>
  <si>
    <t>MiddleFrench</t>
  </si>
  <si>
    <t>Romance</t>
  </si>
  <si>
    <t>Marwari</t>
  </si>
  <si>
    <t>Kirghiz</t>
  </si>
  <si>
    <t>Shona</t>
  </si>
  <si>
    <t>Adygei</t>
  </si>
  <si>
    <t>Asirio</t>
  </si>
  <si>
    <t>Breton</t>
  </si>
  <si>
    <t>Macedonio</t>
  </si>
  <si>
    <t>Kurdo</t>
  </si>
  <si>
    <t>Klingon</t>
  </si>
  <si>
    <t>Rajasthani</t>
  </si>
  <si>
    <t>Maithili</t>
  </si>
  <si>
    <t>Pashto</t>
  </si>
  <si>
    <t>Ukrainian</t>
  </si>
  <si>
    <t>Frisian</t>
  </si>
  <si>
    <t>Yakut</t>
  </si>
  <si>
    <t>Zulú</t>
  </si>
  <si>
    <t>Jula</t>
  </si>
  <si>
    <t>Bengali</t>
  </si>
  <si>
    <t>Braj</t>
  </si>
  <si>
    <t>Castellano</t>
  </si>
  <si>
    <t>Coreano</t>
  </si>
  <si>
    <t>Guarani</t>
  </si>
  <si>
    <t>Corso</t>
  </si>
  <si>
    <t>SerboCroatian</t>
  </si>
  <si>
    <t>Ukranian</t>
  </si>
  <si>
    <t>MiddleHighGerman</t>
  </si>
  <si>
    <t>Somalí</t>
  </si>
  <si>
    <t>Nogai</t>
  </si>
  <si>
    <t>Oromo</t>
  </si>
  <si>
    <t>SorbianLanguages</t>
  </si>
  <si>
    <t>Sumerian</t>
  </si>
  <si>
    <t>SinoTibetan</t>
  </si>
  <si>
    <t>Sangho</t>
  </si>
  <si>
    <t>SouthernSotho</t>
  </si>
  <si>
    <t>Nepali</t>
  </si>
  <si>
    <t>Mende</t>
  </si>
  <si>
    <t>Lapón</t>
  </si>
  <si>
    <t>Ingush</t>
  </si>
  <si>
    <t>Marathi</t>
  </si>
  <si>
    <t>Assamese</t>
  </si>
  <si>
    <t>Indonesio</t>
  </si>
  <si>
    <t>Swahili</t>
  </si>
  <si>
    <t>Samaritano</t>
  </si>
  <si>
    <t>Setswana</t>
  </si>
  <si>
    <t>Abjasia</t>
  </si>
  <si>
    <t>Yoruba</t>
  </si>
  <si>
    <t>Luo</t>
  </si>
  <si>
    <t>MandarinChinese</t>
  </si>
  <si>
    <t>Hindi</t>
  </si>
  <si>
    <t>Sánscrito</t>
  </si>
  <si>
    <t>Siswati</t>
  </si>
  <si>
    <t>Thai</t>
  </si>
  <si>
    <t>Galician</t>
  </si>
  <si>
    <t>OldFrench</t>
  </si>
  <si>
    <t>FinnoUgrian</t>
  </si>
  <si>
    <t>Bosnian</t>
  </si>
  <si>
    <t>Hmong</t>
  </si>
  <si>
    <t>Maltés</t>
  </si>
  <si>
    <t>Galés</t>
  </si>
  <si>
    <t>Navaho</t>
  </si>
  <si>
    <t>Mongol</t>
  </si>
  <si>
    <t>Bihari</t>
  </si>
  <si>
    <t>Yiddish</t>
  </si>
  <si>
    <t>Georgiano</t>
  </si>
  <si>
    <t>Farsi</t>
  </si>
  <si>
    <t>Kuanyama</t>
  </si>
  <si>
    <t>Malayo</t>
  </si>
  <si>
    <t>CrimeanTatar</t>
  </si>
  <si>
    <t>Afrikaans</t>
  </si>
  <si>
    <t>Serbio</t>
  </si>
  <si>
    <t>Urdu</t>
  </si>
  <si>
    <t>Inuktitut</t>
  </si>
  <si>
    <t>Berber</t>
  </si>
  <si>
    <t>Gullah</t>
  </si>
  <si>
    <t>TaiwaneseChinese</t>
  </si>
  <si>
    <t>Vasco</t>
  </si>
  <si>
    <t>Marshallese</t>
  </si>
  <si>
    <t>Hawaiano</t>
  </si>
  <si>
    <t>Cheyenne</t>
  </si>
  <si>
    <t>multiple_languages</t>
  </si>
  <si>
    <t>kubo</t>
  </si>
  <si>
    <t>nigerian_pidgin</t>
  </si>
  <si>
    <t>size_name</t>
  </si>
  <si>
    <t>external_product_id</t>
  </si>
  <si>
    <t>main_image_url</t>
  </si>
  <si>
    <t>item_sku</t>
  </si>
  <si>
    <t>item_name</t>
  </si>
  <si>
    <t>pattern_type</t>
  </si>
  <si>
    <t>list_price_with_tax</t>
  </si>
  <si>
    <t>fabric_type</t>
  </si>
  <si>
    <t>color_name</t>
  </si>
  <si>
    <t>quantity_price2</t>
  </si>
  <si>
    <t>other_image_url3</t>
  </si>
  <si>
    <t>number_of_lithium_metal_cells</t>
  </si>
  <si>
    <t>other_image_url7</t>
  </si>
  <si>
    <t>model</t>
  </si>
  <si>
    <t>website_shipping_weight</t>
  </si>
  <si>
    <t>language_value2</t>
  </si>
  <si>
    <t>battery_type2</t>
  </si>
  <si>
    <t>progressive_discount_value2</t>
  </si>
  <si>
    <t>quantity_lower_bound1</t>
  </si>
  <si>
    <t>quantity_lower_bound5</t>
  </si>
  <si>
    <t>package_contains_identifier</t>
  </si>
  <si>
    <t>other_image_url_ps04</t>
  </si>
  <si>
    <t>platinum_keywords3</t>
  </si>
  <si>
    <t>progressive_discount_lower_bound1</t>
  </si>
  <si>
    <t>fulfillment_latency</t>
  </si>
  <si>
    <t>progressive_discount_lower_bound3</t>
  </si>
  <si>
    <t>item_shape</t>
  </si>
  <si>
    <t>package_width</t>
  </si>
  <si>
    <t>battery_weight</t>
  </si>
  <si>
    <t>flash_point</t>
  </si>
  <si>
    <t>package_length</t>
  </si>
  <si>
    <t>item_booking_date</t>
  </si>
  <si>
    <t>other_image_url2</t>
  </si>
  <si>
    <t>other_image_url6</t>
  </si>
  <si>
    <t>platinum_keywords1</t>
  </si>
  <si>
    <t>other_image_url_ps05</t>
  </si>
  <si>
    <t>delivery_schedule_group_id</t>
  </si>
  <si>
    <t>dsa_responsible_party_address</t>
  </si>
  <si>
    <t>progressive_discount_value3</t>
  </si>
  <si>
    <t>bullet_point5</t>
  </si>
  <si>
    <t>merchant_release_date</t>
  </si>
  <si>
    <t>model_name</t>
  </si>
  <si>
    <t>number_of_items</t>
  </si>
  <si>
    <t>unspsc_code</t>
  </si>
  <si>
    <t>supplier_declared_dg_hz_regulation3</t>
  </si>
  <si>
    <t>bullet_point2</t>
  </si>
  <si>
    <t>ghs_classification_class3</t>
  </si>
  <si>
    <t>max_aggregate_ship_quantity</t>
  </si>
  <si>
    <t>quantity</t>
  </si>
  <si>
    <t>quantity_price5</t>
  </si>
  <si>
    <t>max_order_quantity</t>
  </si>
  <si>
    <t>national_stock_number</t>
  </si>
  <si>
    <t>bullet_point3</t>
  </si>
  <si>
    <t>lithium_battery_energy_content</t>
  </si>
  <si>
    <t>supplier_declared_dg_hz_regulation4</t>
  </si>
  <si>
    <t>standard_price</t>
  </si>
  <si>
    <t>product_site_launch_date</t>
  </si>
  <si>
    <t>ghs_classification_class2</t>
  </si>
  <si>
    <t>item_package_quantity</t>
  </si>
  <si>
    <t>business_price</t>
  </si>
  <si>
    <t>quantity_lower_bound2</t>
  </si>
  <si>
    <t>generic_keywords</t>
  </si>
  <si>
    <t>shaft_style_type</t>
  </si>
  <si>
    <t>offering_end_date</t>
  </si>
  <si>
    <t>supplier_declared_dg_hz_regulation5</t>
  </si>
  <si>
    <t>quantity_price1</t>
  </si>
  <si>
    <t>other_image_url1</t>
  </si>
  <si>
    <t>bullet_point4</t>
  </si>
  <si>
    <t>supplier_declared_dg_hz_regulation2</t>
  </si>
  <si>
    <t>other_image_url5</t>
  </si>
  <si>
    <t>progressive_discount_lower_bound2</t>
  </si>
  <si>
    <t>bullet_point1</t>
  </si>
  <si>
    <t>other_image_url_ps01</t>
  </si>
  <si>
    <t>package_contains_quantity</t>
  </si>
  <si>
    <t>safety_data_sheet_url</t>
  </si>
  <si>
    <t>athlete</t>
  </si>
  <si>
    <t>material_type</t>
  </si>
  <si>
    <t>number_of_batteries3</t>
  </si>
  <si>
    <t>quantity_price4</t>
  </si>
  <si>
    <t>sale_price</t>
  </si>
  <si>
    <t>inner_material_type</t>
  </si>
  <si>
    <t>package_height</t>
  </si>
  <si>
    <t>item_volume</t>
  </si>
  <si>
    <t>progressive_discount_value1</t>
  </si>
  <si>
    <t>fc_shelf_life</t>
  </si>
  <si>
    <t>number_of_lithium_ion_cells</t>
  </si>
  <si>
    <t>parent_sku</t>
  </si>
  <si>
    <t>platinum_keywords2</t>
  </si>
  <si>
    <t>package_weight</t>
  </si>
  <si>
    <t>sale_end_date</t>
  </si>
  <si>
    <t>hazmat_united_nations_regulatory_id</t>
  </si>
  <si>
    <t>other_image_url_ps02</t>
  </si>
  <si>
    <t>condition_note</t>
  </si>
  <si>
    <t>quantity_lower_bound4</t>
  </si>
  <si>
    <t>item_weight</t>
  </si>
  <si>
    <t>language_value3</t>
  </si>
  <si>
    <t>other_image_url4</t>
  </si>
  <si>
    <t>offering_start_date</t>
  </si>
  <si>
    <t>quantity_price3</t>
  </si>
  <si>
    <t>lithium_battery_weight</t>
  </si>
  <si>
    <t>platinum_keywords4</t>
  </si>
  <si>
    <t>restock_date</t>
  </si>
  <si>
    <t>product_description</t>
  </si>
  <si>
    <t>battery_type3</t>
  </si>
  <si>
    <t>part_number</t>
  </si>
  <si>
    <t>language_value5</t>
  </si>
  <si>
    <t>sale_from_date</t>
  </si>
  <si>
    <t>number_of_batteries1</t>
  </si>
  <si>
    <t>quantity_lower_bound3</t>
  </si>
  <si>
    <t>other_image_url_ps03</t>
  </si>
  <si>
    <t>supplier_declared_material_regulation2</t>
  </si>
  <si>
    <t>language_value4</t>
  </si>
  <si>
    <t>other_image_url_ps06</t>
  </si>
  <si>
    <t>supplier_declared_material_regulation3</t>
  </si>
  <si>
    <t>number_of_batteries2</t>
  </si>
  <si>
    <t>other_image_url8</t>
  </si>
  <si>
    <t>platinum_keywords5</t>
  </si>
  <si>
    <t>TemplateType=fptcustom</t>
  </si>
  <si>
    <t>Version=2024.0708</t>
  </si>
  <si>
    <t>TemplateSignature=RFJFU1M=</t>
  </si>
  <si>
    <t>settings=attributeRow=3&amp;contentLanguageTag=es_ES&amp;dataRow=4&amp;feedType=113&amp;headerLanguageTag=es_ES&amp;isEdit=false&amp;isProcessingSummary=false&amp;labelRow=2&amp;metadataVersion=MatprodVkxBUHJvZC0xMTQ0&amp;primaryMarketplaceId=amzn1.mp.o.A1RKKUPIHCS9HS&amp;ptds=RFJFU1M%3D&amp;reportProvenance=false&amp;templateIdentifier=233c132e-cb3c-4ace-a30e-939a9deaff89&amp;timestamp=2024-07-08T08%3A43%3A16.819Z</t>
  </si>
  <si>
    <t xml:space="preserve">     Debes rellenar esta plantilla en ESPAÑOL. NO modifiques ni elimines las filas de encabezado coloreadas. Para ampliar todas las columnas opcionales, haz clic en el botón "2" en la parte superior izquierda.</t>
  </si>
  <si>
    <t>Imágenes</t>
  </si>
  <si>
    <t>Variantes</t>
  </si>
  <si>
    <t>Descubrimiento</t>
  </si>
  <si>
    <t>Mejora del listing</t>
  </si>
  <si>
    <t>Dimensiones</t>
  </si>
  <si>
    <t>Cumplimiento</t>
  </si>
  <si>
    <t>Cumplimiento normativo</t>
  </si>
  <si>
    <t>Oferta</t>
  </si>
  <si>
    <t>b2b</t>
  </si>
  <si>
    <t>Tipo de producto</t>
  </si>
  <si>
    <t>SKU</t>
  </si>
  <si>
    <t>Marca</t>
  </si>
  <si>
    <t>Actualizar o eliminar</t>
  </si>
  <si>
    <t>Identificador de producto</t>
  </si>
  <si>
    <t>Tipo de identificador de producto</t>
  </si>
  <si>
    <t>Tituló</t>
  </si>
  <si>
    <t>Descripción</t>
  </si>
  <si>
    <t>Número de modelo</t>
  </si>
  <si>
    <t>Nodo de navegación recomendado</t>
  </si>
  <si>
    <t>Material exterior</t>
  </si>
  <si>
    <t>Material interior</t>
  </si>
  <si>
    <t>Cuidado de la prenda</t>
  </si>
  <si>
    <t>Modelo</t>
  </si>
  <si>
    <t>Temperatura nominal</t>
  </si>
  <si>
    <t> Idioma</t>
  </si>
  <si>
    <t>Precio</t>
  </si>
  <si>
    <t>Cantidad</t>
  </si>
  <si>
    <t>Género</t>
  </si>
  <si>
    <t>Descripción del rango de edad</t>
  </si>
  <si>
    <t>Sistema de tallas de ropa</t>
  </si>
  <si>
    <t>Clase de talla de la ropa</t>
  </si>
  <si>
    <t>Talla de la ropa</t>
  </si>
  <si>
    <t>Valor superior del rango de tallas</t>
  </si>
  <si>
    <t>Tipo de cuerpo</t>
  </si>
  <si>
    <t>Tipo de altura</t>
  </si>
  <si>
    <t>Dirección URL de la imagen principal</t>
  </si>
  <si>
    <t>Direcciones URL de otras imágenes1</t>
  </si>
  <si>
    <t>Direcciones URL de otras imágenes2</t>
  </si>
  <si>
    <t>Direcciones URL de otras imágenes3</t>
  </si>
  <si>
    <t>Direcciones URL de otras imágenes4</t>
  </si>
  <si>
    <t>Direcciones URL de otras imágenes5</t>
  </si>
  <si>
    <t>Direcciones URL de otras imágenes6</t>
  </si>
  <si>
    <t>Direcciones URL de otras imágenes7</t>
  </si>
  <si>
    <t>Direcciones URL de otras imágenes8</t>
  </si>
  <si>
    <t>url de otra imagen ps01</t>
  </si>
  <si>
    <t>url de otra imagen ps02</t>
  </si>
  <si>
    <t>url de otra imagen ps03</t>
  </si>
  <si>
    <t>url de otra imagen ps04</t>
  </si>
  <si>
    <t>url de otra imagen ps05</t>
  </si>
  <si>
    <t>url de otra imagen ps06</t>
  </si>
  <si>
    <t>Parentesco</t>
  </si>
  <si>
    <t>SKU padre</t>
  </si>
  <si>
    <t>Tipo de relación secundaria</t>
  </si>
  <si>
    <t>Tipo de variación</t>
  </si>
  <si>
    <t>Nivel de paquete</t>
  </si>
  <si>
    <t>Cantidad de artículos secundarios que contiene el paquete</t>
  </si>
  <si>
    <t>Cantidad de artículos por paquete</t>
  </si>
  <si>
    <t>Términos de búsqueda</t>
  </si>
  <si>
    <t>Viñetas</t>
  </si>
  <si>
    <t>Color asociado</t>
  </si>
  <si>
    <t>Talla</t>
  </si>
  <si>
    <t>Temporada y año de la colección</t>
  </si>
  <si>
    <t>Estampado</t>
  </si>
  <si>
    <t>Ocasión</t>
  </si>
  <si>
    <t>Estilo</t>
  </si>
  <si>
    <t>Departamento</t>
  </si>
  <si>
    <t>Talla especial</t>
  </si>
  <si>
    <t>Autografiado</t>
  </si>
  <si>
    <t>Temporada</t>
  </si>
  <si>
    <t>Estilo de la vara</t>
  </si>
  <si>
    <t>Tipo de suministro del ciclo de vida del producto</t>
  </si>
  <si>
    <t>fecha de la reservación del producto</t>
  </si>
  <si>
    <t>Tipo de manga</t>
  </si>
  <si>
    <t>Canal de venta de productos sanitarios</t>
  </si>
  <si>
    <t>Unidad de Tiempo Almacenamiento FC</t>
  </si>
  <si>
    <t>Peso del envío</t>
  </si>
  <si>
    <t>Unidad de medida del atributo "Peso del envío"</t>
  </si>
  <si>
    <t>Talla general</t>
  </si>
  <si>
    <t>Largo de la prenda</t>
  </si>
  <si>
    <t>Identificador de centro logístico</t>
  </si>
  <si>
    <t>Longitud del paquete</t>
  </si>
  <si>
    <t>Ancho del paquete</t>
  </si>
  <si>
    <t>Altura del paquete</t>
  </si>
  <si>
    <t>Unidad de medida de la longitud del embalaje</t>
  </si>
  <si>
    <t>Peso del paquete</t>
  </si>
  <si>
    <t>Unidad de medida del atributo "Peso del paquete"</t>
  </si>
  <si>
    <t xml:space="preserve">Unidad de medida del peso del paquete </t>
  </si>
  <si>
    <t>Unidad de medida de la anchura del paquete</t>
  </si>
  <si>
    <t>País/Región de origen</t>
  </si>
  <si>
    <t>¿El producto es o contiene una batería o pila?</t>
  </si>
  <si>
    <t>Pilas incluidas</t>
  </si>
  <si>
    <t>Composición de la batería o pila</t>
  </si>
  <si>
    <t>Tamaño/tipo de batería o pila</t>
  </si>
  <si>
    <t>Cantidad de baterías o pilas</t>
  </si>
  <si>
    <t>Peso de la batería o pila (en gramos)</t>
  </si>
  <si>
    <t>Número de células metal de litio</t>
  </si>
  <si>
    <t>Número de células Ion de litio</t>
  </si>
  <si>
    <t>Embalaje de la bateria de litio</t>
  </si>
  <si>
    <t>Vatios por hora de cada batería o pila</t>
  </si>
  <si>
    <t>Contenido de litio (en gramos)</t>
  </si>
  <si>
    <t>Regulaciones aplicables a los materiales peligrosos</t>
  </si>
  <si>
    <t>Número ONU</t>
  </si>
  <si>
    <t>URL de la ficha de datos de seguridad (FDS)</t>
  </si>
  <si>
    <t>Peso del producto</t>
  </si>
  <si>
    <t>Capacidad de la piscina</t>
  </si>
  <si>
    <t>Unidad de medida de la capacidad de la piscina</t>
  </si>
  <si>
    <t>Dirección de la parte responsable de DSA</t>
  </si>
  <si>
    <t>Punto de inflamación (en ºC)</t>
  </si>
  <si>
    <t>Advertencia no relativa a una edad específica de la Directiva de la Unión Europea sobre la seguridad de los juguetes</t>
  </si>
  <si>
    <t>Regulación de materiales declarados por el proveedor</t>
  </si>
  <si>
    <t>Categorización/pictogramas GHS (selecciona tantas opciones como corresponda)</t>
  </si>
  <si>
    <t>Divisa</t>
  </si>
  <si>
    <t>el tiempo de preparación</t>
  </si>
  <si>
    <t>Precio en oferta</t>
  </si>
  <si>
    <t>Fecha de comienzo de la oferta</t>
  </si>
  <si>
    <t>Fecha de finalización de la venta</t>
  </si>
  <si>
    <t>Cantidad máxima de artículos en la misma caja</t>
  </si>
  <si>
    <t>Número de unidades por paquete</t>
  </si>
  <si>
    <t>Número de artículos</t>
  </si>
  <si>
    <t>Mensaje de regalo disponible</t>
  </si>
  <si>
    <t>Envoltorio para regalo disponible</t>
  </si>
  <si>
    <t>Descatalogado por el fabricante</t>
  </si>
  <si>
    <t>Fecha de lanzamiento</t>
  </si>
  <si>
    <t>Fecha de reabastecimiento</t>
  </si>
  <si>
    <t>Producto con fecha de caducidad</t>
  </si>
  <si>
    <t>Precio de publicación</t>
  </si>
  <si>
    <t>Tipo de caducidad del producto</t>
  </si>
  <si>
    <t>vida útil en estantería</t>
  </si>
  <si>
    <t>Fecha de finalización de la oferta</t>
  </si>
  <si>
    <t>Cantidad máxima por pedido</t>
  </si>
  <si>
    <t>Grupo de envío</t>
  </si>
  <si>
    <t>Fecha de inicio de la oferta</t>
  </si>
  <si>
    <t>Código fiscal del producto</t>
  </si>
  <si>
    <t>Estado del producto</t>
  </si>
  <si>
    <t>Nota sobre estado</t>
  </si>
  <si>
    <t>Precio para emresas</t>
  </si>
  <si>
    <t>Tipo de precio por cantidad</t>
  </si>
  <si>
    <t>Límite inferior 1 por cantidad</t>
  </si>
  <si>
    <t>Precio por cantidad 1</t>
  </si>
  <si>
    <t>Límite inferior 2 por cantidad</t>
  </si>
  <si>
    <t>Precio por cantidad 2</t>
  </si>
  <si>
    <t>Límite inferior 3 por cantidad</t>
  </si>
  <si>
    <t>Precio por cantidad 3</t>
  </si>
  <si>
    <t>Límite inferior 4 por cantidad</t>
  </si>
  <si>
    <t>Precio por cantidad 4</t>
  </si>
  <si>
    <t>Límite inferior 5 por cantidad</t>
  </si>
  <si>
    <t>Precio por cantidad 5</t>
  </si>
  <si>
    <t>Tipo de descuento progresivo</t>
  </si>
  <si>
    <t>Límite inferior 1 del descuento progresivo</t>
  </si>
  <si>
    <t>Valor 1 del descuento progresivo</t>
  </si>
  <si>
    <t>Límite inferior 2 del descuento progresivo</t>
  </si>
  <si>
    <t>Valor 2 del descuento progresivo</t>
  </si>
  <si>
    <t>Límite inferior 3 del descuento progresivo</t>
  </si>
  <si>
    <t>Valor 3 del descuento progresivo</t>
  </si>
  <si>
    <t>National Stock Number</t>
  </si>
  <si>
    <t>United Nations Standard Products and Services Code</t>
  </si>
  <si>
    <t>Configuración de precios</t>
  </si>
  <si>
    <t>EG02093</t>
  </si>
  <si>
    <t>Ever-Pretty Vestidos de Noche Señoras Elegante para la Boda Tobillo Longitud Vestido de Invitada de Boda Vestido de Cóctel Vestidos de Fiesta EG02093</t>
  </si>
  <si>
    <t>EG02093TE04</t>
  </si>
  <si>
    <t>B0DNPW8LRD</t>
  </si>
  <si>
    <t>Ever-Pretty Vestidos de Noche Señoras Elegante para la Boda Tobillo Longitud Vestido de Invitada de Boda Vestido de Cóctel Vestidos de Fiesta Verde Azulado 36</t>
  </si>
  <si>
    <t>vestidos de dama de honor para mujer vestidos de invitadas de boda vestidos de fiesta elegantes vestidos largos para mujer vestidos de noche para mujer vestidos de fiesta vestidos de dama de honor vestidos de ceremonia ropa formal para mujer</t>
  </si>
  <si>
    <t>Tamaño: Nuestros tamaños cumplen con los estándares europeos, consulte la tabla de tamaños para seleccionar.</t>
  </si>
  <si>
    <t>Embalaje: nuestros ropas están doblados para un envío más rápido. Utilice vapor para eliminar las arrugas a su llegada.</t>
  </si>
  <si>
    <t>Características: Este elegante vestido de noche de gasa para mujer presenta un cuello en V clásico y un diseño corto. Las flores estampadas a mano en la cintura hacen que este vestido sea elegante y único. La silueta en forma de A y la cintura alta no solo resaltan las curvas de tu cuerpo, sino que también hacen que cada movimiento que hagas luzca sexy y elegante. El suave material de gasa es muy cómodo y texturizado, adecuado para cualquier época del año.</t>
  </si>
  <si>
    <t>Ocasión: Perfecto para ocasiones formales como vacaciones en la playa, invitaciones de boda, cócteles, etc., o ocasiones cotidianas como vacaciones, calle, verano, graduación, fiestas, etc.</t>
  </si>
  <si>
    <t>Ever-Pretty es una marca de ropa femenina. Ofrecemos vestidos de noche elegantes y elegantes para graduaciones, bodas, galas, coros y más. Siempre a la moda, Ever-Pretty diseña vestidos modernos y los imagina como incorporaciones atemporales a tu guardarropa.</t>
  </si>
  <si>
    <t>A Line</t>
  </si>
  <si>
    <t>cuello en v</t>
  </si>
  <si>
    <t>poliéster</t>
  </si>
  <si>
    <t>Gasa</t>
  </si>
  <si>
    <t>EG02093TE06</t>
  </si>
  <si>
    <t>B0DNPW8GDB</t>
  </si>
  <si>
    <t>Ever-Pretty Vestidos de Noche Señoras Elegante para la Boda Tobillo Longitud Vestido de Invitada de Boda Vestido de Cóctel Vestidos de Fiesta Verde Azulado 38</t>
  </si>
  <si>
    <t>CONDITION_LIST_0</t>
  </si>
  <si>
    <t>CONDITION_LIST_1</t>
  </si>
  <si>
    <t>CONDITION_LIST_2</t>
  </si>
  <si>
    <t>CONDITION_LIST_3</t>
  </si>
  <si>
    <t>Litio</t>
  </si>
  <si>
    <t>Litio-aire</t>
  </si>
  <si>
    <t>Litio-cobalto</t>
  </si>
  <si>
    <t>Litio Ion</t>
  </si>
  <si>
    <t>Litio-níquel, cobalto y aluminio (NCA)</t>
  </si>
  <si>
    <t>Litio-níquel, manganeso y cobalto (NMC)</t>
  </si>
  <si>
    <t>Fosfato de litio</t>
  </si>
  <si>
    <t>Polímero de litio</t>
  </si>
  <si>
    <t>Litio-cloruro de tionilo (Li-SOCL2)</t>
  </si>
  <si>
    <t>Titanato de litio</t>
  </si>
</sst>
</file>

<file path=xl/styles.xml><?xml version="1.0" encoding="utf-8"?>
<styleSheet xmlns="http://schemas.openxmlformats.org/spreadsheetml/2006/main" xmlns:mc="http://schemas.openxmlformats.org/markup-compatibility/2006" xmlns:xr9="http://schemas.microsoft.com/office/spreadsheetml/2016/revision9" mc:Ignorable="xr9">
  <numFmts count="5">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0#"/>
  </numFmts>
  <fonts count="26">
    <font>
      <sz val="11"/>
      <color indexed="8"/>
      <name val="DengXian"/>
      <charset val="134"/>
      <scheme val="minor"/>
    </font>
    <font>
      <sz val="10"/>
      <name val="Arial"/>
      <charset val="134"/>
    </font>
    <font>
      <b/>
      <sz val="11"/>
      <color rgb="FF808080"/>
      <name val="Calibri"/>
      <charset val="134"/>
    </font>
    <font>
      <b/>
      <sz val="11"/>
      <color rgb="FF000000"/>
      <name val="Calibri"/>
      <charset val="134"/>
    </font>
    <font>
      <sz val="11"/>
      <color rgb="FF000000"/>
      <name val="Calibri"/>
      <charset val="134"/>
    </font>
    <font>
      <sz val="11"/>
      <color theme="1"/>
      <name val="DengXian"/>
      <charset val="134"/>
      <scheme val="minor"/>
    </font>
    <font>
      <u/>
      <sz val="11"/>
      <color rgb="FF0000FF"/>
      <name val="DengXian"/>
      <charset val="0"/>
      <scheme val="minor"/>
    </font>
    <font>
      <u/>
      <sz val="11"/>
      <color rgb="FF800080"/>
      <name val="DengXian"/>
      <charset val="0"/>
      <scheme val="minor"/>
    </font>
    <font>
      <sz val="11"/>
      <color rgb="FFFF0000"/>
      <name val="DengXian"/>
      <charset val="0"/>
      <scheme val="minor"/>
    </font>
    <font>
      <b/>
      <sz val="18"/>
      <color theme="3"/>
      <name val="DengXian"/>
      <charset val="134"/>
      <scheme val="minor"/>
    </font>
    <font>
      <i/>
      <sz val="11"/>
      <color rgb="FF7F7F7F"/>
      <name val="DengXian"/>
      <charset val="0"/>
      <scheme val="minor"/>
    </font>
    <font>
      <b/>
      <sz val="15"/>
      <color theme="3"/>
      <name val="DengXian"/>
      <charset val="134"/>
      <scheme val="minor"/>
    </font>
    <font>
      <b/>
      <sz val="13"/>
      <color theme="3"/>
      <name val="DengXian"/>
      <charset val="134"/>
      <scheme val="minor"/>
    </font>
    <font>
      <b/>
      <sz val="11"/>
      <color theme="3"/>
      <name val="DengXian"/>
      <charset val="134"/>
      <scheme val="minor"/>
    </font>
    <font>
      <sz val="11"/>
      <color rgb="FF3F3F76"/>
      <name val="DengXian"/>
      <charset val="0"/>
      <scheme val="minor"/>
    </font>
    <font>
      <b/>
      <sz val="11"/>
      <color rgb="FF3F3F3F"/>
      <name val="DengXian"/>
      <charset val="0"/>
      <scheme val="minor"/>
    </font>
    <font>
      <b/>
      <sz val="11"/>
      <color rgb="FFFA7D00"/>
      <name val="DengXian"/>
      <charset val="0"/>
      <scheme val="minor"/>
    </font>
    <font>
      <b/>
      <sz val="11"/>
      <color rgb="FFFFFFFF"/>
      <name val="DengXian"/>
      <charset val="0"/>
      <scheme val="minor"/>
    </font>
    <font>
      <sz val="11"/>
      <color rgb="FFFA7D00"/>
      <name val="DengXian"/>
      <charset val="0"/>
      <scheme val="minor"/>
    </font>
    <font>
      <b/>
      <sz val="11"/>
      <color theme="1"/>
      <name val="DengXian"/>
      <charset val="0"/>
      <scheme val="minor"/>
    </font>
    <font>
      <sz val="11"/>
      <color rgb="FF006100"/>
      <name val="DengXian"/>
      <charset val="0"/>
      <scheme val="minor"/>
    </font>
    <font>
      <sz val="11"/>
      <color rgb="FF9C0006"/>
      <name val="DengXian"/>
      <charset val="0"/>
      <scheme val="minor"/>
    </font>
    <font>
      <sz val="11"/>
      <color rgb="FF9C6500"/>
      <name val="DengXian"/>
      <charset val="0"/>
      <scheme val="minor"/>
    </font>
    <font>
      <sz val="11"/>
      <color theme="0"/>
      <name val="DengXian"/>
      <charset val="0"/>
      <scheme val="minor"/>
    </font>
    <font>
      <sz val="11"/>
      <color theme="1"/>
      <name val="DengXian"/>
      <charset val="0"/>
      <scheme val="minor"/>
    </font>
    <font>
      <sz val="10"/>
      <name val="Verdana"/>
      <charset val="134"/>
    </font>
  </fonts>
  <fills count="45">
    <fill>
      <patternFill patternType="none"/>
    </fill>
    <fill>
      <patternFill patternType="gray125"/>
    </fill>
    <fill>
      <patternFill patternType="solid">
        <fgColor theme="4" tint="0.6"/>
        <bgColor indexed="64"/>
      </patternFill>
    </fill>
    <fill>
      <patternFill patternType="solid">
        <fgColor theme="0"/>
        <bgColor indexed="64"/>
      </patternFill>
    </fill>
    <fill>
      <patternFill patternType="solid">
        <fgColor rgb="FFF8A45E"/>
        <bgColor indexed="64"/>
      </patternFill>
    </fill>
    <fill>
      <patternFill patternType="solid">
        <fgColor rgb="FFFFFF00"/>
        <bgColor indexed="64"/>
      </patternFill>
    </fill>
    <fill>
      <patternFill patternType="solid">
        <fgColor rgb="FFFF8080"/>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rgb="FF96C8BE"/>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10">
    <border>
      <left/>
      <right/>
      <top/>
      <bottom/>
      <diagonal/>
    </border>
    <border>
      <left style="thin">
        <color auto="1"/>
      </left>
      <right style="thin">
        <color auto="1"/>
      </right>
      <top style="thin">
        <color auto="1"/>
      </top>
      <bottom style="thin">
        <color auto="1"/>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65">
    <xf numFmtId="0" fontId="0" fillId="0" borderId="0">
      <alignment vertical="center"/>
    </xf>
    <xf numFmtId="43" fontId="5" fillId="0" borderId="0" applyFont="0" applyFill="0" applyBorder="0" applyAlignment="0" applyProtection="0">
      <alignment vertical="center"/>
    </xf>
    <xf numFmtId="44" fontId="5" fillId="0" borderId="0" applyFont="0" applyFill="0" applyBorder="0" applyAlignment="0" applyProtection="0">
      <alignment vertical="center"/>
    </xf>
    <xf numFmtId="9" fontId="5" fillId="0" borderId="0" applyFont="0" applyFill="0" applyBorder="0" applyAlignment="0" applyProtection="0">
      <alignment vertical="center"/>
    </xf>
    <xf numFmtId="41" fontId="5" fillId="0" borderId="0" applyFont="0" applyFill="0" applyBorder="0" applyAlignment="0" applyProtection="0">
      <alignment vertical="center"/>
    </xf>
    <xf numFmtId="42" fontId="5" fillId="0" borderId="0" applyFont="0" applyFill="0" applyBorder="0" applyAlignment="0" applyProtection="0">
      <alignment vertical="center"/>
    </xf>
    <xf numFmtId="0" fontId="6" fillId="0" borderId="0" applyNumberFormat="0" applyFill="0" applyBorder="0" applyAlignment="0" applyProtection="0">
      <alignment vertical="center"/>
    </xf>
    <xf numFmtId="0" fontId="7" fillId="0" borderId="0" applyNumberFormat="0" applyFill="0" applyBorder="0" applyAlignment="0" applyProtection="0">
      <alignment vertical="center"/>
    </xf>
    <xf numFmtId="0" fontId="5" fillId="14" borderId="2" applyNumberFormat="0" applyFont="0" applyAlignment="0" applyProtection="0">
      <alignment vertical="center"/>
    </xf>
    <xf numFmtId="0" fontId="8"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11" fillId="0" borderId="3" applyNumberFormat="0" applyFill="0" applyAlignment="0" applyProtection="0">
      <alignment vertical="center"/>
    </xf>
    <xf numFmtId="0" fontId="12" fillId="0" borderId="3" applyNumberFormat="0" applyFill="0" applyAlignment="0" applyProtection="0">
      <alignment vertical="center"/>
    </xf>
    <xf numFmtId="0" fontId="13" fillId="0" borderId="4" applyNumberFormat="0" applyFill="0" applyAlignment="0" applyProtection="0">
      <alignment vertical="center"/>
    </xf>
    <xf numFmtId="0" fontId="13" fillId="0" borderId="0" applyNumberFormat="0" applyFill="0" applyBorder="0" applyAlignment="0" applyProtection="0">
      <alignment vertical="center"/>
    </xf>
    <xf numFmtId="0" fontId="14" fillId="15" borderId="5" applyNumberFormat="0" applyAlignment="0" applyProtection="0">
      <alignment vertical="center"/>
    </xf>
    <xf numFmtId="0" fontId="15" fillId="16" borderId="6" applyNumberFormat="0" applyAlignment="0" applyProtection="0">
      <alignment vertical="center"/>
    </xf>
    <xf numFmtId="0" fontId="16" fillId="16" borderId="5" applyNumberFormat="0" applyAlignment="0" applyProtection="0">
      <alignment vertical="center"/>
    </xf>
    <xf numFmtId="0" fontId="17" fillId="17" borderId="7" applyNumberFormat="0" applyAlignment="0" applyProtection="0">
      <alignment vertical="center"/>
    </xf>
    <xf numFmtId="0" fontId="18" fillId="0" borderId="8" applyNumberFormat="0" applyFill="0" applyAlignment="0" applyProtection="0">
      <alignment vertical="center"/>
    </xf>
    <xf numFmtId="0" fontId="19" fillId="0" borderId="9" applyNumberFormat="0" applyFill="0" applyAlignment="0" applyProtection="0">
      <alignment vertical="center"/>
    </xf>
    <xf numFmtId="0" fontId="20" fillId="18" borderId="0" applyNumberFormat="0" applyBorder="0" applyAlignment="0" applyProtection="0">
      <alignment vertical="center"/>
    </xf>
    <xf numFmtId="0" fontId="21" fillId="19" borderId="0" applyNumberFormat="0" applyBorder="0" applyAlignment="0" applyProtection="0">
      <alignment vertical="center"/>
    </xf>
    <xf numFmtId="0" fontId="22" fillId="20" borderId="0" applyNumberFormat="0" applyBorder="0" applyAlignment="0" applyProtection="0">
      <alignment vertical="center"/>
    </xf>
    <xf numFmtId="0" fontId="23" fillId="21" borderId="0" applyNumberFormat="0" applyBorder="0" applyAlignment="0" applyProtection="0">
      <alignment vertical="center"/>
    </xf>
    <xf numFmtId="0" fontId="24" fillId="22" borderId="0" applyNumberFormat="0" applyBorder="0" applyAlignment="0" applyProtection="0">
      <alignment vertical="center"/>
    </xf>
    <xf numFmtId="0" fontId="24" fillId="23" borderId="0" applyNumberFormat="0" applyBorder="0" applyAlignment="0" applyProtection="0">
      <alignment vertical="center"/>
    </xf>
    <xf numFmtId="0" fontId="23" fillId="24" borderId="0" applyNumberFormat="0" applyBorder="0" applyAlignment="0" applyProtection="0">
      <alignment vertical="center"/>
    </xf>
    <xf numFmtId="0" fontId="23" fillId="25" borderId="0" applyNumberFormat="0" applyBorder="0" applyAlignment="0" applyProtection="0">
      <alignment vertical="center"/>
    </xf>
    <xf numFmtId="0" fontId="24" fillId="26" borderId="0" applyNumberFormat="0" applyBorder="0" applyAlignment="0" applyProtection="0">
      <alignment vertical="center"/>
    </xf>
    <xf numFmtId="0" fontId="24" fillId="27" borderId="0" applyNumberFormat="0" applyBorder="0" applyAlignment="0" applyProtection="0">
      <alignment vertical="center"/>
    </xf>
    <xf numFmtId="0" fontId="23" fillId="28" borderId="0" applyNumberFormat="0" applyBorder="0" applyAlignment="0" applyProtection="0">
      <alignment vertical="center"/>
    </xf>
    <xf numFmtId="0" fontId="23" fillId="29" borderId="0" applyNumberFormat="0" applyBorder="0" applyAlignment="0" applyProtection="0">
      <alignment vertical="center"/>
    </xf>
    <xf numFmtId="0" fontId="24" fillId="30" borderId="0" applyNumberFormat="0" applyBorder="0" applyAlignment="0" applyProtection="0">
      <alignment vertical="center"/>
    </xf>
    <xf numFmtId="0" fontId="24" fillId="31" borderId="0" applyNumberFormat="0" applyBorder="0" applyAlignment="0" applyProtection="0">
      <alignment vertical="center"/>
    </xf>
    <xf numFmtId="0" fontId="23" fillId="32" borderId="0" applyNumberFormat="0" applyBorder="0" applyAlignment="0" applyProtection="0">
      <alignment vertical="center"/>
    </xf>
    <xf numFmtId="0" fontId="23" fillId="33" borderId="0" applyNumberFormat="0" applyBorder="0" applyAlignment="0" applyProtection="0">
      <alignment vertical="center"/>
    </xf>
    <xf numFmtId="0" fontId="24" fillId="34" borderId="0" applyNumberFormat="0" applyBorder="0" applyAlignment="0" applyProtection="0">
      <alignment vertical="center"/>
    </xf>
    <xf numFmtId="0" fontId="24" fillId="35" borderId="0" applyNumberFormat="0" applyBorder="0" applyAlignment="0" applyProtection="0">
      <alignment vertical="center"/>
    </xf>
    <xf numFmtId="0" fontId="23" fillId="36" borderId="0" applyNumberFormat="0" applyBorder="0" applyAlignment="0" applyProtection="0">
      <alignment vertical="center"/>
    </xf>
    <xf numFmtId="0" fontId="23" fillId="37" borderId="0" applyNumberFormat="0" applyBorder="0" applyAlignment="0" applyProtection="0">
      <alignment vertical="center"/>
    </xf>
    <xf numFmtId="0" fontId="24" fillId="38" borderId="0" applyNumberFormat="0" applyBorder="0" applyAlignment="0" applyProtection="0">
      <alignment vertical="center"/>
    </xf>
    <xf numFmtId="0" fontId="24" fillId="39" borderId="0" applyNumberFormat="0" applyBorder="0" applyAlignment="0" applyProtection="0">
      <alignment vertical="center"/>
    </xf>
    <xf numFmtId="0" fontId="23" fillId="40" borderId="0" applyNumberFormat="0" applyBorder="0" applyAlignment="0" applyProtection="0">
      <alignment vertical="center"/>
    </xf>
    <xf numFmtId="0" fontId="23" fillId="41" borderId="0" applyNumberFormat="0" applyBorder="0" applyAlignment="0" applyProtection="0">
      <alignment vertical="center"/>
    </xf>
    <xf numFmtId="0" fontId="24" fillId="42" borderId="0" applyNumberFormat="0" applyBorder="0" applyAlignment="0" applyProtection="0">
      <alignment vertical="center"/>
    </xf>
    <xf numFmtId="0" fontId="24" fillId="43" borderId="0" applyNumberFormat="0" applyBorder="0" applyAlignment="0" applyProtection="0">
      <alignment vertical="center"/>
    </xf>
    <xf numFmtId="0" fontId="23" fillId="44" borderId="0" applyNumberFormat="0" applyBorder="0" applyAlignment="0" applyProtection="0">
      <alignment vertical="center"/>
    </xf>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1" fillId="0" borderId="0"/>
    <xf numFmtId="0" fontId="1" fillId="0" borderId="0"/>
    <xf numFmtId="0" fontId="25" fillId="0" borderId="0"/>
    <xf numFmtId="0" fontId="5" fillId="0" borderId="0">
      <alignment vertical="center"/>
    </xf>
    <xf numFmtId="0" fontId="5" fillId="0" borderId="0"/>
    <xf numFmtId="0" fontId="5" fillId="0" borderId="0"/>
    <xf numFmtId="0" fontId="0" fillId="0" borderId="0"/>
    <xf numFmtId="0" fontId="5" fillId="0" borderId="0"/>
  </cellStyleXfs>
  <cellXfs count="65">
    <xf numFmtId="0" fontId="0" fillId="0" borderId="0" xfId="49"/>
    <xf numFmtId="0" fontId="1" fillId="0" borderId="0" xfId="49" applyFont="1"/>
    <xf numFmtId="49" fontId="1" fillId="0" borderId="0" xfId="49" applyNumberFormat="1" applyFont="1" applyProtection="1">
      <protection locked="0"/>
    </xf>
    <xf numFmtId="176" fontId="1" fillId="0" borderId="0" xfId="49" applyNumberFormat="1" applyFont="1" applyProtection="1">
      <protection locked="0"/>
    </xf>
    <xf numFmtId="1" fontId="1" fillId="0" borderId="0" xfId="49" applyNumberFormat="1" applyFont="1" applyProtection="1">
      <protection locked="0"/>
    </xf>
    <xf numFmtId="49" fontId="1" fillId="0" borderId="0" xfId="49" applyNumberFormat="1" applyFont="1" applyAlignment="1" applyProtection="1">
      <alignment horizontal="center"/>
      <protection locked="0"/>
    </xf>
    <xf numFmtId="49" fontId="1" fillId="2" borderId="0" xfId="49" applyNumberFormat="1" applyFont="1" applyFill="1" applyProtection="1">
      <protection locked="0"/>
    </xf>
    <xf numFmtId="14" fontId="1" fillId="0" borderId="0" xfId="49" applyNumberFormat="1" applyFont="1" applyProtection="1">
      <protection locked="0"/>
    </xf>
    <xf numFmtId="176" fontId="1" fillId="3" borderId="0" xfId="49" applyNumberFormat="1" applyFont="1" applyFill="1" applyProtection="1">
      <protection locked="0"/>
    </xf>
    <xf numFmtId="0" fontId="1" fillId="0" borderId="0" xfId="49" applyFont="1" applyProtection="1">
      <protection locked="0"/>
    </xf>
    <xf numFmtId="49" fontId="2" fillId="4" borderId="0" xfId="49" applyNumberFormat="1" applyFont="1" applyFill="1" applyBorder="1" applyAlignment="1">
      <alignment horizontal="left" vertical="center"/>
    </xf>
    <xf numFmtId="49" fontId="3" fillId="4" borderId="0" xfId="49" applyNumberFormat="1" applyFont="1" applyFill="1" applyBorder="1" applyAlignment="1">
      <alignment horizontal="left" vertical="center"/>
    </xf>
    <xf numFmtId="176" fontId="3" fillId="4" borderId="0" xfId="49" applyNumberFormat="1" applyFont="1" applyFill="1" applyBorder="1" applyAlignment="1">
      <alignment horizontal="left" vertical="center"/>
    </xf>
    <xf numFmtId="1" fontId="3" fillId="4" borderId="0" xfId="49" applyNumberFormat="1" applyFont="1" applyFill="1" applyBorder="1" applyAlignment="1">
      <alignment horizontal="left" vertical="center"/>
    </xf>
    <xf numFmtId="49" fontId="3" fillId="5" borderId="0" xfId="49" applyNumberFormat="1" applyFont="1" applyFill="1" applyBorder="1" applyAlignment="1">
      <alignment horizontal="left" vertical="center"/>
    </xf>
    <xf numFmtId="49" fontId="3" fillId="6" borderId="0" xfId="49" applyNumberFormat="1" applyFont="1" applyFill="1" applyBorder="1" applyAlignment="1">
      <alignment horizontal="left" vertical="center"/>
    </xf>
    <xf numFmtId="49" fontId="3" fillId="6" borderId="0" xfId="49" applyNumberFormat="1" applyFont="1" applyFill="1" applyBorder="1" applyAlignment="1">
      <alignment horizontal="center" vertical="center"/>
    </xf>
    <xf numFmtId="1" fontId="3" fillId="6" borderId="0" xfId="49" applyNumberFormat="1" applyFont="1" applyFill="1" applyBorder="1" applyAlignment="1">
      <alignment horizontal="left" vertical="center"/>
    </xf>
    <xf numFmtId="49" fontId="3" fillId="2" borderId="0" xfId="49" applyNumberFormat="1" applyFont="1" applyFill="1" applyBorder="1" applyAlignment="1">
      <alignment horizontal="left" vertical="center"/>
    </xf>
    <xf numFmtId="49" fontId="3" fillId="7" borderId="0" xfId="49" applyNumberFormat="1" applyFont="1" applyFill="1" applyBorder="1" applyAlignment="1">
      <alignment horizontal="left" vertical="center"/>
    </xf>
    <xf numFmtId="14" fontId="3" fillId="7" borderId="0" xfId="49" applyNumberFormat="1" applyFont="1" applyFill="1" applyBorder="1" applyAlignment="1">
      <alignment horizontal="left" vertical="center"/>
    </xf>
    <xf numFmtId="49" fontId="3" fillId="8" borderId="0" xfId="49" applyNumberFormat="1" applyFont="1" applyFill="1" applyBorder="1" applyAlignment="1">
      <alignment horizontal="left" vertical="center"/>
    </xf>
    <xf numFmtId="176" fontId="3" fillId="3" borderId="0" xfId="49" applyNumberFormat="1" applyFont="1" applyFill="1" applyBorder="1" applyAlignment="1">
      <alignment horizontal="left" vertical="center"/>
    </xf>
    <xf numFmtId="49" fontId="3" fillId="9" borderId="0" xfId="49" applyNumberFormat="1" applyFont="1" applyFill="1" applyBorder="1" applyAlignment="1">
      <alignment horizontal="left" vertical="center"/>
    </xf>
    <xf numFmtId="49" fontId="3" fillId="10" borderId="0" xfId="49" applyNumberFormat="1" applyFont="1" applyFill="1" applyBorder="1" applyAlignment="1">
      <alignment horizontal="left" vertical="center"/>
    </xf>
    <xf numFmtId="176" fontId="3" fillId="10" borderId="0" xfId="49" applyNumberFormat="1" applyFont="1" applyFill="1" applyBorder="1" applyAlignment="1">
      <alignment horizontal="left" vertical="center"/>
    </xf>
    <xf numFmtId="49" fontId="3" fillId="11" borderId="0" xfId="49" applyNumberFormat="1" applyFont="1" applyFill="1" applyBorder="1" applyAlignment="1">
      <alignment horizontal="left" vertical="center"/>
    </xf>
    <xf numFmtId="1" fontId="3" fillId="11" borderId="0" xfId="49" applyNumberFormat="1" applyFont="1" applyFill="1" applyBorder="1" applyAlignment="1">
      <alignment horizontal="left" vertical="center"/>
    </xf>
    <xf numFmtId="176" fontId="3" fillId="11" borderId="0" xfId="49" applyNumberFormat="1" applyFont="1" applyFill="1" applyBorder="1" applyAlignment="1">
      <alignment horizontal="left" vertical="center"/>
    </xf>
    <xf numFmtId="49" fontId="3" fillId="12" borderId="0" xfId="49" applyNumberFormat="1" applyFont="1" applyFill="1" applyBorder="1" applyAlignment="1">
      <alignment horizontal="left" vertical="center"/>
    </xf>
    <xf numFmtId="1" fontId="3" fillId="12" borderId="0" xfId="49" applyNumberFormat="1" applyFont="1" applyFill="1" applyBorder="1" applyAlignment="1">
      <alignment horizontal="left" vertical="center"/>
    </xf>
    <xf numFmtId="176" fontId="3" fillId="12" borderId="0" xfId="49" applyNumberFormat="1" applyFont="1" applyFill="1" applyBorder="1" applyAlignment="1">
      <alignment horizontal="left" vertical="center"/>
    </xf>
    <xf numFmtId="14" fontId="3" fillId="12" borderId="0" xfId="49" applyNumberFormat="1" applyFont="1" applyFill="1" applyBorder="1" applyAlignment="1">
      <alignment horizontal="left" vertical="center"/>
    </xf>
    <xf numFmtId="176" fontId="3" fillId="13" borderId="0" xfId="49" applyNumberFormat="1" applyFont="1" applyFill="1" applyBorder="1" applyAlignment="1">
      <alignment horizontal="left" vertical="center"/>
    </xf>
    <xf numFmtId="49" fontId="3" fillId="13" borderId="0" xfId="49" applyNumberFormat="1" applyFont="1" applyFill="1" applyBorder="1" applyAlignment="1">
      <alignment horizontal="left" vertical="center"/>
    </xf>
    <xf numFmtId="1" fontId="3" fillId="13" borderId="0" xfId="49" applyNumberFormat="1" applyFont="1" applyFill="1" applyBorder="1" applyAlignment="1">
      <alignment horizontal="left" vertical="center"/>
    </xf>
    <xf numFmtId="49" fontId="4" fillId="4" borderId="1" xfId="49" applyNumberFormat="1" applyFont="1" applyFill="1" applyBorder="1" applyAlignment="1">
      <alignment horizontal="left" vertical="center"/>
    </xf>
    <xf numFmtId="176" fontId="4" fillId="4" borderId="1" xfId="49" applyNumberFormat="1" applyFont="1" applyFill="1" applyBorder="1" applyAlignment="1">
      <alignment horizontal="left" vertical="center"/>
    </xf>
    <xf numFmtId="1" fontId="4" fillId="4" borderId="1" xfId="49" applyNumberFormat="1" applyFont="1" applyFill="1" applyBorder="1" applyAlignment="1">
      <alignment horizontal="left" vertical="center"/>
    </xf>
    <xf numFmtId="49" fontId="4" fillId="5" borderId="1" xfId="49" applyNumberFormat="1" applyFont="1" applyFill="1" applyBorder="1" applyAlignment="1">
      <alignment horizontal="left" vertical="center"/>
    </xf>
    <xf numFmtId="49" fontId="4" fillId="6" borderId="1" xfId="49" applyNumberFormat="1" applyFont="1" applyFill="1" applyBorder="1" applyAlignment="1">
      <alignment horizontal="left" vertical="center"/>
    </xf>
    <xf numFmtId="49" fontId="4" fillId="6" borderId="1" xfId="49" applyNumberFormat="1" applyFont="1" applyFill="1" applyBorder="1" applyAlignment="1">
      <alignment horizontal="center" vertical="center"/>
    </xf>
    <xf numFmtId="1" fontId="4" fillId="6" borderId="1" xfId="49" applyNumberFormat="1" applyFont="1" applyFill="1" applyBorder="1" applyAlignment="1">
      <alignment horizontal="left" vertical="center"/>
    </xf>
    <xf numFmtId="49" fontId="4" fillId="2" borderId="1" xfId="49" applyNumberFormat="1" applyFont="1" applyFill="1" applyBorder="1" applyAlignment="1">
      <alignment horizontal="left" vertical="center"/>
    </xf>
    <xf numFmtId="49" fontId="4" fillId="7" borderId="1" xfId="49" applyNumberFormat="1" applyFont="1" applyFill="1" applyBorder="1" applyAlignment="1">
      <alignment horizontal="left" vertical="center"/>
    </xf>
    <xf numFmtId="14" fontId="4" fillId="7" borderId="1" xfId="49" applyNumberFormat="1" applyFont="1" applyFill="1" applyBorder="1" applyAlignment="1">
      <alignment horizontal="left" vertical="center"/>
    </xf>
    <xf numFmtId="49" fontId="4" fillId="8" borderId="1" xfId="49" applyNumberFormat="1" applyFont="1" applyFill="1" applyBorder="1" applyAlignment="1">
      <alignment horizontal="left" vertical="center"/>
    </xf>
    <xf numFmtId="176" fontId="4" fillId="3" borderId="1" xfId="49" applyNumberFormat="1" applyFont="1" applyFill="1" applyBorder="1" applyAlignment="1">
      <alignment horizontal="left" vertical="center"/>
    </xf>
    <xf numFmtId="49" fontId="4" fillId="9" borderId="1" xfId="49" applyNumberFormat="1" applyFont="1" applyFill="1" applyBorder="1" applyAlignment="1">
      <alignment horizontal="left" vertical="center"/>
    </xf>
    <xf numFmtId="49" fontId="4" fillId="10" borderId="1" xfId="49" applyNumberFormat="1" applyFont="1" applyFill="1" applyBorder="1" applyAlignment="1">
      <alignment horizontal="left" vertical="center"/>
    </xf>
    <xf numFmtId="176" fontId="4" fillId="10" borderId="1" xfId="49" applyNumberFormat="1" applyFont="1" applyFill="1" applyBorder="1" applyAlignment="1">
      <alignment horizontal="left" vertical="center"/>
    </xf>
    <xf numFmtId="49" fontId="4" fillId="11" borderId="1" xfId="49" applyNumberFormat="1" applyFont="1" applyFill="1" applyBorder="1" applyAlignment="1">
      <alignment horizontal="left" vertical="center"/>
    </xf>
    <xf numFmtId="1" fontId="4" fillId="11" borderId="1" xfId="49" applyNumberFormat="1" applyFont="1" applyFill="1" applyBorder="1" applyAlignment="1">
      <alignment horizontal="left" vertical="center"/>
    </xf>
    <xf numFmtId="176" fontId="4" fillId="11" borderId="1" xfId="49" applyNumberFormat="1" applyFont="1" applyFill="1" applyBorder="1" applyAlignment="1">
      <alignment horizontal="left" vertical="center"/>
    </xf>
    <xf numFmtId="49" fontId="4" fillId="12" borderId="1" xfId="49" applyNumberFormat="1" applyFont="1" applyFill="1" applyBorder="1" applyAlignment="1">
      <alignment horizontal="left" vertical="center"/>
    </xf>
    <xf numFmtId="1" fontId="4" fillId="12" borderId="1" xfId="49" applyNumberFormat="1" applyFont="1" applyFill="1" applyBorder="1" applyAlignment="1">
      <alignment horizontal="left" vertical="center"/>
    </xf>
    <xf numFmtId="176" fontId="4" fillId="12" borderId="1" xfId="49" applyNumberFormat="1" applyFont="1" applyFill="1" applyBorder="1" applyAlignment="1">
      <alignment horizontal="left" vertical="center"/>
    </xf>
    <xf numFmtId="14" fontId="4" fillId="12" borderId="1" xfId="49" applyNumberFormat="1" applyFont="1" applyFill="1" applyBorder="1" applyAlignment="1">
      <alignment horizontal="left" vertical="center"/>
    </xf>
    <xf numFmtId="176" fontId="4" fillId="13" borderId="1" xfId="49" applyNumberFormat="1" applyFont="1" applyFill="1" applyBorder="1" applyAlignment="1">
      <alignment horizontal="left" vertical="center"/>
    </xf>
    <xf numFmtId="49" fontId="4" fillId="13" borderId="1" xfId="49" applyNumberFormat="1" applyFont="1" applyFill="1" applyBorder="1" applyAlignment="1">
      <alignment horizontal="left" vertical="center"/>
    </xf>
    <xf numFmtId="1" fontId="4" fillId="13" borderId="1" xfId="49" applyNumberFormat="1" applyFont="1" applyFill="1" applyBorder="1" applyAlignment="1">
      <alignment horizontal="left" vertical="center"/>
    </xf>
    <xf numFmtId="0" fontId="5" fillId="0" borderId="0" xfId="0" applyFont="1" applyFill="1" applyAlignment="1">
      <alignment vertical="center"/>
    </xf>
    <xf numFmtId="0" fontId="1" fillId="0" borderId="0" xfId="49" applyNumberFormat="1" applyFont="1" applyProtection="1">
      <protection locked="0"/>
    </xf>
    <xf numFmtId="49" fontId="1" fillId="0" borderId="0" xfId="49" applyNumberFormat="1" applyFont="1" applyFill="1" applyAlignment="1" applyProtection="1">
      <protection locked="0"/>
    </xf>
    <xf numFmtId="176" fontId="1" fillId="0" borderId="0" xfId="49" applyNumberFormat="1" applyFont="1" applyAlignment="1" applyProtection="1">
      <alignment horizontal="left" vertical="top"/>
      <protection locked="0"/>
    </xf>
  </cellXfs>
  <cellStyles count="65">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 name="Normal" xfId="49"/>
    <cellStyle name="Percent" xfId="50"/>
    <cellStyle name="Currency" xfId="51"/>
    <cellStyle name="Currency [0]" xfId="52"/>
    <cellStyle name="Comma" xfId="53"/>
    <cellStyle name="Comma [0]" xfId="54"/>
    <cellStyle name="Normal 2" xfId="55"/>
    <cellStyle name="Normal 2 3" xfId="56"/>
    <cellStyle name="Normal 10 2" xfId="57"/>
    <cellStyle name="Normal 2 2" xfId="58"/>
    <cellStyle name="Normal 7" xfId="59"/>
    <cellStyle name="Normal 6" xfId="60"/>
    <cellStyle name="Normal 3" xfId="61"/>
    <cellStyle name="Normal 5 2" xfId="62"/>
    <cellStyle name="Normal 4" xfId="63"/>
    <cellStyle name="Normal 3 2" xfId="64"/>
  </cellStyles>
  <dxfs count="5">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008000"/>
        </left>
        <right style="thin">
          <color rgb="FF008000"/>
        </right>
        <top style="thin">
          <color rgb="FF008000"/>
        </top>
        <bottom style="thin">
          <color rgb="FF008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styles" Target="styles.xml"/><Relationship Id="rId8" Type="http://schemas.openxmlformats.org/officeDocument/2006/relationships/sharedStrings" Target="sharedStrings.xml"/><Relationship Id="rId7" Type="http://schemas.openxmlformats.org/officeDocument/2006/relationships/theme" Target="theme/theme1.xml"/><Relationship Id="rId6" Type="http://schemas.openxmlformats.org/officeDocument/2006/relationships/externalLink" Target="externalLinks/externalLink2.xml"/><Relationship Id="rId5" Type="http://schemas.openxmlformats.org/officeDocument/2006/relationships/externalLink" Target="externalLinks/externalLink1.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EE02223-P.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melodylu/Downloads//Users/Everpretty/Desktop/Listing&#25152;&#38656;&#34920;&#26684;/&#39068;&#33394;/ES%20Color&#21644;Size&#30340;&#35268;&#33539;&#34920;.xlsx"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Instructions"/>
      <sheetName val="Guide d'ajout d'images"/>
      <sheetName val="Exemple"/>
      <sheetName val="Définitions des données"/>
      <sheetName val="Dropdown Lists"/>
      <sheetName val="AttributePTDMAP"/>
      <sheetName val="Modèle"/>
      <sheetName val="Parcourir les données"/>
      <sheetName val="Conditions List"/>
      <sheetName val="Valeurs valides"/>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Sheet1"/>
      <sheetName val="Sheet2"/>
      <sheetName val="Sheet3"/>
    </sheetNames>
    <sheetDataSet>
      <sheetData sheetId="0">
        <row r="1">
          <cell r="A1" t="str">
            <v>颜色</v>
          </cell>
          <cell r="B1" t="str">
            <v>Size map</v>
          </cell>
          <cell r="C1" t="str">
            <v>Size name</v>
          </cell>
        </row>
        <row r="1">
          <cell r="F1" t="str">
            <v>尺码数字</v>
          </cell>
          <cell r="G1" t="str">
            <v>ES Size name</v>
          </cell>
        </row>
        <row r="2">
          <cell r="A2" t="str">
            <v>BK</v>
          </cell>
          <cell r="B2" t="str">
            <v>Negro</v>
          </cell>
          <cell r="C2" t="str">
            <v>Negro</v>
          </cell>
        </row>
        <row r="2">
          <cell r="F2" t="str">
            <v>00</v>
          </cell>
          <cell r="G2">
            <v>32</v>
          </cell>
        </row>
        <row r="3">
          <cell r="A3" t="str">
            <v>BD</v>
          </cell>
          <cell r="B3" t="str">
            <v>Rojo</v>
          </cell>
          <cell r="C3" t="str">
            <v>Burdeos</v>
          </cell>
        </row>
        <row r="3">
          <cell r="F3" t="str">
            <v>02</v>
          </cell>
          <cell r="G3">
            <v>34</v>
          </cell>
        </row>
        <row r="4">
          <cell r="A4" t="str">
            <v>PK</v>
          </cell>
          <cell r="B4" t="str">
            <v>Rosa</v>
          </cell>
          <cell r="C4" t="str">
            <v>Rosado</v>
          </cell>
        </row>
        <row r="4">
          <cell r="F4" t="str">
            <v>04</v>
          </cell>
          <cell r="G4">
            <v>36</v>
          </cell>
        </row>
        <row r="5">
          <cell r="A5" t="str">
            <v>DG</v>
          </cell>
          <cell r="B5" t="str">
            <v>Verde</v>
          </cell>
          <cell r="C5" t="str">
            <v>Verde Oscuro</v>
          </cell>
        </row>
        <row r="5">
          <cell r="F5" t="str">
            <v>06</v>
          </cell>
          <cell r="G5">
            <v>38</v>
          </cell>
        </row>
        <row r="6">
          <cell r="A6" t="str">
            <v>DP</v>
          </cell>
          <cell r="B6" t="str">
            <v>Morado</v>
          </cell>
          <cell r="C6" t="str">
            <v>Morado Oscuro</v>
          </cell>
        </row>
        <row r="6">
          <cell r="F6" t="str">
            <v>08</v>
          </cell>
          <cell r="G6">
            <v>40</v>
          </cell>
        </row>
        <row r="7">
          <cell r="A7" t="str">
            <v>NB</v>
          </cell>
          <cell r="B7" t="str">
            <v>Azul</v>
          </cell>
          <cell r="C7" t="str">
            <v>Azul Marino</v>
          </cell>
        </row>
        <row r="7">
          <cell r="F7" t="str">
            <v>10</v>
          </cell>
          <cell r="G7">
            <v>42</v>
          </cell>
        </row>
        <row r="8">
          <cell r="A8" t="str">
            <v>DN</v>
          </cell>
          <cell r="B8" t="str">
            <v>Azul</v>
          </cell>
          <cell r="C8" t="str">
            <v>Azul Polvoriento</v>
          </cell>
        </row>
        <row r="8">
          <cell r="F8" t="str">
            <v>12</v>
          </cell>
          <cell r="G8">
            <v>44</v>
          </cell>
        </row>
        <row r="9">
          <cell r="A9" t="str">
            <v>GY</v>
          </cell>
          <cell r="B9" t="str">
            <v>Gris</v>
          </cell>
          <cell r="C9" t="str">
            <v>Gris</v>
          </cell>
        </row>
        <row r="9">
          <cell r="F9" t="str">
            <v>14</v>
          </cell>
          <cell r="G9">
            <v>46</v>
          </cell>
        </row>
        <row r="10">
          <cell r="A10" t="str">
            <v>CO</v>
          </cell>
          <cell r="B10" t="str">
            <v>Naranja</v>
          </cell>
          <cell r="C10" t="str">
            <v>Coral</v>
          </cell>
        </row>
        <row r="10">
          <cell r="F10" t="str">
            <v>16</v>
          </cell>
          <cell r="G10">
            <v>48</v>
          </cell>
        </row>
        <row r="11">
          <cell r="A11" t="str">
            <v>TE</v>
          </cell>
          <cell r="B11" t="str">
            <v>Verde</v>
          </cell>
          <cell r="C11" t="str">
            <v>Verde Azulado</v>
          </cell>
        </row>
        <row r="11">
          <cell r="F11" t="str">
            <v>18</v>
          </cell>
          <cell r="G11">
            <v>50</v>
          </cell>
        </row>
        <row r="12">
          <cell r="A12" t="str">
            <v>WH</v>
          </cell>
          <cell r="B12" t="str">
            <v>Blanco</v>
          </cell>
          <cell r="C12" t="str">
            <v>Blanco</v>
          </cell>
        </row>
        <row r="12">
          <cell r="F12" t="str">
            <v>20</v>
          </cell>
          <cell r="G12">
            <v>52</v>
          </cell>
        </row>
        <row r="13">
          <cell r="A13" t="str">
            <v>SB</v>
          </cell>
          <cell r="B13" t="str">
            <v>Azul</v>
          </cell>
          <cell r="C13" t="str">
            <v>Azul Zafiro</v>
          </cell>
        </row>
        <row r="13">
          <cell r="F13" t="str">
            <v>22</v>
          </cell>
          <cell r="G13">
            <v>54</v>
          </cell>
        </row>
        <row r="14">
          <cell r="A14" t="str">
            <v>OD</v>
          </cell>
          <cell r="B14" t="str">
            <v>Rosa</v>
          </cell>
          <cell r="C14" t="str">
            <v>Orquídea</v>
          </cell>
        </row>
        <row r="14">
          <cell r="F14" t="str">
            <v>24</v>
          </cell>
          <cell r="G14">
            <v>56</v>
          </cell>
        </row>
        <row r="15">
          <cell r="A15" t="str">
            <v>DB</v>
          </cell>
          <cell r="B15" t="str">
            <v>Azul</v>
          </cell>
          <cell r="C15" t="str">
            <v>Verde Azulado Claro</v>
          </cell>
        </row>
        <row r="15">
          <cell r="F15" t="str">
            <v>26</v>
          </cell>
          <cell r="G15">
            <v>58</v>
          </cell>
        </row>
        <row r="16">
          <cell r="A16" t="str">
            <v>GB</v>
          </cell>
          <cell r="B16" t="str">
            <v>Verde</v>
          </cell>
          <cell r="C16" t="str">
            <v>Verde Salvia</v>
          </cell>
        </row>
        <row r="16">
          <cell r="F16" t="str">
            <v>28</v>
          </cell>
          <cell r="G16">
            <v>60</v>
          </cell>
        </row>
        <row r="17">
          <cell r="A17" t="str">
            <v>MV</v>
          </cell>
          <cell r="B17" t="str">
            <v>Rosa</v>
          </cell>
          <cell r="C17" t="str">
            <v>Malva</v>
          </cell>
        </row>
        <row r="17">
          <cell r="F17" t="str">
            <v>30</v>
          </cell>
          <cell r="G17">
            <v>62</v>
          </cell>
        </row>
        <row r="18">
          <cell r="A18" t="str">
            <v>BH</v>
          </cell>
          <cell r="B18" t="str">
            <v>Rosa</v>
          </cell>
          <cell r="C18" t="str">
            <v>Sonrojo</v>
          </cell>
        </row>
        <row r="19">
          <cell r="A19" t="str">
            <v>HP</v>
          </cell>
          <cell r="B19" t="str">
            <v>Rosa</v>
          </cell>
          <cell r="C19" t="str">
            <v>Rosa Caliente</v>
          </cell>
        </row>
        <row r="20">
          <cell r="A20" t="str">
            <v>RD</v>
          </cell>
          <cell r="B20" t="str">
            <v>Rojo</v>
          </cell>
          <cell r="C20" t="str">
            <v>Rojo</v>
          </cell>
        </row>
        <row r="20">
          <cell r="F20" t="str">
            <v>尺码字母</v>
          </cell>
          <cell r="G20" t="str">
            <v>ES Size name</v>
          </cell>
        </row>
        <row r="21">
          <cell r="A21" t="str">
            <v>BL</v>
          </cell>
          <cell r="B21" t="str">
            <v>Azul</v>
          </cell>
          <cell r="C21" t="str">
            <v>Cielo Azul</v>
          </cell>
        </row>
        <row r="21">
          <cell r="F21" t="str">
            <v>0S</v>
          </cell>
          <cell r="G21" t="str">
            <v>S</v>
          </cell>
        </row>
        <row r="22">
          <cell r="A22" t="str">
            <v>AQ</v>
          </cell>
          <cell r="B22" t="str">
            <v>Verde</v>
          </cell>
          <cell r="C22" t="str">
            <v>Agua</v>
          </cell>
        </row>
        <row r="22">
          <cell r="F22" t="str">
            <v>0M</v>
          </cell>
          <cell r="G22" t="str">
            <v>M</v>
          </cell>
        </row>
        <row r="23">
          <cell r="A23" t="str">
            <v>MG</v>
          </cell>
          <cell r="B23" t="str">
            <v>Verde</v>
          </cell>
          <cell r="C23" t="str">
            <v>Menta Verde</v>
          </cell>
        </row>
        <row r="23">
          <cell r="F23" t="str">
            <v>0L</v>
          </cell>
          <cell r="G23" t="str">
            <v>L</v>
          </cell>
        </row>
        <row r="24">
          <cell r="A24" t="str">
            <v>TQ</v>
          </cell>
          <cell r="B24" t="str">
            <v>Verde</v>
          </cell>
          <cell r="C24" t="str">
            <v>Turquesa</v>
          </cell>
        </row>
        <row r="24">
          <cell r="F24" t="str">
            <v>1S</v>
          </cell>
          <cell r="G24" t="str">
            <v>XS</v>
          </cell>
        </row>
        <row r="25">
          <cell r="A25" t="str">
            <v>GR</v>
          </cell>
          <cell r="B25" t="str">
            <v>Verde</v>
          </cell>
          <cell r="C25" t="str">
            <v>Verde</v>
          </cell>
        </row>
        <row r="25">
          <cell r="F25" t="str">
            <v>1L</v>
          </cell>
          <cell r="G25" t="str">
            <v>XL</v>
          </cell>
        </row>
        <row r="26">
          <cell r="A26" t="str">
            <v>LV</v>
          </cell>
          <cell r="B26" t="str">
            <v>Morado</v>
          </cell>
          <cell r="C26" t="str">
            <v>Lavanda</v>
          </cell>
        </row>
        <row r="26">
          <cell r="F26" t="str">
            <v>2L</v>
          </cell>
          <cell r="G26" t="str">
            <v>XXL</v>
          </cell>
        </row>
        <row r="27">
          <cell r="A27" t="str">
            <v>PW</v>
          </cell>
          <cell r="B27" t="str">
            <v>Morado</v>
          </cell>
          <cell r="C27" t="str">
            <v>Bígaro</v>
          </cell>
        </row>
        <row r="27">
          <cell r="F27" t="str">
            <v>3L</v>
          </cell>
          <cell r="G27" t="str">
            <v>3XL</v>
          </cell>
        </row>
        <row r="28">
          <cell r="A28" t="str">
            <v>YL</v>
          </cell>
          <cell r="B28" t="str">
            <v>Amarillo</v>
          </cell>
          <cell r="C28" t="str">
            <v>Amarillo</v>
          </cell>
        </row>
        <row r="28">
          <cell r="F28" t="str">
            <v>4L</v>
          </cell>
          <cell r="G28" t="str">
            <v>4XL</v>
          </cell>
        </row>
        <row r="29">
          <cell r="A29" t="str">
            <v>MR</v>
          </cell>
          <cell r="B29" t="str">
            <v>Marrón</v>
          </cell>
          <cell r="C29" t="str">
            <v>Caqui</v>
          </cell>
        </row>
        <row r="30">
          <cell r="A30" t="str">
            <v>DR</v>
          </cell>
          <cell r="B30" t="str">
            <v>Rosa</v>
          </cell>
          <cell r="C30" t="str">
            <v>Rosa Polvorienta</v>
          </cell>
        </row>
        <row r="31">
          <cell r="A31" t="str">
            <v>SV</v>
          </cell>
          <cell r="B31" t="str">
            <v>Gris</v>
          </cell>
          <cell r="C31" t="str">
            <v>Plata</v>
          </cell>
        </row>
        <row r="32">
          <cell r="A32" t="str">
            <v>GD</v>
          </cell>
          <cell r="B32" t="str">
            <v>Dorado</v>
          </cell>
          <cell r="C32" t="str">
            <v>Oro</v>
          </cell>
        </row>
        <row r="33">
          <cell r="A33" t="str">
            <v>PE</v>
          </cell>
          <cell r="B33" t="str">
            <v>Naranja</v>
          </cell>
          <cell r="C33" t="str">
            <v>Melocotón</v>
          </cell>
        </row>
        <row r="34">
          <cell r="A34" t="str">
            <v>DE</v>
          </cell>
          <cell r="B34" t="str">
            <v>Azul</v>
          </cell>
          <cell r="C34" t="str">
            <v>Azul niebla</v>
          </cell>
        </row>
        <row r="35">
          <cell r="A35" t="str">
            <v>BO</v>
          </cell>
          <cell r="B35" t="str">
            <v>Naranja</v>
          </cell>
          <cell r="C35" t="str">
            <v>Naranja</v>
          </cell>
        </row>
        <row r="36">
          <cell r="A36" t="str">
            <v>LL</v>
          </cell>
          <cell r="B36" t="str">
            <v>Gris</v>
          </cell>
          <cell r="C36" t="str">
            <v>Lila</v>
          </cell>
        </row>
        <row r="37">
          <cell r="A37" t="str">
            <v>KG</v>
          </cell>
          <cell r="B37" t="str">
            <v>Negro</v>
          </cell>
          <cell r="C37" t="str">
            <v>Oro Negro</v>
          </cell>
        </row>
        <row r="38">
          <cell r="A38" t="str">
            <v>RG</v>
          </cell>
          <cell r="B38" t="str">
            <v>Gold</v>
          </cell>
          <cell r="C38" t="str">
            <v>Oro rosado</v>
          </cell>
        </row>
        <row r="39">
          <cell r="A39" t="str">
            <v>MS</v>
          </cell>
          <cell r="B39" t="str">
            <v>Azul</v>
          </cell>
          <cell r="C39" t="str">
            <v>Niebla</v>
          </cell>
        </row>
        <row r="40">
          <cell r="A40" t="str">
            <v>IB</v>
          </cell>
          <cell r="B40" t="str">
            <v>Azul</v>
          </cell>
          <cell r="C40" t="str">
            <v>Azul hielo</v>
          </cell>
        </row>
        <row r="41">
          <cell r="A41" t="str">
            <v>IV</v>
          </cell>
          <cell r="B41" t="str">
            <v>Blanco</v>
          </cell>
          <cell r="C41" t="str">
            <v>Blanco</v>
          </cell>
        </row>
        <row r="42">
          <cell r="A42" t="str">
            <v>BL</v>
          </cell>
          <cell r="B42" t="str">
            <v>Azul</v>
          </cell>
          <cell r="C42" t="str">
            <v>Cielo Azul</v>
          </cell>
        </row>
        <row r="43">
          <cell r="A43" t="str">
            <v>CB</v>
          </cell>
          <cell r="B43" t="str">
            <v>Rosa</v>
          </cell>
          <cell r="C43" t="str">
            <v>Vino Marrón</v>
          </cell>
        </row>
        <row r="44">
          <cell r="A44" t="str">
            <v>CH</v>
          </cell>
          <cell r="B44" t="str">
            <v>Blanco</v>
          </cell>
          <cell r="C44" t="str">
            <v>Champán</v>
          </cell>
        </row>
        <row r="45">
          <cell r="A45" t="str">
            <v>CP</v>
          </cell>
          <cell r="B45" t="str">
            <v>Blanco</v>
          </cell>
          <cell r="C45" t="str">
            <v>Floral Blanco</v>
          </cell>
        </row>
        <row r="46">
          <cell r="A46" t="str">
            <v>BP</v>
          </cell>
          <cell r="B46" t="str">
            <v>Negro</v>
          </cell>
          <cell r="C46" t="str">
            <v>Negro Y Flores</v>
          </cell>
        </row>
        <row r="47">
          <cell r="A47" t="str">
            <v>RB</v>
          </cell>
          <cell r="B47" t="str">
            <v>Azul</v>
          </cell>
          <cell r="C47" t="str">
            <v>Azul real</v>
          </cell>
        </row>
        <row r="48">
          <cell r="A48" t="str">
            <v>CR</v>
          </cell>
          <cell r="B48" t="str">
            <v>Blanco</v>
          </cell>
          <cell r="C48" t="str">
            <v>Blanco</v>
          </cell>
        </row>
        <row r="49">
          <cell r="A49" t="str">
            <v>KD</v>
          </cell>
          <cell r="B49" t="str">
            <v>Rojo</v>
          </cell>
          <cell r="C49" t="str">
            <v>Rojo Ladrillo</v>
          </cell>
        </row>
        <row r="50">
          <cell r="A50" t="str">
            <v>BG</v>
          </cell>
          <cell r="B50" t="str">
            <v>Amarillo</v>
          </cell>
          <cell r="C50" t="str">
            <v>Albaricoque</v>
          </cell>
        </row>
        <row r="51">
          <cell r="A51" t="str">
            <v>CF</v>
          </cell>
          <cell r="B51" t="str">
            <v>Marrón</v>
          </cell>
          <cell r="C51" t="str">
            <v>Café</v>
          </cell>
        </row>
        <row r="52">
          <cell r="A52" t="str">
            <v>AG</v>
          </cell>
          <cell r="B52" t="str">
            <v>Verde</v>
          </cell>
          <cell r="C52" t="str">
            <v>Aguacate Verde</v>
          </cell>
        </row>
        <row r="53">
          <cell r="A53" t="str">
            <v>BR</v>
          </cell>
          <cell r="B53" t="str">
            <v>Marrón</v>
          </cell>
          <cell r="C53" t="str">
            <v>Marrón</v>
          </cell>
        </row>
        <row r="54">
          <cell r="A54" t="str">
            <v>MU</v>
          </cell>
          <cell r="B54" t="str">
            <v>Morado</v>
          </cell>
          <cell r="C54" t="str">
            <v>Púrpura de mora</v>
          </cell>
        </row>
        <row r="55">
          <cell r="A55" t="str">
            <v>ST</v>
          </cell>
          <cell r="B55" t="str">
            <v>Azul</v>
          </cell>
          <cell r="C55" t="str">
            <v>Azul de Tormenta</v>
          </cell>
        </row>
        <row r="56">
          <cell r="A56" t="str">
            <v>RP</v>
          </cell>
          <cell r="B56" t="str">
            <v>Rojo</v>
          </cell>
          <cell r="C56" t="str">
            <v>Estampado Rojo</v>
          </cell>
        </row>
        <row r="57">
          <cell r="A57" t="str">
            <v>WP</v>
          </cell>
          <cell r="B57" t="str">
            <v>Blanco</v>
          </cell>
          <cell r="C57" t="str">
            <v>Estampado Blanco</v>
          </cell>
        </row>
        <row r="58">
          <cell r="A58" t="str">
            <v>VE</v>
          </cell>
          <cell r="B58" t="str">
            <v>Rojo</v>
          </cell>
          <cell r="C58" t="str">
            <v>Bermellón</v>
          </cell>
        </row>
        <row r="59">
          <cell r="A59" t="str">
            <v>TR</v>
          </cell>
          <cell r="B59" t="str">
            <v>Verde</v>
          </cell>
          <cell r="C59" t="str">
            <v>Verde Claro</v>
          </cell>
        </row>
        <row r="60">
          <cell r="A60" t="str">
            <v>LR</v>
          </cell>
          <cell r="B60" t="str">
            <v>Gold</v>
          </cell>
          <cell r="C60" t="str">
            <v>Rosa Dorada</v>
          </cell>
        </row>
        <row r="61">
          <cell r="A61" t="str">
            <v>PR</v>
          </cell>
          <cell r="B61" t="str">
            <v>Morado</v>
          </cell>
          <cell r="C61" t="str">
            <v>Rosa Violeta Claro</v>
          </cell>
        </row>
        <row r="62">
          <cell r="A62" t="str">
            <v>SG</v>
          </cell>
          <cell r="B62" t="str">
            <v>Verde</v>
          </cell>
          <cell r="C62" t="str">
            <v>Verde Salvia</v>
          </cell>
        </row>
        <row r="63">
          <cell r="A63" t="str">
            <v>SL</v>
          </cell>
          <cell r="B63" t="str">
            <v>Azul</v>
          </cell>
          <cell r="C63" t="str">
            <v>Azul Pizarra</v>
          </cell>
        </row>
        <row r="64">
          <cell r="A64" t="str">
            <v>JB</v>
          </cell>
          <cell r="B64" t="str">
            <v>Azul</v>
          </cell>
          <cell r="C64" t="str">
            <v>Azul Esmeralda</v>
          </cell>
        </row>
        <row r="65">
          <cell r="A65" t="str">
            <v>GB</v>
          </cell>
          <cell r="B65" t="str">
            <v>Verde</v>
          </cell>
          <cell r="C65" t="str">
            <v>Verde Salvia</v>
          </cell>
        </row>
        <row r="66">
          <cell r="A66" t="str">
            <v>FU</v>
          </cell>
          <cell r="B66" t="str">
            <v>Morado</v>
          </cell>
          <cell r="C66" t="str">
            <v>Púrpura Rojizo</v>
          </cell>
        </row>
        <row r="67">
          <cell r="A67" t="str">
            <v>UG</v>
          </cell>
          <cell r="B67" t="str">
            <v>Verde</v>
          </cell>
          <cell r="C67" t="str">
            <v>Verano Verde</v>
          </cell>
        </row>
        <row r="68">
          <cell r="A68" t="str">
            <v>CM</v>
          </cell>
          <cell r="B68" t="str">
            <v>Marrón</v>
          </cell>
          <cell r="C68" t="str">
            <v>Caramelo</v>
          </cell>
        </row>
        <row r="69">
          <cell r="A69" t="str">
            <v>BN</v>
          </cell>
          <cell r="B69" t="str">
            <v>Marrón</v>
          </cell>
          <cell r="C69" t="str">
            <v>Marrón</v>
          </cell>
        </row>
        <row r="70">
          <cell r="A70" t="str">
            <v>OG</v>
          </cell>
          <cell r="B70" t="str">
            <v>Verde</v>
          </cell>
          <cell r="C70" t="str">
            <v>Verde Oliva</v>
          </cell>
        </row>
      </sheetData>
      <sheetData sheetId="1"/>
      <sheetData sheetId="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dimension ref="A1:BW546"/>
  <sheetViews>
    <sheetView workbookViewId="0">
      <selection activeCell="A1" sqref="A1"/>
    </sheetView>
  </sheetViews>
  <sheetFormatPr defaultColWidth="9" defaultRowHeight="16.8"/>
  <sheetData>
    <row r="1" spans="1:75">
      <c r="A1" s="1" t="s">
        <v>0</v>
      </c>
      <c r="B1" s="1" t="s">
        <v>0</v>
      </c>
      <c r="C1" s="1" t="s">
        <v>0</v>
      </c>
      <c r="D1" s="1" t="s">
        <v>0</v>
      </c>
      <c r="E1" s="1" t="s">
        <v>0</v>
      </c>
      <c r="F1" s="1" t="s">
        <v>0</v>
      </c>
      <c r="G1" s="1" t="s">
        <v>0</v>
      </c>
      <c r="H1" s="1" t="s">
        <v>0</v>
      </c>
      <c r="I1" s="1" t="s">
        <v>0</v>
      </c>
      <c r="J1" s="1" t="s">
        <v>0</v>
      </c>
      <c r="K1" s="1" t="s">
        <v>0</v>
      </c>
      <c r="L1" s="1" t="s">
        <v>0</v>
      </c>
      <c r="M1" s="1" t="s">
        <v>0</v>
      </c>
      <c r="N1" s="1" t="s">
        <v>0</v>
      </c>
      <c r="O1" s="1" t="s">
        <v>0</v>
      </c>
      <c r="P1" s="1" t="s">
        <v>0</v>
      </c>
      <c r="Q1" s="1" t="s">
        <v>0</v>
      </c>
      <c r="R1" s="1" t="s">
        <v>0</v>
      </c>
      <c r="S1" s="1" t="s">
        <v>0</v>
      </c>
      <c r="T1" s="1" t="s">
        <v>0</v>
      </c>
      <c r="U1" s="1" t="s">
        <v>0</v>
      </c>
      <c r="V1" s="1" t="s">
        <v>0</v>
      </c>
      <c r="W1" s="1" t="s">
        <v>0</v>
      </c>
      <c r="X1" s="1" t="s">
        <v>0</v>
      </c>
      <c r="Y1" s="1" t="s">
        <v>0</v>
      </c>
      <c r="Z1" s="1" t="s">
        <v>0</v>
      </c>
      <c r="AA1" s="1" t="s">
        <v>0</v>
      </c>
      <c r="AB1" s="1" t="s">
        <v>0</v>
      </c>
      <c r="AC1" s="1" t="s">
        <v>0</v>
      </c>
      <c r="AD1" s="1" t="s">
        <v>0</v>
      </c>
      <c r="AE1" s="1" t="s">
        <v>0</v>
      </c>
      <c r="AF1" s="1" t="s">
        <v>0</v>
      </c>
      <c r="AG1" s="1" t="s">
        <v>0</v>
      </c>
      <c r="AH1" s="1" t="s">
        <v>0</v>
      </c>
      <c r="AI1" s="1" t="s">
        <v>0</v>
      </c>
      <c r="AJ1" s="1" t="s">
        <v>0</v>
      </c>
      <c r="AK1" s="1" t="s">
        <v>0</v>
      </c>
      <c r="AL1" s="1" t="s">
        <v>0</v>
      </c>
      <c r="AM1" s="1" t="s">
        <v>0</v>
      </c>
      <c r="AN1" s="1" t="s">
        <v>0</v>
      </c>
      <c r="AO1" s="1" t="s">
        <v>0</v>
      </c>
      <c r="AP1" s="1" t="s">
        <v>0</v>
      </c>
      <c r="AQ1" s="1" t="s">
        <v>0</v>
      </c>
      <c r="AR1" s="1" t="s">
        <v>0</v>
      </c>
      <c r="AS1" s="1" t="s">
        <v>0</v>
      </c>
      <c r="AT1" s="1" t="s">
        <v>0</v>
      </c>
      <c r="AU1" s="1" t="s">
        <v>0</v>
      </c>
      <c r="AV1" s="1" t="s">
        <v>0</v>
      </c>
      <c r="AW1" s="1" t="s">
        <v>0</v>
      </c>
      <c r="AX1" s="1" t="s">
        <v>0</v>
      </c>
      <c r="AY1" s="1" t="s">
        <v>0</v>
      </c>
      <c r="AZ1" s="1" t="s">
        <v>0</v>
      </c>
      <c r="BA1" s="1" t="s">
        <v>0</v>
      </c>
      <c r="BB1" s="1" t="s">
        <v>0</v>
      </c>
      <c r="BC1" s="1" t="s">
        <v>0</v>
      </c>
      <c r="BD1" s="1" t="s">
        <v>0</v>
      </c>
      <c r="BE1" s="1" t="s">
        <v>0</v>
      </c>
      <c r="BF1" s="1" t="s">
        <v>0</v>
      </c>
      <c r="BG1" s="1" t="s">
        <v>0</v>
      </c>
      <c r="BH1" s="1" t="s">
        <v>0</v>
      </c>
      <c r="BI1" s="1" t="s">
        <v>0</v>
      </c>
      <c r="BJ1" s="1" t="s">
        <v>0</v>
      </c>
      <c r="BK1" s="1" t="s">
        <v>0</v>
      </c>
      <c r="BL1" s="1" t="s">
        <v>0</v>
      </c>
      <c r="BM1" s="1" t="s">
        <v>0</v>
      </c>
      <c r="BN1" s="1" t="s">
        <v>0</v>
      </c>
      <c r="BO1" s="1" t="s">
        <v>0</v>
      </c>
      <c r="BP1" s="1" t="s">
        <v>0</v>
      </c>
      <c r="BQ1" s="1" t="s">
        <v>0</v>
      </c>
      <c r="BR1" s="1" t="s">
        <v>0</v>
      </c>
      <c r="BS1" s="1" t="s">
        <v>0</v>
      </c>
      <c r="BT1" s="1" t="s">
        <v>0</v>
      </c>
      <c r="BU1" s="1" t="s">
        <v>0</v>
      </c>
      <c r="BV1" s="1" t="s">
        <v>0</v>
      </c>
      <c r="BW1" s="1" t="s">
        <v>0</v>
      </c>
    </row>
    <row r="2" spans="1:75">
      <c r="A2" s="1"/>
      <c r="B2" s="1" t="s">
        <v>1</v>
      </c>
      <c r="C2" s="1" t="s">
        <v>1</v>
      </c>
      <c r="D2" s="1" t="s">
        <v>1</v>
      </c>
      <c r="E2" s="1" t="s">
        <v>1</v>
      </c>
      <c r="F2" s="1" t="s">
        <v>1</v>
      </c>
      <c r="G2" s="1" t="s">
        <v>1</v>
      </c>
      <c r="H2" s="1" t="s">
        <v>1</v>
      </c>
      <c r="I2" s="1" t="s">
        <v>1</v>
      </c>
      <c r="J2" s="1" t="s">
        <v>1</v>
      </c>
      <c r="K2" s="1" t="s">
        <v>1</v>
      </c>
      <c r="L2" s="1" t="s">
        <v>1</v>
      </c>
      <c r="M2" s="1" t="s">
        <v>1</v>
      </c>
      <c r="N2" s="1" t="s">
        <v>1</v>
      </c>
      <c r="O2" s="1" t="s">
        <v>1</v>
      </c>
      <c r="P2" s="1" t="s">
        <v>1</v>
      </c>
      <c r="Q2" s="1" t="s">
        <v>1</v>
      </c>
      <c r="R2" s="1" t="s">
        <v>1</v>
      </c>
      <c r="S2" s="1" t="s">
        <v>1</v>
      </c>
      <c r="T2" s="1" t="s">
        <v>1</v>
      </c>
      <c r="U2" s="1" t="s">
        <v>1</v>
      </c>
      <c r="V2" s="1" t="s">
        <v>1</v>
      </c>
      <c r="W2" s="1" t="s">
        <v>1</v>
      </c>
      <c r="X2" s="1" t="s">
        <v>1</v>
      </c>
      <c r="Y2" s="1" t="s">
        <v>1</v>
      </c>
      <c r="Z2" s="1" t="s">
        <v>1</v>
      </c>
      <c r="AA2" s="1" t="s">
        <v>1</v>
      </c>
      <c r="AB2" s="1" t="s">
        <v>1</v>
      </c>
      <c r="AC2" s="1" t="s">
        <v>1</v>
      </c>
      <c r="AD2" s="1" t="s">
        <v>1</v>
      </c>
      <c r="AE2" s="1" t="s">
        <v>1</v>
      </c>
      <c r="AF2" s="1" t="s">
        <v>1</v>
      </c>
      <c r="AG2" s="1" t="s">
        <v>1</v>
      </c>
      <c r="AH2" s="1" t="s">
        <v>1</v>
      </c>
      <c r="AI2" s="1" t="s">
        <v>1</v>
      </c>
      <c r="AJ2" s="1" t="s">
        <v>1</v>
      </c>
      <c r="AK2" s="1" t="s">
        <v>1</v>
      </c>
      <c r="AL2" s="1" t="s">
        <v>1</v>
      </c>
      <c r="AM2" s="1" t="s">
        <v>1</v>
      </c>
      <c r="AN2" s="1" t="s">
        <v>1</v>
      </c>
      <c r="AO2" s="1" t="s">
        <v>1</v>
      </c>
      <c r="AP2" s="1" t="s">
        <v>1</v>
      </c>
      <c r="AQ2" s="1" t="s">
        <v>1</v>
      </c>
      <c r="AR2" s="1" t="s">
        <v>1</v>
      </c>
      <c r="AS2" s="1" t="s">
        <v>1</v>
      </c>
      <c r="AT2" s="1" t="s">
        <v>1</v>
      </c>
      <c r="AU2" s="1" t="s">
        <v>1</v>
      </c>
      <c r="AV2" s="1" t="s">
        <v>1</v>
      </c>
      <c r="AW2" s="1" t="s">
        <v>1</v>
      </c>
      <c r="AX2" s="1" t="s">
        <v>1</v>
      </c>
      <c r="AY2" s="1" t="s">
        <v>1</v>
      </c>
      <c r="AZ2" s="1" t="s">
        <v>1</v>
      </c>
      <c r="BA2" s="1" t="s">
        <v>1</v>
      </c>
      <c r="BB2" s="1" t="s">
        <v>1</v>
      </c>
      <c r="BC2" s="1" t="s">
        <v>1</v>
      </c>
      <c r="BD2" s="1" t="s">
        <v>1</v>
      </c>
      <c r="BE2" s="1" t="s">
        <v>1</v>
      </c>
      <c r="BF2" s="1" t="s">
        <v>1</v>
      </c>
      <c r="BG2" s="1" t="s">
        <v>1</v>
      </c>
      <c r="BH2" s="1" t="s">
        <v>1</v>
      </c>
      <c r="BI2" s="1" t="s">
        <v>1</v>
      </c>
      <c r="BJ2" s="1" t="s">
        <v>1</v>
      </c>
      <c r="BK2" s="1" t="s">
        <v>1</v>
      </c>
      <c r="BL2" s="1" t="s">
        <v>1</v>
      </c>
      <c r="BM2" s="1" t="s">
        <v>1</v>
      </c>
      <c r="BN2" s="1" t="s">
        <v>1</v>
      </c>
      <c r="BO2" s="1" t="s">
        <v>1</v>
      </c>
      <c r="BP2" s="1" t="s">
        <v>1</v>
      </c>
      <c r="BQ2" s="1" t="s">
        <v>1</v>
      </c>
      <c r="BR2" s="1" t="s">
        <v>1</v>
      </c>
      <c r="BS2" s="1" t="s">
        <v>1</v>
      </c>
      <c r="BT2" s="1" t="s">
        <v>1</v>
      </c>
      <c r="BU2" s="1"/>
      <c r="BV2" s="1"/>
      <c r="BW2" s="1" t="s">
        <v>1</v>
      </c>
    </row>
    <row r="3" spans="1:75">
      <c r="A3" s="1" t="s">
        <v>2</v>
      </c>
      <c r="B3" s="1" t="s">
        <v>3</v>
      </c>
      <c r="C3" s="1" t="s">
        <v>4</v>
      </c>
      <c r="D3" s="1" t="s">
        <v>5</v>
      </c>
      <c r="E3" s="1" t="s">
        <v>6</v>
      </c>
      <c r="F3" s="1" t="s">
        <v>7</v>
      </c>
      <c r="G3" s="1" t="s">
        <v>8</v>
      </c>
      <c r="H3" s="1" t="s">
        <v>9</v>
      </c>
      <c r="I3" s="1" t="s">
        <v>10</v>
      </c>
      <c r="J3" s="1" t="s">
        <v>11</v>
      </c>
      <c r="K3" s="1" t="s">
        <v>12</v>
      </c>
      <c r="L3" s="1" t="s">
        <v>13</v>
      </c>
      <c r="M3" s="1" t="s">
        <v>14</v>
      </c>
      <c r="N3" s="1" t="s">
        <v>15</v>
      </c>
      <c r="O3" s="1" t="s">
        <v>16</v>
      </c>
      <c r="P3" s="1" t="s">
        <v>17</v>
      </c>
      <c r="Q3" s="1" t="s">
        <v>18</v>
      </c>
      <c r="R3" s="1" t="s">
        <v>19</v>
      </c>
      <c r="S3" s="1" t="s">
        <v>20</v>
      </c>
      <c r="T3" s="1" t="s">
        <v>21</v>
      </c>
      <c r="U3" s="1" t="s">
        <v>22</v>
      </c>
      <c r="V3" s="1" t="s">
        <v>23</v>
      </c>
      <c r="W3" s="1" t="s">
        <v>24</v>
      </c>
      <c r="X3" s="1" t="s">
        <v>25</v>
      </c>
      <c r="Y3" s="1" t="s">
        <v>26</v>
      </c>
      <c r="Z3" s="1" t="s">
        <v>27</v>
      </c>
      <c r="AA3" s="1" t="s">
        <v>28</v>
      </c>
      <c r="AB3" s="1" t="s">
        <v>29</v>
      </c>
      <c r="AC3" s="1" t="s">
        <v>30</v>
      </c>
      <c r="AD3" s="1" t="s">
        <v>31</v>
      </c>
      <c r="AE3" s="1" t="s">
        <v>32</v>
      </c>
      <c r="AF3" s="1" t="s">
        <v>33</v>
      </c>
      <c r="AG3" s="1" t="s">
        <v>34</v>
      </c>
      <c r="AH3" s="1" t="s">
        <v>35</v>
      </c>
      <c r="AI3" s="1" t="s">
        <v>36</v>
      </c>
      <c r="AJ3" s="1" t="s">
        <v>37</v>
      </c>
      <c r="AK3" s="1" t="s">
        <v>38</v>
      </c>
      <c r="AL3" s="1" t="s">
        <v>39</v>
      </c>
      <c r="AM3" s="1" t="s">
        <v>40</v>
      </c>
      <c r="AN3" s="1" t="s">
        <v>41</v>
      </c>
      <c r="AO3" s="1" t="s">
        <v>42</v>
      </c>
      <c r="AP3" s="1" t="s">
        <v>43</v>
      </c>
      <c r="AQ3" s="1" t="s">
        <v>44</v>
      </c>
      <c r="AR3" s="1" t="s">
        <v>45</v>
      </c>
      <c r="AS3" s="1" t="s">
        <v>46</v>
      </c>
      <c r="AT3" s="1" t="s">
        <v>47</v>
      </c>
      <c r="AU3" s="1" t="s">
        <v>48</v>
      </c>
      <c r="AV3" s="1" t="s">
        <v>49</v>
      </c>
      <c r="AW3" s="1" t="s">
        <v>50</v>
      </c>
      <c r="AX3" s="1" t="s">
        <v>51</v>
      </c>
      <c r="AY3" s="1" t="s">
        <v>52</v>
      </c>
      <c r="AZ3" s="1" t="s">
        <v>53</v>
      </c>
      <c r="BA3" s="1" t="s">
        <v>54</v>
      </c>
      <c r="BB3" s="1" t="s">
        <v>55</v>
      </c>
      <c r="BC3" s="1" t="s">
        <v>56</v>
      </c>
      <c r="BD3" s="1" t="s">
        <v>57</v>
      </c>
      <c r="BE3" s="1" t="s">
        <v>58</v>
      </c>
      <c r="BF3" s="1" t="s">
        <v>59</v>
      </c>
      <c r="BG3" s="1" t="s">
        <v>60</v>
      </c>
      <c r="BH3" s="1" t="s">
        <v>61</v>
      </c>
      <c r="BI3" s="1" t="s">
        <v>62</v>
      </c>
      <c r="BJ3" s="1" t="s">
        <v>63</v>
      </c>
      <c r="BK3" s="1" t="s">
        <v>64</v>
      </c>
      <c r="BL3" s="1" t="s">
        <v>65</v>
      </c>
      <c r="BM3" s="1" t="s">
        <v>66</v>
      </c>
      <c r="BN3" s="1" t="s">
        <v>67</v>
      </c>
      <c r="BO3" s="1" t="s">
        <v>68</v>
      </c>
      <c r="BP3" s="1" t="s">
        <v>69</v>
      </c>
      <c r="BQ3" s="1" t="s">
        <v>70</v>
      </c>
      <c r="BR3" s="1" t="s">
        <v>71</v>
      </c>
      <c r="BS3" s="1" t="s">
        <v>72</v>
      </c>
      <c r="BT3" s="1" t="s">
        <v>73</v>
      </c>
      <c r="BU3" s="1" t="s">
        <v>74</v>
      </c>
      <c r="BV3" s="1" t="s">
        <v>56</v>
      </c>
      <c r="BW3" s="1" t="s">
        <v>75</v>
      </c>
    </row>
    <row r="4" spans="1:75">
      <c r="A4" s="1" t="s">
        <v>1</v>
      </c>
      <c r="B4" s="1" t="s">
        <v>76</v>
      </c>
      <c r="C4" s="1" t="s">
        <v>77</v>
      </c>
      <c r="D4" s="1" t="s">
        <v>78</v>
      </c>
      <c r="E4" s="1" t="s">
        <v>78</v>
      </c>
      <c r="F4" s="1" t="s">
        <v>79</v>
      </c>
      <c r="G4" s="1" t="s">
        <v>80</v>
      </c>
      <c r="H4" s="1" t="s">
        <v>81</v>
      </c>
      <c r="I4" s="1" t="s">
        <v>82</v>
      </c>
      <c r="J4" s="1" t="s">
        <v>83</v>
      </c>
      <c r="K4" s="1" t="s">
        <v>84</v>
      </c>
      <c r="L4" s="1" t="s">
        <v>85</v>
      </c>
      <c r="M4" s="1" t="s">
        <v>86</v>
      </c>
      <c r="N4" s="1" t="s">
        <v>87</v>
      </c>
      <c r="O4" s="1" t="s">
        <v>88</v>
      </c>
      <c r="P4" s="1" t="s">
        <v>89</v>
      </c>
      <c r="Q4" s="1" t="s">
        <v>90</v>
      </c>
      <c r="R4" s="1" t="s">
        <v>91</v>
      </c>
      <c r="S4" s="1" t="s">
        <v>92</v>
      </c>
      <c r="T4" s="1" t="s">
        <v>93</v>
      </c>
      <c r="U4" s="1" t="s">
        <v>88</v>
      </c>
      <c r="V4" s="1" t="s">
        <v>94</v>
      </c>
      <c r="W4" s="1" t="s">
        <v>95</v>
      </c>
      <c r="X4" s="1" t="s">
        <v>96</v>
      </c>
      <c r="Y4" s="1" t="s">
        <v>97</v>
      </c>
      <c r="Z4" s="1" t="s">
        <v>98</v>
      </c>
      <c r="AA4" s="1" t="s">
        <v>99</v>
      </c>
      <c r="AB4" s="1" t="s">
        <v>100</v>
      </c>
      <c r="AC4" s="1" t="s">
        <v>90</v>
      </c>
      <c r="AD4" s="1" t="s">
        <v>101</v>
      </c>
      <c r="AE4" s="1" t="s">
        <v>102</v>
      </c>
      <c r="AF4" s="1" t="s">
        <v>90</v>
      </c>
      <c r="AG4" s="1" t="s">
        <v>103</v>
      </c>
      <c r="AH4" s="1" t="s">
        <v>104</v>
      </c>
      <c r="AI4" s="1" t="s">
        <v>105</v>
      </c>
      <c r="AJ4" s="1" t="s">
        <v>106</v>
      </c>
      <c r="AK4" s="1" t="s">
        <v>107</v>
      </c>
      <c r="AL4" s="1" t="s">
        <v>108</v>
      </c>
      <c r="AM4" s="1" t="s">
        <v>104</v>
      </c>
      <c r="AN4" s="1" t="s">
        <v>78</v>
      </c>
      <c r="AO4" s="1" t="s">
        <v>109</v>
      </c>
      <c r="AP4" s="1" t="s">
        <v>110</v>
      </c>
      <c r="AQ4" s="1" t="s">
        <v>111</v>
      </c>
      <c r="AR4" s="1" t="s">
        <v>112</v>
      </c>
      <c r="AS4" s="1" t="s">
        <v>113</v>
      </c>
      <c r="AT4" s="1" t="s">
        <v>114</v>
      </c>
      <c r="AU4" s="1" t="s">
        <v>115</v>
      </c>
      <c r="AV4" s="1" t="s">
        <v>116</v>
      </c>
      <c r="AW4" s="1" t="s">
        <v>117</v>
      </c>
      <c r="AX4" s="1" t="s">
        <v>118</v>
      </c>
      <c r="AY4" s="1" t="s">
        <v>119</v>
      </c>
      <c r="AZ4" s="1" t="s">
        <v>120</v>
      </c>
      <c r="BA4" s="1" t="s">
        <v>79</v>
      </c>
      <c r="BB4" s="1" t="s">
        <v>90</v>
      </c>
      <c r="BC4" s="1" t="s">
        <v>121</v>
      </c>
      <c r="BD4" s="1" t="s">
        <v>122</v>
      </c>
      <c r="BE4" s="1" t="s">
        <v>78</v>
      </c>
      <c r="BF4" s="1" t="s">
        <v>90</v>
      </c>
      <c r="BG4" s="1" t="s">
        <v>123</v>
      </c>
      <c r="BH4" s="1" t="s">
        <v>124</v>
      </c>
      <c r="BI4" s="1" t="s">
        <v>125</v>
      </c>
      <c r="BJ4" s="1" t="s">
        <v>126</v>
      </c>
      <c r="BK4" s="1" t="s">
        <v>127</v>
      </c>
      <c r="BL4" s="1" t="s">
        <v>128</v>
      </c>
      <c r="BM4" s="1" t="s">
        <v>104</v>
      </c>
      <c r="BN4" s="1" t="s">
        <v>129</v>
      </c>
      <c r="BO4" s="1" t="s">
        <v>102</v>
      </c>
      <c r="BP4" s="1" t="s">
        <v>130</v>
      </c>
      <c r="BQ4" s="1" t="s">
        <v>131</v>
      </c>
      <c r="BR4" s="1" t="s">
        <v>78</v>
      </c>
      <c r="BS4" s="1" t="s">
        <v>108</v>
      </c>
      <c r="BT4" s="1" t="s">
        <v>132</v>
      </c>
      <c r="BU4" s="1" t="s">
        <v>133</v>
      </c>
      <c r="BV4" s="1" t="s">
        <v>134</v>
      </c>
      <c r="BW4" s="1" t="s">
        <v>135</v>
      </c>
    </row>
    <row r="5" spans="1:75">
      <c r="B5" s="1" t="s">
        <v>136</v>
      </c>
      <c r="C5" s="1" t="s">
        <v>137</v>
      </c>
      <c r="D5" s="1" t="s">
        <v>138</v>
      </c>
      <c r="E5" s="1" t="s">
        <v>138</v>
      </c>
      <c r="F5" s="1" t="s">
        <v>139</v>
      </c>
      <c r="G5" s="1" t="s">
        <v>140</v>
      </c>
      <c r="H5" s="1" t="s">
        <v>141</v>
      </c>
      <c r="I5" s="1" t="s">
        <v>142</v>
      </c>
      <c r="J5" s="1" t="s">
        <v>143</v>
      </c>
      <c r="K5" s="1" t="s">
        <v>144</v>
      </c>
      <c r="L5" s="1" t="s">
        <v>145</v>
      </c>
      <c r="M5" s="1" t="s">
        <v>146</v>
      </c>
      <c r="N5" s="1" t="s">
        <v>147</v>
      </c>
      <c r="O5" s="1" t="s">
        <v>138</v>
      </c>
      <c r="P5" s="1" t="s">
        <v>148</v>
      </c>
      <c r="Q5" s="1" t="s">
        <v>149</v>
      </c>
      <c r="R5" s="1" t="s">
        <v>150</v>
      </c>
      <c r="S5" s="1" t="s">
        <v>151</v>
      </c>
      <c r="T5" s="1" t="s">
        <v>152</v>
      </c>
      <c r="U5" s="1" t="s">
        <v>138</v>
      </c>
      <c r="V5" s="1" t="s">
        <v>153</v>
      </c>
      <c r="W5" s="1" t="s">
        <v>154</v>
      </c>
      <c r="X5" s="1" t="s">
        <v>155</v>
      </c>
      <c r="Y5" s="1" t="s">
        <v>156</v>
      </c>
      <c r="AA5" s="1" t="s">
        <v>157</v>
      </c>
      <c r="AB5" s="1" t="s">
        <v>158</v>
      </c>
      <c r="AC5" s="1" t="s">
        <v>149</v>
      </c>
      <c r="AD5" s="1" t="s">
        <v>159</v>
      </c>
      <c r="AE5" s="1" t="s">
        <v>160</v>
      </c>
      <c r="AF5" s="1" t="s">
        <v>149</v>
      </c>
      <c r="AG5" s="1" t="s">
        <v>161</v>
      </c>
      <c r="AH5" s="1" t="s">
        <v>162</v>
      </c>
      <c r="AI5" s="1" t="s">
        <v>163</v>
      </c>
      <c r="AJ5" s="1" t="s">
        <v>164</v>
      </c>
      <c r="AK5" s="1" t="s">
        <v>165</v>
      </c>
      <c r="AL5" s="1" t="s">
        <v>166</v>
      </c>
      <c r="AM5" s="1" t="s">
        <v>162</v>
      </c>
      <c r="AN5" s="1" t="s">
        <v>138</v>
      </c>
      <c r="AO5" s="1" t="s">
        <v>167</v>
      </c>
      <c r="AP5" s="1" t="s">
        <v>168</v>
      </c>
      <c r="AQ5" s="1" t="s">
        <v>169</v>
      </c>
      <c r="AS5" s="1" t="s">
        <v>170</v>
      </c>
      <c r="AT5" s="1" t="s">
        <v>171</v>
      </c>
      <c r="AU5" s="1" t="s">
        <v>172</v>
      </c>
      <c r="AV5" s="1" t="s">
        <v>173</v>
      </c>
      <c r="AW5" s="1" t="s">
        <v>174</v>
      </c>
      <c r="AX5" s="1" t="s">
        <v>175</v>
      </c>
      <c r="AY5" s="1" t="s">
        <v>176</v>
      </c>
      <c r="AZ5" s="1" t="s">
        <v>177</v>
      </c>
      <c r="BA5" s="1" t="s">
        <v>178</v>
      </c>
      <c r="BB5" s="1" t="s">
        <v>149</v>
      </c>
      <c r="BD5" s="1" t="s">
        <v>179</v>
      </c>
      <c r="BE5" s="1" t="s">
        <v>138</v>
      </c>
      <c r="BF5" s="1" t="s">
        <v>149</v>
      </c>
      <c r="BG5" s="1" t="s">
        <v>180</v>
      </c>
      <c r="BH5" s="1" t="s">
        <v>181</v>
      </c>
      <c r="BI5" s="1" t="s">
        <v>182</v>
      </c>
      <c r="BJ5" s="1" t="s">
        <v>183</v>
      </c>
      <c r="BK5" s="1" t="s">
        <v>184</v>
      </c>
      <c r="BL5" s="1" t="s">
        <v>185</v>
      </c>
      <c r="BM5" s="1" t="s">
        <v>162</v>
      </c>
      <c r="BN5" s="1" t="s">
        <v>186</v>
      </c>
      <c r="BO5" s="1" t="s">
        <v>160</v>
      </c>
      <c r="BP5" s="1" t="s">
        <v>187</v>
      </c>
      <c r="BQ5" s="1" t="s">
        <v>188</v>
      </c>
      <c r="BR5" s="1" t="s">
        <v>138</v>
      </c>
      <c r="BS5" s="1" t="s">
        <v>166</v>
      </c>
      <c r="BT5" s="1" t="s">
        <v>145</v>
      </c>
      <c r="BU5" s="1" t="s">
        <v>189</v>
      </c>
      <c r="BW5" s="1" t="s">
        <v>190</v>
      </c>
    </row>
    <row r="6" spans="1:75">
      <c r="B6" s="1" t="s">
        <v>191</v>
      </c>
      <c r="C6" s="1" t="s">
        <v>192</v>
      </c>
      <c r="G6" s="1" t="s">
        <v>193</v>
      </c>
      <c r="H6" s="1" t="s">
        <v>194</v>
      </c>
      <c r="I6" s="1" t="s">
        <v>195</v>
      </c>
      <c r="J6" s="1" t="s">
        <v>196</v>
      </c>
      <c r="K6" s="1" t="s">
        <v>197</v>
      </c>
      <c r="L6" s="1" t="s">
        <v>198</v>
      </c>
      <c r="M6" s="1" t="s">
        <v>199</v>
      </c>
      <c r="N6" s="1" t="s">
        <v>200</v>
      </c>
      <c r="P6" s="1" t="s">
        <v>201</v>
      </c>
      <c r="Q6" s="1" t="s">
        <v>202</v>
      </c>
      <c r="R6" s="1" t="s">
        <v>203</v>
      </c>
      <c r="S6" s="1" t="s">
        <v>139</v>
      </c>
      <c r="T6" s="1" t="s">
        <v>204</v>
      </c>
      <c r="V6" s="1" t="s">
        <v>205</v>
      </c>
      <c r="W6" s="1" t="s">
        <v>206</v>
      </c>
      <c r="X6" s="1" t="s">
        <v>207</v>
      </c>
      <c r="AA6" s="1" t="s">
        <v>208</v>
      </c>
      <c r="AB6" s="1" t="s">
        <v>209</v>
      </c>
      <c r="AC6" s="1" t="s">
        <v>202</v>
      </c>
      <c r="AD6" s="1" t="s">
        <v>210</v>
      </c>
      <c r="AF6" s="1" t="s">
        <v>202</v>
      </c>
      <c r="AH6" s="1" t="s">
        <v>211</v>
      </c>
      <c r="AI6" s="1" t="s">
        <v>212</v>
      </c>
      <c r="AJ6" s="1" t="s">
        <v>213</v>
      </c>
      <c r="AK6" s="1" t="s">
        <v>214</v>
      </c>
      <c r="AL6" s="1" t="s">
        <v>215</v>
      </c>
      <c r="AM6" s="1" t="s">
        <v>211</v>
      </c>
      <c r="AO6" s="1" t="s">
        <v>216</v>
      </c>
      <c r="AP6" s="1" t="s">
        <v>217</v>
      </c>
      <c r="AQ6" s="1" t="s">
        <v>218</v>
      </c>
      <c r="AS6" s="1" t="s">
        <v>219</v>
      </c>
      <c r="AT6" s="1" t="s">
        <v>220</v>
      </c>
      <c r="AU6" s="1" t="s">
        <v>221</v>
      </c>
      <c r="AV6" s="1" t="s">
        <v>222</v>
      </c>
      <c r="AW6" s="1" t="s">
        <v>223</v>
      </c>
      <c r="AX6" s="1" t="s">
        <v>224</v>
      </c>
      <c r="AY6" s="1" t="s">
        <v>225</v>
      </c>
      <c r="AZ6" s="1" t="s">
        <v>226</v>
      </c>
      <c r="BA6" s="1" t="s">
        <v>227</v>
      </c>
      <c r="BB6" s="1" t="s">
        <v>202</v>
      </c>
      <c r="BF6" s="1" t="s">
        <v>202</v>
      </c>
      <c r="BG6" s="1" t="s">
        <v>228</v>
      </c>
      <c r="BH6" s="1" t="s">
        <v>229</v>
      </c>
      <c r="BI6" s="1" t="s">
        <v>230</v>
      </c>
      <c r="BJ6" s="1" t="s">
        <v>231</v>
      </c>
      <c r="BK6" s="1" t="s">
        <v>232</v>
      </c>
      <c r="BL6" s="1" t="s">
        <v>233</v>
      </c>
      <c r="BM6" s="1" t="s">
        <v>211</v>
      </c>
      <c r="BN6" s="1" t="s">
        <v>234</v>
      </c>
      <c r="BP6" s="1" t="s">
        <v>235</v>
      </c>
      <c r="BQ6" s="1" t="s">
        <v>236</v>
      </c>
      <c r="BS6" s="1" t="s">
        <v>215</v>
      </c>
      <c r="BT6" s="1" t="s">
        <v>237</v>
      </c>
      <c r="BU6" s="1" t="s">
        <v>238</v>
      </c>
      <c r="BW6" s="1" t="s">
        <v>239</v>
      </c>
    </row>
    <row r="7" spans="1:75">
      <c r="B7" s="1" t="s">
        <v>240</v>
      </c>
      <c r="C7" s="1" t="s">
        <v>241</v>
      </c>
      <c r="G7" s="1" t="s">
        <v>242</v>
      </c>
      <c r="I7" s="1" t="s">
        <v>243</v>
      </c>
      <c r="J7" s="1" t="s">
        <v>244</v>
      </c>
      <c r="L7" s="1" t="s">
        <v>245</v>
      </c>
      <c r="M7" s="1" t="s">
        <v>246</v>
      </c>
      <c r="N7" s="1" t="s">
        <v>247</v>
      </c>
      <c r="P7" s="1" t="s">
        <v>248</v>
      </c>
      <c r="Q7" s="1" t="s">
        <v>249</v>
      </c>
      <c r="S7" s="1" t="s">
        <v>250</v>
      </c>
      <c r="T7" s="1" t="s">
        <v>251</v>
      </c>
      <c r="V7" s="1" t="s">
        <v>252</v>
      </c>
      <c r="W7" s="1" t="s">
        <v>253</v>
      </c>
      <c r="X7" s="1" t="s">
        <v>254</v>
      </c>
      <c r="AA7" s="1" t="s">
        <v>255</v>
      </c>
      <c r="AB7" s="1" t="s">
        <v>256</v>
      </c>
      <c r="AC7" s="1" t="s">
        <v>249</v>
      </c>
      <c r="AD7" s="1" t="s">
        <v>257</v>
      </c>
      <c r="AF7" s="1" t="s">
        <v>249</v>
      </c>
      <c r="AH7" s="1" t="s">
        <v>258</v>
      </c>
      <c r="AI7" s="1" t="s">
        <v>259</v>
      </c>
      <c r="AJ7" s="1" t="s">
        <v>260</v>
      </c>
      <c r="AK7" s="1" t="s">
        <v>261</v>
      </c>
      <c r="AL7" s="1" t="s">
        <v>262</v>
      </c>
      <c r="AM7" s="1" t="s">
        <v>258</v>
      </c>
      <c r="AO7" s="1" t="s">
        <v>263</v>
      </c>
      <c r="AP7" s="1" t="s">
        <v>264</v>
      </c>
      <c r="AQ7" s="1" t="s">
        <v>265</v>
      </c>
      <c r="AU7" s="1" t="s">
        <v>266</v>
      </c>
      <c r="AW7" s="1" t="s">
        <v>267</v>
      </c>
      <c r="AX7" s="1" t="s">
        <v>268</v>
      </c>
      <c r="AY7" s="1" t="s">
        <v>269</v>
      </c>
      <c r="AZ7" s="1" t="s">
        <v>270</v>
      </c>
      <c r="BA7" s="1" t="s">
        <v>250</v>
      </c>
      <c r="BB7" s="1" t="s">
        <v>249</v>
      </c>
      <c r="BF7" s="1" t="s">
        <v>249</v>
      </c>
      <c r="BG7" s="1" t="s">
        <v>271</v>
      </c>
      <c r="BH7" s="1" t="s">
        <v>272</v>
      </c>
      <c r="BI7" s="1" t="s">
        <v>273</v>
      </c>
      <c r="BJ7" s="1" t="s">
        <v>274</v>
      </c>
      <c r="BL7" s="1" t="s">
        <v>275</v>
      </c>
      <c r="BM7" s="1" t="s">
        <v>258</v>
      </c>
      <c r="BN7" s="1" t="s">
        <v>276</v>
      </c>
      <c r="BP7" s="1" t="s">
        <v>277</v>
      </c>
      <c r="BS7" s="1" t="s">
        <v>262</v>
      </c>
      <c r="BT7" s="1" t="s">
        <v>278</v>
      </c>
      <c r="BU7" s="1" t="s">
        <v>279</v>
      </c>
      <c r="BW7" s="1" t="s">
        <v>280</v>
      </c>
    </row>
    <row r="8" spans="1:75">
      <c r="G8" s="1" t="s">
        <v>281</v>
      </c>
      <c r="I8" s="1" t="s">
        <v>282</v>
      </c>
      <c r="J8" s="1" t="s">
        <v>283</v>
      </c>
      <c r="L8" s="1" t="s">
        <v>284</v>
      </c>
      <c r="M8" s="1" t="s">
        <v>285</v>
      </c>
      <c r="N8" s="1" t="s">
        <v>286</v>
      </c>
      <c r="P8" s="1" t="s">
        <v>287</v>
      </c>
      <c r="Q8" s="1" t="s">
        <v>288</v>
      </c>
      <c r="S8" s="1" t="s">
        <v>289</v>
      </c>
      <c r="T8" s="1" t="s">
        <v>290</v>
      </c>
      <c r="V8" s="1" t="s">
        <v>291</v>
      </c>
      <c r="W8" s="1" t="s">
        <v>292</v>
      </c>
      <c r="AA8" s="1" t="s">
        <v>293</v>
      </c>
      <c r="AB8" s="1" t="s">
        <v>294</v>
      </c>
      <c r="AC8" s="1" t="s">
        <v>288</v>
      </c>
      <c r="AD8" s="1" t="s">
        <v>295</v>
      </c>
      <c r="AF8" s="1" t="s">
        <v>288</v>
      </c>
      <c r="AH8" s="1" t="s">
        <v>296</v>
      </c>
      <c r="AK8" s="1" t="s">
        <v>297</v>
      </c>
      <c r="AL8" s="1" t="s">
        <v>298</v>
      </c>
      <c r="AM8" s="1" t="s">
        <v>296</v>
      </c>
      <c r="AO8" s="1" t="s">
        <v>299</v>
      </c>
      <c r="AP8" s="1" t="s">
        <v>300</v>
      </c>
      <c r="AQ8" s="1" t="s">
        <v>301</v>
      </c>
      <c r="AU8" s="1" t="s">
        <v>302</v>
      </c>
      <c r="AW8" s="1" t="s">
        <v>303</v>
      </c>
      <c r="AX8" s="1" t="s">
        <v>304</v>
      </c>
      <c r="AY8" s="1" t="s">
        <v>305</v>
      </c>
      <c r="AZ8" s="1" t="s">
        <v>306</v>
      </c>
      <c r="BB8" s="1" t="s">
        <v>288</v>
      </c>
      <c r="BF8" s="1" t="s">
        <v>288</v>
      </c>
      <c r="BI8" s="1" t="s">
        <v>307</v>
      </c>
      <c r="BJ8" s="1" t="s">
        <v>308</v>
      </c>
      <c r="BM8" s="1" t="s">
        <v>296</v>
      </c>
      <c r="BP8" s="1" t="s">
        <v>309</v>
      </c>
      <c r="BS8" s="1" t="s">
        <v>298</v>
      </c>
      <c r="BT8" s="1" t="s">
        <v>310</v>
      </c>
      <c r="BU8" s="1" t="s">
        <v>311</v>
      </c>
      <c r="BW8" s="1" t="s">
        <v>312</v>
      </c>
    </row>
    <row r="9" spans="1:75">
      <c r="G9" s="1" t="s">
        <v>313</v>
      </c>
      <c r="J9" s="1" t="s">
        <v>314</v>
      </c>
      <c r="L9" s="1" t="s">
        <v>315</v>
      </c>
      <c r="M9" s="1" t="s">
        <v>316</v>
      </c>
      <c r="N9" s="1" t="s">
        <v>317</v>
      </c>
      <c r="P9" s="1" t="s">
        <v>318</v>
      </c>
      <c r="T9" s="1" t="s">
        <v>319</v>
      </c>
      <c r="W9" s="1" t="s">
        <v>320</v>
      </c>
      <c r="AA9" s="1" t="s">
        <v>321</v>
      </c>
      <c r="AB9" s="1" t="s">
        <v>322</v>
      </c>
      <c r="AD9" s="1" t="s">
        <v>323</v>
      </c>
      <c r="AH9" s="1" t="s">
        <v>324</v>
      </c>
      <c r="AK9" s="1" t="s">
        <v>325</v>
      </c>
      <c r="AL9" s="1" t="s">
        <v>326</v>
      </c>
      <c r="AM9" s="1" t="s">
        <v>324</v>
      </c>
      <c r="AO9" s="1" t="s">
        <v>327</v>
      </c>
      <c r="AP9" s="1" t="s">
        <v>328</v>
      </c>
      <c r="AQ9" s="1" t="s">
        <v>329</v>
      </c>
      <c r="AU9" s="1" t="s">
        <v>330</v>
      </c>
      <c r="AW9" s="1" t="s">
        <v>331</v>
      </c>
      <c r="AX9" s="1" t="s">
        <v>332</v>
      </c>
      <c r="AY9" s="1" t="s">
        <v>333</v>
      </c>
      <c r="AZ9" s="1" t="s">
        <v>334</v>
      </c>
      <c r="BI9" s="1" t="s">
        <v>335</v>
      </c>
      <c r="BJ9" s="1" t="s">
        <v>336</v>
      </c>
      <c r="BM9" s="1" t="s">
        <v>324</v>
      </c>
      <c r="BP9" s="1" t="s">
        <v>337</v>
      </c>
      <c r="BS9" s="1" t="s">
        <v>326</v>
      </c>
      <c r="BT9" s="1" t="s">
        <v>338</v>
      </c>
      <c r="BU9" s="1" t="s">
        <v>339</v>
      </c>
      <c r="BW9" s="1" t="s">
        <v>340</v>
      </c>
    </row>
    <row r="10" spans="1:75">
      <c r="G10" s="1" t="s">
        <v>341</v>
      </c>
      <c r="J10" s="1" t="s">
        <v>342</v>
      </c>
      <c r="L10" s="1" t="s">
        <v>343</v>
      </c>
      <c r="M10" s="1" t="s">
        <v>344</v>
      </c>
      <c r="N10" s="1" t="s">
        <v>345</v>
      </c>
      <c r="P10" s="1" t="s">
        <v>346</v>
      </c>
      <c r="T10" s="1" t="s">
        <v>347</v>
      </c>
      <c r="W10" s="1" t="s">
        <v>348</v>
      </c>
      <c r="AA10" s="1" t="s">
        <v>349</v>
      </c>
      <c r="AB10" s="1" t="s">
        <v>350</v>
      </c>
      <c r="AD10" s="1" t="s">
        <v>351</v>
      </c>
      <c r="AK10" s="1" t="s">
        <v>352</v>
      </c>
      <c r="AL10" s="1" t="s">
        <v>353</v>
      </c>
      <c r="AO10" s="1" t="s">
        <v>354</v>
      </c>
      <c r="AP10" s="1" t="s">
        <v>355</v>
      </c>
      <c r="AQ10" s="1" t="s">
        <v>356</v>
      </c>
      <c r="AU10" s="1" t="s">
        <v>357</v>
      </c>
      <c r="AW10" s="1" t="s">
        <v>358</v>
      </c>
      <c r="AY10" s="1" t="s">
        <v>359</v>
      </c>
      <c r="AZ10" s="1" t="s">
        <v>360</v>
      </c>
      <c r="BI10" s="1" t="s">
        <v>361</v>
      </c>
      <c r="BJ10" s="1" t="s">
        <v>362</v>
      </c>
      <c r="BP10" s="1" t="s">
        <v>363</v>
      </c>
      <c r="BS10" s="1" t="s">
        <v>353</v>
      </c>
      <c r="BT10" s="1" t="s">
        <v>364</v>
      </c>
      <c r="BU10" s="1" t="s">
        <v>365</v>
      </c>
      <c r="BW10" s="1" t="s">
        <v>366</v>
      </c>
    </row>
    <row r="11" spans="1:75">
      <c r="G11" s="1" t="s">
        <v>367</v>
      </c>
      <c r="J11" s="1" t="s">
        <v>368</v>
      </c>
      <c r="L11" s="1" t="s">
        <v>369</v>
      </c>
      <c r="M11" s="1" t="s">
        <v>370</v>
      </c>
      <c r="P11" s="1" t="s">
        <v>371</v>
      </c>
      <c r="T11" s="1" t="s">
        <v>372</v>
      </c>
      <c r="W11" s="1" t="s">
        <v>373</v>
      </c>
      <c r="AA11" s="1" t="s">
        <v>374</v>
      </c>
      <c r="AB11" s="1" t="s">
        <v>375</v>
      </c>
      <c r="AD11" s="1" t="s">
        <v>376</v>
      </c>
      <c r="AK11" s="1" t="s">
        <v>377</v>
      </c>
      <c r="AL11" s="1" t="s">
        <v>378</v>
      </c>
      <c r="AO11" s="1" t="s">
        <v>379</v>
      </c>
      <c r="AP11" s="1" t="s">
        <v>380</v>
      </c>
      <c r="AQ11" s="1" t="s">
        <v>381</v>
      </c>
      <c r="AU11" s="1" t="s">
        <v>382</v>
      </c>
      <c r="AY11" s="1" t="s">
        <v>383</v>
      </c>
      <c r="AZ11" s="1" t="s">
        <v>384</v>
      </c>
      <c r="BI11" s="1" t="s">
        <v>385</v>
      </c>
      <c r="BJ11" s="1" t="s">
        <v>386</v>
      </c>
      <c r="BP11" s="1" t="s">
        <v>387</v>
      </c>
      <c r="BS11" s="1" t="s">
        <v>378</v>
      </c>
      <c r="BT11" s="1" t="s">
        <v>388</v>
      </c>
      <c r="BU11" s="1" t="s">
        <v>389</v>
      </c>
      <c r="BW11" s="1" t="s">
        <v>390</v>
      </c>
    </row>
    <row r="12" spans="1:75">
      <c r="G12" s="1" t="s">
        <v>391</v>
      </c>
      <c r="J12" s="1" t="s">
        <v>392</v>
      </c>
      <c r="L12" s="1" t="s">
        <v>393</v>
      </c>
      <c r="P12" s="1" t="s">
        <v>394</v>
      </c>
      <c r="T12" s="1" t="s">
        <v>395</v>
      </c>
      <c r="W12" s="1" t="s">
        <v>396</v>
      </c>
      <c r="AA12" s="1" t="s">
        <v>397</v>
      </c>
      <c r="AD12" s="1" t="s">
        <v>398</v>
      </c>
      <c r="AK12" s="1" t="s">
        <v>399</v>
      </c>
      <c r="AL12" s="1" t="s">
        <v>400</v>
      </c>
      <c r="AO12" s="1" t="s">
        <v>401</v>
      </c>
      <c r="AP12" s="1" t="s">
        <v>402</v>
      </c>
      <c r="AQ12" s="1" t="s">
        <v>403</v>
      </c>
      <c r="AU12" s="1" t="s">
        <v>404</v>
      </c>
      <c r="AY12" s="1" t="s">
        <v>405</v>
      </c>
      <c r="AZ12" s="1" t="s">
        <v>406</v>
      </c>
      <c r="BI12" s="1" t="s">
        <v>407</v>
      </c>
      <c r="BJ12" s="1" t="s">
        <v>408</v>
      </c>
      <c r="BP12" s="1" t="s">
        <v>409</v>
      </c>
      <c r="BS12" s="1" t="s">
        <v>400</v>
      </c>
      <c r="BT12" s="1" t="s">
        <v>410</v>
      </c>
      <c r="BU12" s="1" t="s">
        <v>411</v>
      </c>
      <c r="BW12" s="1" t="s">
        <v>412</v>
      </c>
    </row>
    <row r="13" spans="1:75">
      <c r="G13" s="1" t="s">
        <v>413</v>
      </c>
      <c r="J13" s="1" t="s">
        <v>414</v>
      </c>
      <c r="L13" s="1" t="s">
        <v>415</v>
      </c>
      <c r="P13" s="1" t="s">
        <v>416</v>
      </c>
      <c r="T13" s="1" t="s">
        <v>417</v>
      </c>
      <c r="W13" s="1" t="s">
        <v>418</v>
      </c>
      <c r="AA13" s="1" t="s">
        <v>419</v>
      </c>
      <c r="AD13" s="1" t="s">
        <v>420</v>
      </c>
      <c r="AK13" s="1" t="s">
        <v>421</v>
      </c>
      <c r="AL13" s="1" t="s">
        <v>422</v>
      </c>
      <c r="AP13" s="1" t="s">
        <v>423</v>
      </c>
      <c r="AQ13" s="1" t="s">
        <v>424</v>
      </c>
      <c r="AY13" s="1" t="s">
        <v>425</v>
      </c>
      <c r="AZ13" s="1" t="s">
        <v>426</v>
      </c>
      <c r="BI13" s="1" t="s">
        <v>427</v>
      </c>
      <c r="BJ13" s="1" t="s">
        <v>428</v>
      </c>
      <c r="BP13" s="1" t="s">
        <v>429</v>
      </c>
      <c r="BS13" s="1" t="s">
        <v>422</v>
      </c>
      <c r="BT13" s="1" t="s">
        <v>430</v>
      </c>
      <c r="BW13" s="1" t="s">
        <v>431</v>
      </c>
    </row>
    <row r="14" spans="1:75">
      <c r="G14" s="1" t="s">
        <v>432</v>
      </c>
      <c r="J14" s="1" t="s">
        <v>433</v>
      </c>
      <c r="L14" s="1" t="s">
        <v>434</v>
      </c>
      <c r="P14" s="1" t="s">
        <v>435</v>
      </c>
      <c r="T14" s="1" t="s">
        <v>436</v>
      </c>
      <c r="W14" s="1" t="s">
        <v>166</v>
      </c>
      <c r="AA14" s="1" t="s">
        <v>437</v>
      </c>
      <c r="AL14" s="1" t="s">
        <v>438</v>
      </c>
      <c r="AP14" s="1" t="s">
        <v>439</v>
      </c>
      <c r="AQ14" s="1" t="s">
        <v>440</v>
      </c>
      <c r="AY14" s="1" t="s">
        <v>441</v>
      </c>
      <c r="BI14" s="1" t="s">
        <v>442</v>
      </c>
      <c r="BJ14" s="1" t="s">
        <v>443</v>
      </c>
      <c r="BP14" s="1" t="s">
        <v>444</v>
      </c>
      <c r="BS14" s="1" t="s">
        <v>438</v>
      </c>
      <c r="BT14" s="1" t="s">
        <v>445</v>
      </c>
      <c r="BW14" s="1" t="s">
        <v>446</v>
      </c>
    </row>
    <row r="15" spans="1:75">
      <c r="G15" s="1" t="s">
        <v>447</v>
      </c>
      <c r="J15" s="1" t="s">
        <v>448</v>
      </c>
      <c r="L15" s="1" t="s">
        <v>449</v>
      </c>
      <c r="P15" s="1" t="s">
        <v>450</v>
      </c>
      <c r="T15" s="1" t="s">
        <v>451</v>
      </c>
      <c r="W15" s="1" t="s">
        <v>215</v>
      </c>
      <c r="AA15" s="1" t="s">
        <v>452</v>
      </c>
      <c r="AL15" s="1" t="s">
        <v>453</v>
      </c>
      <c r="AP15" s="1" t="s">
        <v>454</v>
      </c>
      <c r="AQ15" s="1" t="s">
        <v>455</v>
      </c>
      <c r="AY15" s="1" t="s">
        <v>456</v>
      </c>
      <c r="BI15" s="1" t="s">
        <v>457</v>
      </c>
      <c r="BJ15" s="1" t="s">
        <v>458</v>
      </c>
      <c r="BP15" s="1" t="s">
        <v>459</v>
      </c>
      <c r="BS15" s="1" t="s">
        <v>453</v>
      </c>
      <c r="BT15" s="1" t="s">
        <v>460</v>
      </c>
      <c r="BW15" s="1" t="s">
        <v>461</v>
      </c>
    </row>
    <row r="16" spans="1:75">
      <c r="G16" s="1" t="s">
        <v>462</v>
      </c>
      <c r="J16" s="1" t="s">
        <v>463</v>
      </c>
      <c r="P16" s="1" t="s">
        <v>464</v>
      </c>
      <c r="T16" s="1" t="s">
        <v>465</v>
      </c>
      <c r="W16" s="1" t="s">
        <v>262</v>
      </c>
      <c r="AA16" s="1" t="s">
        <v>466</v>
      </c>
      <c r="AL16" s="1" t="s">
        <v>467</v>
      </c>
      <c r="AP16" s="1" t="s">
        <v>468</v>
      </c>
      <c r="AQ16" s="1" t="s">
        <v>469</v>
      </c>
      <c r="AY16" s="1" t="s">
        <v>470</v>
      </c>
      <c r="BI16" s="1" t="s">
        <v>471</v>
      </c>
      <c r="BJ16" s="1" t="s">
        <v>472</v>
      </c>
      <c r="BP16" s="1" t="s">
        <v>473</v>
      </c>
      <c r="BS16" s="1" t="s">
        <v>467</v>
      </c>
      <c r="BT16" s="1" t="s">
        <v>474</v>
      </c>
      <c r="BW16" s="1" t="s">
        <v>475</v>
      </c>
    </row>
    <row r="17" spans="7:75">
      <c r="G17" s="1" t="s">
        <v>476</v>
      </c>
      <c r="J17" s="1" t="s">
        <v>477</v>
      </c>
      <c r="P17" s="1" t="s">
        <v>478</v>
      </c>
      <c r="T17" s="1" t="s">
        <v>479</v>
      </c>
      <c r="W17" s="1" t="s">
        <v>298</v>
      </c>
      <c r="AA17" s="1" t="s">
        <v>480</v>
      </c>
      <c r="AL17" s="1" t="s">
        <v>481</v>
      </c>
      <c r="AP17" s="1" t="s">
        <v>482</v>
      </c>
      <c r="AQ17" s="1" t="s">
        <v>483</v>
      </c>
      <c r="AY17" s="1" t="s">
        <v>484</v>
      </c>
      <c r="BI17" s="1" t="s">
        <v>485</v>
      </c>
      <c r="BJ17" s="1" t="s">
        <v>486</v>
      </c>
      <c r="BP17" s="1" t="s">
        <v>487</v>
      </c>
      <c r="BS17" s="1" t="s">
        <v>481</v>
      </c>
      <c r="BT17" s="1" t="s">
        <v>488</v>
      </c>
      <c r="BW17" s="1" t="s">
        <v>489</v>
      </c>
    </row>
    <row r="18" spans="7:75">
      <c r="G18" s="1" t="s">
        <v>490</v>
      </c>
      <c r="J18" s="1" t="s">
        <v>491</v>
      </c>
      <c r="P18" s="1" t="s">
        <v>492</v>
      </c>
      <c r="T18" s="1" t="s">
        <v>493</v>
      </c>
      <c r="W18" s="1" t="s">
        <v>326</v>
      </c>
      <c r="AA18" s="1" t="s">
        <v>494</v>
      </c>
      <c r="AL18" s="1" t="s">
        <v>495</v>
      </c>
      <c r="AP18" s="1" t="s">
        <v>496</v>
      </c>
      <c r="AQ18" s="1" t="s">
        <v>497</v>
      </c>
      <c r="AY18" s="1" t="s">
        <v>498</v>
      </c>
      <c r="BI18" s="1" t="s">
        <v>499</v>
      </c>
      <c r="BJ18" s="1" t="s">
        <v>500</v>
      </c>
      <c r="BP18" s="1" t="s">
        <v>501</v>
      </c>
      <c r="BS18" s="1" t="s">
        <v>495</v>
      </c>
      <c r="BT18" s="1" t="s">
        <v>502</v>
      </c>
      <c r="BW18" s="1" t="s">
        <v>503</v>
      </c>
    </row>
    <row r="19" spans="7:75">
      <c r="G19" s="1" t="s">
        <v>504</v>
      </c>
      <c r="J19" s="1" t="s">
        <v>505</v>
      </c>
      <c r="P19" s="1" t="s">
        <v>506</v>
      </c>
      <c r="T19" s="1" t="s">
        <v>507</v>
      </c>
      <c r="W19" s="1" t="s">
        <v>353</v>
      </c>
      <c r="AA19" s="1" t="s">
        <v>508</v>
      </c>
      <c r="AL19" s="1" t="s">
        <v>509</v>
      </c>
      <c r="AP19" s="1" t="s">
        <v>510</v>
      </c>
      <c r="AQ19" s="1" t="s">
        <v>511</v>
      </c>
      <c r="AY19" s="1" t="s">
        <v>512</v>
      </c>
      <c r="BI19" s="1" t="s">
        <v>513</v>
      </c>
      <c r="BJ19" s="1" t="s">
        <v>514</v>
      </c>
      <c r="BP19" s="1" t="s">
        <v>515</v>
      </c>
      <c r="BS19" s="1" t="s">
        <v>509</v>
      </c>
      <c r="BT19" s="1" t="s">
        <v>516</v>
      </c>
      <c r="BW19" s="1" t="s">
        <v>517</v>
      </c>
    </row>
    <row r="20" spans="7:75">
      <c r="G20" s="1" t="s">
        <v>518</v>
      </c>
      <c r="J20" s="1" t="s">
        <v>519</v>
      </c>
      <c r="P20" s="1" t="s">
        <v>520</v>
      </c>
      <c r="T20" s="1" t="s">
        <v>521</v>
      </c>
      <c r="W20" s="1" t="s">
        <v>378</v>
      </c>
      <c r="AA20" s="1" t="s">
        <v>522</v>
      </c>
      <c r="AL20" s="1" t="s">
        <v>523</v>
      </c>
      <c r="AP20" s="1" t="s">
        <v>524</v>
      </c>
      <c r="AQ20" s="1" t="s">
        <v>525</v>
      </c>
      <c r="AY20" s="1" t="s">
        <v>526</v>
      </c>
      <c r="BI20" s="1" t="s">
        <v>527</v>
      </c>
      <c r="BJ20" s="1" t="s">
        <v>528</v>
      </c>
      <c r="BP20" s="1" t="s">
        <v>529</v>
      </c>
      <c r="BS20" s="1" t="s">
        <v>523</v>
      </c>
      <c r="BT20" s="1" t="s">
        <v>530</v>
      </c>
      <c r="BW20" s="1" t="s">
        <v>531</v>
      </c>
    </row>
    <row r="21" spans="7:75">
      <c r="G21" s="1" t="s">
        <v>532</v>
      </c>
      <c r="P21" s="1" t="s">
        <v>533</v>
      </c>
      <c r="T21" s="1" t="s">
        <v>534</v>
      </c>
      <c r="W21" s="1" t="s">
        <v>400</v>
      </c>
      <c r="AA21" s="1" t="s">
        <v>535</v>
      </c>
      <c r="AL21" s="1" t="s">
        <v>536</v>
      </c>
      <c r="AP21" s="1" t="s">
        <v>537</v>
      </c>
      <c r="AQ21" s="1" t="s">
        <v>538</v>
      </c>
      <c r="AY21" s="1" t="s">
        <v>539</v>
      </c>
      <c r="BI21" s="1" t="s">
        <v>540</v>
      </c>
      <c r="BJ21" s="1" t="s">
        <v>541</v>
      </c>
      <c r="BP21" s="1" t="s">
        <v>542</v>
      </c>
      <c r="BS21" s="1" t="s">
        <v>536</v>
      </c>
      <c r="BT21" s="1" t="s">
        <v>543</v>
      </c>
      <c r="BW21" s="1" t="s">
        <v>544</v>
      </c>
    </row>
    <row r="22" spans="7:75">
      <c r="G22" s="1" t="s">
        <v>545</v>
      </c>
      <c r="P22" s="1" t="s">
        <v>546</v>
      </c>
      <c r="W22" s="1" t="s">
        <v>422</v>
      </c>
      <c r="AA22" s="1" t="s">
        <v>547</v>
      </c>
      <c r="AL22" s="1" t="s">
        <v>548</v>
      </c>
      <c r="AP22" s="1" t="s">
        <v>549</v>
      </c>
      <c r="AY22" s="1" t="s">
        <v>550</v>
      </c>
      <c r="BI22" s="1" t="s">
        <v>551</v>
      </c>
      <c r="BP22" s="1" t="s">
        <v>552</v>
      </c>
      <c r="BS22" s="1" t="s">
        <v>548</v>
      </c>
      <c r="BT22" s="1" t="s">
        <v>553</v>
      </c>
      <c r="BW22" s="1" t="s">
        <v>554</v>
      </c>
    </row>
    <row r="23" spans="7:75">
      <c r="G23" s="1" t="s">
        <v>555</v>
      </c>
      <c r="P23" s="1" t="s">
        <v>556</v>
      </c>
      <c r="W23" s="1" t="s">
        <v>438</v>
      </c>
      <c r="AA23" s="1" t="s">
        <v>557</v>
      </c>
      <c r="AL23" s="1" t="s">
        <v>558</v>
      </c>
      <c r="AY23" s="1" t="s">
        <v>559</v>
      </c>
      <c r="BI23" s="1" t="s">
        <v>560</v>
      </c>
      <c r="BP23" s="1" t="s">
        <v>561</v>
      </c>
      <c r="BS23" s="1" t="s">
        <v>558</v>
      </c>
      <c r="BT23" s="1" t="s">
        <v>562</v>
      </c>
      <c r="BW23" s="1" t="s">
        <v>563</v>
      </c>
    </row>
    <row r="24" spans="7:75">
      <c r="G24" s="1" t="s">
        <v>564</v>
      </c>
      <c r="P24" s="1" t="s">
        <v>565</v>
      </c>
      <c r="W24" s="1" t="s">
        <v>453</v>
      </c>
      <c r="AA24" s="1" t="s">
        <v>566</v>
      </c>
      <c r="AL24" s="1" t="s">
        <v>567</v>
      </c>
      <c r="AY24" s="1" t="s">
        <v>568</v>
      </c>
      <c r="BI24" s="1" t="s">
        <v>569</v>
      </c>
      <c r="BP24" s="1" t="s">
        <v>570</v>
      </c>
      <c r="BS24" s="1" t="s">
        <v>567</v>
      </c>
      <c r="BT24" s="1" t="s">
        <v>571</v>
      </c>
      <c r="BW24" s="1" t="s">
        <v>572</v>
      </c>
    </row>
    <row r="25" spans="7:75">
      <c r="G25" s="1" t="s">
        <v>573</v>
      </c>
      <c r="P25" s="1" t="s">
        <v>574</v>
      </c>
      <c r="W25" s="1" t="s">
        <v>467</v>
      </c>
      <c r="AL25" s="1" t="s">
        <v>575</v>
      </c>
      <c r="AY25" s="1" t="s">
        <v>576</v>
      </c>
      <c r="BI25" s="1" t="s">
        <v>577</v>
      </c>
      <c r="BP25" s="1" t="s">
        <v>578</v>
      </c>
      <c r="BS25" s="1" t="s">
        <v>575</v>
      </c>
      <c r="BW25" s="1" t="s">
        <v>579</v>
      </c>
    </row>
    <row r="26" spans="7:75">
      <c r="G26" s="1" t="s">
        <v>580</v>
      </c>
      <c r="P26" s="1" t="s">
        <v>581</v>
      </c>
      <c r="W26" s="1" t="s">
        <v>481</v>
      </c>
      <c r="AL26" s="1" t="s">
        <v>582</v>
      </c>
      <c r="AY26" s="1" t="s">
        <v>98</v>
      </c>
      <c r="BI26" s="1" t="s">
        <v>583</v>
      </c>
      <c r="BP26" s="1" t="s">
        <v>584</v>
      </c>
      <c r="BS26" s="1" t="s">
        <v>582</v>
      </c>
      <c r="BW26" s="1" t="s">
        <v>585</v>
      </c>
    </row>
    <row r="27" spans="7:75">
      <c r="G27" s="1" t="s">
        <v>586</v>
      </c>
      <c r="P27" s="1" t="s">
        <v>587</v>
      </c>
      <c r="W27" s="1" t="s">
        <v>495</v>
      </c>
      <c r="AL27" s="1" t="s">
        <v>588</v>
      </c>
      <c r="AY27" s="1" t="s">
        <v>589</v>
      </c>
      <c r="BI27" s="1" t="s">
        <v>590</v>
      </c>
      <c r="BP27" s="1" t="s">
        <v>591</v>
      </c>
      <c r="BS27" s="1" t="s">
        <v>588</v>
      </c>
      <c r="BW27" s="1" t="s">
        <v>592</v>
      </c>
    </row>
    <row r="28" spans="7:75">
      <c r="G28" s="1" t="s">
        <v>593</v>
      </c>
      <c r="P28" s="1" t="s">
        <v>594</v>
      </c>
      <c r="W28" s="1" t="s">
        <v>509</v>
      </c>
      <c r="AL28" s="1" t="s">
        <v>595</v>
      </c>
      <c r="AY28" s="1" t="s">
        <v>596</v>
      </c>
      <c r="BI28" s="1" t="s">
        <v>597</v>
      </c>
      <c r="BP28" s="1" t="s">
        <v>598</v>
      </c>
      <c r="BS28" s="1" t="s">
        <v>595</v>
      </c>
      <c r="BW28" s="1" t="s">
        <v>599</v>
      </c>
    </row>
    <row r="29" spans="7:75">
      <c r="G29" s="1" t="s">
        <v>600</v>
      </c>
      <c r="P29" s="1" t="s">
        <v>601</v>
      </c>
      <c r="W29" s="1" t="s">
        <v>523</v>
      </c>
      <c r="AL29" s="1" t="s">
        <v>602</v>
      </c>
      <c r="AY29" s="1" t="s">
        <v>603</v>
      </c>
      <c r="BI29" s="1" t="s">
        <v>604</v>
      </c>
      <c r="BP29" s="1" t="s">
        <v>605</v>
      </c>
      <c r="BS29" s="1" t="s">
        <v>602</v>
      </c>
      <c r="BW29" s="1" t="s">
        <v>606</v>
      </c>
    </row>
    <row r="30" spans="7:75">
      <c r="G30" s="1" t="s">
        <v>607</v>
      </c>
      <c r="P30" s="1" t="s">
        <v>608</v>
      </c>
      <c r="W30" s="1" t="s">
        <v>536</v>
      </c>
      <c r="AL30" s="1" t="s">
        <v>609</v>
      </c>
      <c r="AY30" s="1" t="s">
        <v>610</v>
      </c>
      <c r="BI30" s="1" t="s">
        <v>611</v>
      </c>
      <c r="BP30" s="1" t="s">
        <v>612</v>
      </c>
      <c r="BS30" s="1" t="s">
        <v>609</v>
      </c>
      <c r="BW30" s="1" t="s">
        <v>613</v>
      </c>
    </row>
    <row r="31" spans="7:75">
      <c r="G31" s="1" t="s">
        <v>614</v>
      </c>
      <c r="P31" s="1" t="s">
        <v>615</v>
      </c>
      <c r="W31" s="1" t="s">
        <v>558</v>
      </c>
      <c r="AL31" s="1" t="s">
        <v>616</v>
      </c>
      <c r="AY31" s="1" t="s">
        <v>617</v>
      </c>
      <c r="BI31" s="1" t="s">
        <v>618</v>
      </c>
      <c r="BP31" s="1" t="s">
        <v>619</v>
      </c>
      <c r="BS31" s="1" t="s">
        <v>616</v>
      </c>
      <c r="BW31" s="1" t="s">
        <v>620</v>
      </c>
    </row>
    <row r="32" spans="7:75">
      <c r="G32" s="1" t="s">
        <v>621</v>
      </c>
      <c r="P32" s="1" t="s">
        <v>622</v>
      </c>
      <c r="W32" s="1" t="s">
        <v>582</v>
      </c>
      <c r="AL32" s="1" t="s">
        <v>623</v>
      </c>
      <c r="AY32" s="1" t="s">
        <v>624</v>
      </c>
      <c r="BI32" s="1" t="s">
        <v>625</v>
      </c>
      <c r="BP32" s="1" t="s">
        <v>626</v>
      </c>
      <c r="BS32" s="1" t="s">
        <v>623</v>
      </c>
      <c r="BW32" s="1" t="s">
        <v>627</v>
      </c>
    </row>
    <row r="33" spans="7:75">
      <c r="G33" s="1" t="s">
        <v>628</v>
      </c>
      <c r="P33" s="1" t="s">
        <v>629</v>
      </c>
      <c r="W33" s="1" t="s">
        <v>595</v>
      </c>
      <c r="AL33" s="1" t="s">
        <v>630</v>
      </c>
      <c r="AY33" s="1" t="s">
        <v>631</v>
      </c>
      <c r="BI33" s="1" t="s">
        <v>632</v>
      </c>
      <c r="BP33" s="1" t="s">
        <v>633</v>
      </c>
      <c r="BS33" s="1" t="s">
        <v>630</v>
      </c>
      <c r="BW33" s="1" t="s">
        <v>634</v>
      </c>
    </row>
    <row r="34" spans="7:75">
      <c r="G34" s="1" t="s">
        <v>635</v>
      </c>
      <c r="P34" s="1" t="s">
        <v>636</v>
      </c>
      <c r="W34" s="1" t="s">
        <v>602</v>
      </c>
      <c r="AL34" s="1" t="s">
        <v>637</v>
      </c>
      <c r="AY34" s="1" t="s">
        <v>638</v>
      </c>
      <c r="BI34" s="1" t="s">
        <v>639</v>
      </c>
      <c r="BP34" s="1" t="s">
        <v>640</v>
      </c>
      <c r="BS34" s="1" t="s">
        <v>637</v>
      </c>
      <c r="BW34" s="1" t="s">
        <v>641</v>
      </c>
    </row>
    <row r="35" spans="7:75">
      <c r="G35" s="1" t="s">
        <v>642</v>
      </c>
      <c r="P35" s="1" t="s">
        <v>643</v>
      </c>
      <c r="W35" s="1" t="s">
        <v>609</v>
      </c>
      <c r="AL35" s="1" t="s">
        <v>644</v>
      </c>
      <c r="AY35" s="1" t="s">
        <v>645</v>
      </c>
      <c r="BI35" s="1" t="s">
        <v>646</v>
      </c>
      <c r="BP35" s="1" t="s">
        <v>647</v>
      </c>
      <c r="BS35" s="1" t="s">
        <v>644</v>
      </c>
      <c r="BW35" s="1" t="s">
        <v>648</v>
      </c>
    </row>
    <row r="36" spans="7:75">
      <c r="G36" s="1" t="s">
        <v>649</v>
      </c>
      <c r="P36" s="1" t="s">
        <v>650</v>
      </c>
      <c r="W36" s="1" t="s">
        <v>616</v>
      </c>
      <c r="AL36" s="1" t="s">
        <v>651</v>
      </c>
      <c r="AY36" s="1" t="s">
        <v>652</v>
      </c>
      <c r="BI36" s="1" t="s">
        <v>653</v>
      </c>
      <c r="BP36" s="1" t="s">
        <v>654</v>
      </c>
      <c r="BS36" s="1" t="s">
        <v>651</v>
      </c>
      <c r="BW36" s="1" t="s">
        <v>655</v>
      </c>
    </row>
    <row r="37" spans="7:75">
      <c r="G37" s="1" t="s">
        <v>656</v>
      </c>
      <c r="W37" s="1" t="s">
        <v>657</v>
      </c>
      <c r="AL37" s="1" t="s">
        <v>658</v>
      </c>
      <c r="AY37" s="1" t="s">
        <v>659</v>
      </c>
      <c r="BI37" s="1" t="s">
        <v>660</v>
      </c>
      <c r="BP37" s="1" t="s">
        <v>661</v>
      </c>
      <c r="BS37" s="1" t="s">
        <v>658</v>
      </c>
      <c r="BW37" s="1" t="s">
        <v>662</v>
      </c>
    </row>
    <row r="38" spans="7:75">
      <c r="G38" s="1" t="s">
        <v>663</v>
      </c>
      <c r="W38" s="1" t="s">
        <v>664</v>
      </c>
      <c r="AL38" s="1" t="s">
        <v>665</v>
      </c>
      <c r="AY38" s="1" t="s">
        <v>666</v>
      </c>
      <c r="BI38" s="1" t="s">
        <v>667</v>
      </c>
      <c r="BP38" s="1" t="s">
        <v>668</v>
      </c>
      <c r="BS38" s="1" t="s">
        <v>665</v>
      </c>
      <c r="BW38" s="1" t="s">
        <v>669</v>
      </c>
    </row>
    <row r="39" spans="7:75">
      <c r="G39" s="1" t="s">
        <v>670</v>
      </c>
      <c r="W39" s="1" t="s">
        <v>671</v>
      </c>
      <c r="AL39" s="1" t="s">
        <v>672</v>
      </c>
      <c r="AY39" s="1" t="s">
        <v>673</v>
      </c>
      <c r="BI39" s="1" t="s">
        <v>674</v>
      </c>
      <c r="BP39" s="1" t="s">
        <v>675</v>
      </c>
      <c r="BS39" s="1" t="s">
        <v>672</v>
      </c>
      <c r="BW39" s="1" t="s">
        <v>676</v>
      </c>
    </row>
    <row r="40" spans="7:75">
      <c r="G40" s="1" t="s">
        <v>677</v>
      </c>
      <c r="W40" s="1" t="s">
        <v>678</v>
      </c>
      <c r="AL40" s="1" t="s">
        <v>679</v>
      </c>
      <c r="AY40" s="1" t="s">
        <v>680</v>
      </c>
      <c r="BI40" s="1" t="s">
        <v>681</v>
      </c>
      <c r="BP40" s="1" t="s">
        <v>682</v>
      </c>
      <c r="BS40" s="1" t="s">
        <v>679</v>
      </c>
      <c r="BW40" s="1" t="s">
        <v>683</v>
      </c>
    </row>
    <row r="41" spans="7:75">
      <c r="G41" s="1" t="s">
        <v>684</v>
      </c>
      <c r="W41" s="1" t="s">
        <v>685</v>
      </c>
      <c r="AL41" s="1" t="s">
        <v>686</v>
      </c>
      <c r="AY41" s="1" t="s">
        <v>687</v>
      </c>
      <c r="BI41" s="1" t="s">
        <v>688</v>
      </c>
      <c r="BP41" s="1" t="s">
        <v>689</v>
      </c>
      <c r="BS41" s="1" t="s">
        <v>686</v>
      </c>
      <c r="BW41" s="1" t="s">
        <v>690</v>
      </c>
    </row>
    <row r="42" spans="7:75">
      <c r="G42" s="1" t="s">
        <v>691</v>
      </c>
      <c r="W42" s="1" t="s">
        <v>692</v>
      </c>
      <c r="AL42" s="1" t="s">
        <v>693</v>
      </c>
      <c r="AY42" s="1" t="s">
        <v>694</v>
      </c>
      <c r="BI42" s="1" t="s">
        <v>695</v>
      </c>
      <c r="BP42" s="1" t="s">
        <v>696</v>
      </c>
      <c r="BS42" s="1" t="s">
        <v>693</v>
      </c>
      <c r="BW42" s="1" t="s">
        <v>697</v>
      </c>
    </row>
    <row r="43" spans="7:75">
      <c r="G43" s="1" t="s">
        <v>698</v>
      </c>
      <c r="W43" s="1" t="s">
        <v>699</v>
      </c>
      <c r="AL43" s="1" t="s">
        <v>700</v>
      </c>
      <c r="AY43" s="1" t="s">
        <v>701</v>
      </c>
      <c r="BI43" s="1" t="s">
        <v>702</v>
      </c>
      <c r="BP43" s="1" t="s">
        <v>703</v>
      </c>
      <c r="BS43" s="1" t="s">
        <v>700</v>
      </c>
      <c r="BW43" s="1" t="s">
        <v>704</v>
      </c>
    </row>
    <row r="44" spans="7:75">
      <c r="G44" s="1" t="s">
        <v>705</v>
      </c>
      <c r="W44" s="1" t="s">
        <v>706</v>
      </c>
      <c r="AL44" s="1" t="s">
        <v>707</v>
      </c>
      <c r="AY44" s="1" t="s">
        <v>708</v>
      </c>
      <c r="BI44" s="1" t="s">
        <v>709</v>
      </c>
      <c r="BP44" s="1" t="s">
        <v>710</v>
      </c>
      <c r="BS44" s="1" t="s">
        <v>707</v>
      </c>
      <c r="BW44" s="1" t="s">
        <v>711</v>
      </c>
    </row>
    <row r="45" spans="7:75">
      <c r="G45" s="1" t="s">
        <v>712</v>
      </c>
      <c r="W45" s="1" t="s">
        <v>713</v>
      </c>
      <c r="AL45" s="1" t="s">
        <v>714</v>
      </c>
      <c r="AY45" s="1" t="s">
        <v>715</v>
      </c>
      <c r="BI45" s="1" t="s">
        <v>716</v>
      </c>
      <c r="BP45" s="1" t="s">
        <v>717</v>
      </c>
      <c r="BS45" s="1" t="s">
        <v>714</v>
      </c>
      <c r="BW45" s="1" t="s">
        <v>718</v>
      </c>
    </row>
    <row r="46" spans="7:75">
      <c r="G46" s="1" t="s">
        <v>719</v>
      </c>
      <c r="W46" s="1" t="s">
        <v>720</v>
      </c>
      <c r="AL46" s="1" t="s">
        <v>721</v>
      </c>
      <c r="AY46" s="1" t="s">
        <v>722</v>
      </c>
      <c r="BI46" s="1" t="s">
        <v>723</v>
      </c>
      <c r="BP46" s="1" t="s">
        <v>724</v>
      </c>
      <c r="BS46" s="1" t="s">
        <v>721</v>
      </c>
      <c r="BW46" s="1" t="s">
        <v>725</v>
      </c>
    </row>
    <row r="47" spans="7:75">
      <c r="G47" s="1" t="s">
        <v>726</v>
      </c>
      <c r="W47" s="1" t="s">
        <v>727</v>
      </c>
      <c r="AL47" s="1" t="s">
        <v>728</v>
      </c>
      <c r="AY47" s="1" t="s">
        <v>729</v>
      </c>
      <c r="BI47" s="1" t="s">
        <v>730</v>
      </c>
      <c r="BP47" s="1" t="s">
        <v>731</v>
      </c>
      <c r="BS47" s="1" t="s">
        <v>728</v>
      </c>
      <c r="BW47" s="1" t="s">
        <v>732</v>
      </c>
    </row>
    <row r="48" spans="7:75">
      <c r="G48" s="1" t="s">
        <v>733</v>
      </c>
      <c r="W48" s="1" t="s">
        <v>734</v>
      </c>
      <c r="AL48" s="1" t="s">
        <v>735</v>
      </c>
      <c r="AY48" s="1" t="s">
        <v>736</v>
      </c>
      <c r="BI48" s="1" t="s">
        <v>737</v>
      </c>
      <c r="BP48" s="1" t="s">
        <v>738</v>
      </c>
      <c r="BS48" s="1" t="s">
        <v>735</v>
      </c>
      <c r="BW48" s="1" t="s">
        <v>739</v>
      </c>
    </row>
    <row r="49" spans="7:75">
      <c r="G49" s="1" t="s">
        <v>740</v>
      </c>
      <c r="W49" s="1" t="s">
        <v>741</v>
      </c>
      <c r="AL49" s="1" t="s">
        <v>742</v>
      </c>
      <c r="AY49" s="1" t="s">
        <v>743</v>
      </c>
      <c r="BI49" s="1" t="s">
        <v>744</v>
      </c>
      <c r="BP49" s="1" t="s">
        <v>745</v>
      </c>
      <c r="BS49" s="1" t="s">
        <v>742</v>
      </c>
      <c r="BW49" s="1" t="s">
        <v>746</v>
      </c>
    </row>
    <row r="50" spans="7:75">
      <c r="G50" s="1" t="s">
        <v>747</v>
      </c>
      <c r="W50" s="1" t="s">
        <v>748</v>
      </c>
      <c r="AL50" s="1" t="s">
        <v>749</v>
      </c>
      <c r="AY50" s="1" t="s">
        <v>750</v>
      </c>
      <c r="BI50" s="1" t="s">
        <v>751</v>
      </c>
      <c r="BP50" s="1" t="s">
        <v>752</v>
      </c>
      <c r="BS50" s="1" t="s">
        <v>749</v>
      </c>
      <c r="BW50" s="1" t="s">
        <v>753</v>
      </c>
    </row>
    <row r="51" spans="7:75">
      <c r="G51" s="1" t="s">
        <v>754</v>
      </c>
      <c r="W51" s="1" t="s">
        <v>755</v>
      </c>
      <c r="AL51" s="1" t="s">
        <v>756</v>
      </c>
      <c r="AY51" s="1" t="s">
        <v>757</v>
      </c>
      <c r="BI51" s="1" t="s">
        <v>758</v>
      </c>
      <c r="BP51" s="1" t="s">
        <v>759</v>
      </c>
      <c r="BS51" s="1" t="s">
        <v>756</v>
      </c>
      <c r="BW51" s="1" t="s">
        <v>760</v>
      </c>
    </row>
    <row r="52" spans="7:75">
      <c r="G52" s="1" t="s">
        <v>761</v>
      </c>
      <c r="AL52" s="1" t="s">
        <v>762</v>
      </c>
      <c r="BI52" s="1" t="s">
        <v>763</v>
      </c>
      <c r="BP52" s="1" t="s">
        <v>764</v>
      </c>
      <c r="BS52" s="1" t="s">
        <v>762</v>
      </c>
      <c r="BW52" s="1" t="s">
        <v>765</v>
      </c>
    </row>
    <row r="53" spans="7:75">
      <c r="G53" s="1" t="s">
        <v>766</v>
      </c>
      <c r="AL53" s="1" t="s">
        <v>767</v>
      </c>
      <c r="BI53" s="1" t="s">
        <v>768</v>
      </c>
      <c r="BP53" s="1" t="s">
        <v>769</v>
      </c>
      <c r="BS53" s="1" t="s">
        <v>767</v>
      </c>
      <c r="BW53" s="1" t="s">
        <v>770</v>
      </c>
    </row>
    <row r="54" spans="7:75">
      <c r="G54" s="1" t="s">
        <v>771</v>
      </c>
      <c r="AL54" s="1" t="s">
        <v>772</v>
      </c>
      <c r="BI54" s="1" t="s">
        <v>773</v>
      </c>
      <c r="BP54" s="1" t="s">
        <v>774</v>
      </c>
      <c r="BS54" s="1" t="s">
        <v>772</v>
      </c>
      <c r="BW54" s="1" t="s">
        <v>775</v>
      </c>
    </row>
    <row r="55" spans="7:75">
      <c r="G55" s="1" t="s">
        <v>776</v>
      </c>
      <c r="AL55" s="1" t="s">
        <v>777</v>
      </c>
      <c r="BI55" s="1" t="s">
        <v>778</v>
      </c>
      <c r="BP55" s="1" t="s">
        <v>779</v>
      </c>
      <c r="BS55" s="1" t="s">
        <v>777</v>
      </c>
      <c r="BW55" s="1" t="s">
        <v>780</v>
      </c>
    </row>
    <row r="56" spans="7:75">
      <c r="G56" s="1" t="s">
        <v>781</v>
      </c>
      <c r="AL56" s="1" t="s">
        <v>782</v>
      </c>
      <c r="BI56" s="1" t="s">
        <v>783</v>
      </c>
      <c r="BP56" s="1" t="s">
        <v>784</v>
      </c>
      <c r="BS56" s="1" t="s">
        <v>782</v>
      </c>
      <c r="BW56" s="1" t="s">
        <v>785</v>
      </c>
    </row>
    <row r="57" spans="7:75">
      <c r="G57" s="1" t="s">
        <v>786</v>
      </c>
      <c r="AL57" s="1" t="s">
        <v>787</v>
      </c>
      <c r="BI57" s="1" t="s">
        <v>788</v>
      </c>
      <c r="BP57" s="1" t="s">
        <v>789</v>
      </c>
      <c r="BS57" s="1" t="s">
        <v>787</v>
      </c>
      <c r="BW57" s="1" t="s">
        <v>790</v>
      </c>
    </row>
    <row r="58" spans="7:75">
      <c r="G58" s="1" t="s">
        <v>791</v>
      </c>
      <c r="AL58" s="1" t="s">
        <v>792</v>
      </c>
      <c r="BI58" s="1" t="s">
        <v>793</v>
      </c>
      <c r="BP58" s="1" t="s">
        <v>794</v>
      </c>
      <c r="BS58" s="1" t="s">
        <v>792</v>
      </c>
      <c r="BW58" s="1" t="s">
        <v>795</v>
      </c>
    </row>
    <row r="59" spans="7:75">
      <c r="G59" s="1" t="s">
        <v>796</v>
      </c>
      <c r="AL59" s="1" t="s">
        <v>296</v>
      </c>
      <c r="BI59" s="1" t="s">
        <v>797</v>
      </c>
      <c r="BP59" s="1" t="s">
        <v>798</v>
      </c>
      <c r="BS59" s="1" t="s">
        <v>296</v>
      </c>
      <c r="BW59" s="1" t="s">
        <v>799</v>
      </c>
    </row>
    <row r="60" spans="7:75">
      <c r="G60" s="1" t="s">
        <v>800</v>
      </c>
      <c r="AL60" s="1" t="s">
        <v>801</v>
      </c>
      <c r="BI60" s="1" t="s">
        <v>802</v>
      </c>
      <c r="BP60" s="1" t="s">
        <v>803</v>
      </c>
      <c r="BS60" s="1" t="s">
        <v>801</v>
      </c>
      <c r="BW60" s="1" t="s">
        <v>804</v>
      </c>
    </row>
    <row r="61" spans="7:75">
      <c r="G61" s="1" t="s">
        <v>805</v>
      </c>
      <c r="AL61" s="1" t="s">
        <v>806</v>
      </c>
      <c r="BI61" s="1" t="s">
        <v>807</v>
      </c>
      <c r="BP61" s="1" t="s">
        <v>808</v>
      </c>
      <c r="BS61" s="1" t="s">
        <v>806</v>
      </c>
      <c r="BW61" s="1" t="s">
        <v>809</v>
      </c>
    </row>
    <row r="62" spans="7:75">
      <c r="G62" s="1" t="s">
        <v>810</v>
      </c>
      <c r="AL62" s="1" t="s">
        <v>811</v>
      </c>
      <c r="BI62" s="1" t="s">
        <v>812</v>
      </c>
      <c r="BP62" s="1" t="s">
        <v>813</v>
      </c>
      <c r="BS62" s="1" t="s">
        <v>811</v>
      </c>
      <c r="BW62" s="1" t="s">
        <v>814</v>
      </c>
    </row>
    <row r="63" spans="7:75">
      <c r="G63" s="1" t="s">
        <v>815</v>
      </c>
      <c r="AL63" s="1" t="s">
        <v>816</v>
      </c>
      <c r="BI63" s="1" t="s">
        <v>817</v>
      </c>
      <c r="BP63" s="1" t="s">
        <v>818</v>
      </c>
      <c r="BS63" s="1" t="s">
        <v>816</v>
      </c>
      <c r="BW63" s="1" t="s">
        <v>819</v>
      </c>
    </row>
    <row r="64" spans="7:75">
      <c r="G64" s="1" t="s">
        <v>820</v>
      </c>
      <c r="AL64" s="1" t="s">
        <v>821</v>
      </c>
      <c r="BI64" s="1" t="s">
        <v>822</v>
      </c>
      <c r="BP64" s="1" t="s">
        <v>823</v>
      </c>
      <c r="BS64" s="1" t="s">
        <v>821</v>
      </c>
      <c r="BW64" s="1" t="s">
        <v>824</v>
      </c>
    </row>
    <row r="65" spans="7:75">
      <c r="G65" s="1" t="s">
        <v>825</v>
      </c>
      <c r="AL65" s="1" t="s">
        <v>826</v>
      </c>
      <c r="BI65" s="1" t="s">
        <v>827</v>
      </c>
      <c r="BP65" s="1" t="s">
        <v>828</v>
      </c>
      <c r="BS65" s="1" t="s">
        <v>826</v>
      </c>
      <c r="BW65" s="1" t="s">
        <v>829</v>
      </c>
    </row>
    <row r="66" spans="7:75">
      <c r="G66" s="1" t="s">
        <v>830</v>
      </c>
      <c r="AL66" s="1" t="s">
        <v>831</v>
      </c>
      <c r="BI66" s="1" t="s">
        <v>832</v>
      </c>
      <c r="BP66" s="1" t="s">
        <v>833</v>
      </c>
      <c r="BS66" s="1" t="s">
        <v>831</v>
      </c>
      <c r="BW66" s="1" t="s">
        <v>834</v>
      </c>
    </row>
    <row r="67" spans="7:75">
      <c r="G67" s="1" t="s">
        <v>835</v>
      </c>
      <c r="AL67" s="1" t="s">
        <v>836</v>
      </c>
      <c r="BI67" s="1" t="s">
        <v>837</v>
      </c>
      <c r="BP67" s="1" t="s">
        <v>838</v>
      </c>
      <c r="BS67" s="1" t="s">
        <v>836</v>
      </c>
      <c r="BW67" s="1" t="s">
        <v>839</v>
      </c>
    </row>
    <row r="68" spans="7:75">
      <c r="G68" s="1" t="s">
        <v>840</v>
      </c>
      <c r="AL68" s="1" t="s">
        <v>841</v>
      </c>
      <c r="BI68" s="1" t="s">
        <v>842</v>
      </c>
      <c r="BP68" s="1" t="s">
        <v>843</v>
      </c>
      <c r="BS68" s="1" t="s">
        <v>841</v>
      </c>
      <c r="BW68" s="1" t="s">
        <v>844</v>
      </c>
    </row>
    <row r="69" spans="7:75">
      <c r="G69" s="1" t="s">
        <v>845</v>
      </c>
      <c r="AL69" s="1" t="s">
        <v>846</v>
      </c>
      <c r="BI69" s="1" t="s">
        <v>847</v>
      </c>
      <c r="BP69" s="1" t="s">
        <v>848</v>
      </c>
      <c r="BS69" s="1" t="s">
        <v>846</v>
      </c>
      <c r="BW69" s="1" t="s">
        <v>849</v>
      </c>
    </row>
    <row r="70" spans="7:75">
      <c r="G70" s="1" t="s">
        <v>850</v>
      </c>
      <c r="AL70" s="1" t="s">
        <v>851</v>
      </c>
      <c r="BI70" s="1" t="s">
        <v>852</v>
      </c>
      <c r="BP70" s="1" t="s">
        <v>853</v>
      </c>
      <c r="BS70" s="1" t="s">
        <v>851</v>
      </c>
      <c r="BW70" s="1" t="s">
        <v>854</v>
      </c>
    </row>
    <row r="71" spans="7:75">
      <c r="G71" s="1" t="s">
        <v>855</v>
      </c>
      <c r="AL71" s="1" t="s">
        <v>856</v>
      </c>
      <c r="BI71" s="1" t="s">
        <v>857</v>
      </c>
      <c r="BP71" s="1" t="s">
        <v>858</v>
      </c>
      <c r="BS71" s="1" t="s">
        <v>856</v>
      </c>
      <c r="BW71" s="1" t="s">
        <v>859</v>
      </c>
    </row>
    <row r="72" spans="7:75">
      <c r="G72" s="1" t="s">
        <v>860</v>
      </c>
      <c r="AL72" s="1" t="s">
        <v>861</v>
      </c>
      <c r="BI72" s="1" t="s">
        <v>862</v>
      </c>
      <c r="BP72" s="1" t="s">
        <v>863</v>
      </c>
      <c r="BS72" s="1" t="s">
        <v>861</v>
      </c>
      <c r="BW72" s="1" t="s">
        <v>864</v>
      </c>
    </row>
    <row r="73" spans="7:75">
      <c r="G73" s="1" t="s">
        <v>865</v>
      </c>
      <c r="AL73" s="1" t="s">
        <v>866</v>
      </c>
      <c r="BI73" s="1" t="s">
        <v>867</v>
      </c>
      <c r="BS73" s="1" t="s">
        <v>866</v>
      </c>
      <c r="BW73" s="1" t="s">
        <v>868</v>
      </c>
    </row>
    <row r="74" spans="7:75">
      <c r="G74" s="1" t="s">
        <v>869</v>
      </c>
      <c r="AL74" s="1" t="s">
        <v>870</v>
      </c>
      <c r="BI74" s="1" t="s">
        <v>871</v>
      </c>
      <c r="BS74" s="1" t="s">
        <v>870</v>
      </c>
      <c r="BW74" s="1" t="s">
        <v>872</v>
      </c>
    </row>
    <row r="75" spans="7:75">
      <c r="G75" s="1" t="s">
        <v>873</v>
      </c>
      <c r="AL75" s="1" t="s">
        <v>874</v>
      </c>
      <c r="BI75" s="1" t="s">
        <v>875</v>
      </c>
      <c r="BS75" s="1" t="s">
        <v>874</v>
      </c>
      <c r="BW75" s="1" t="s">
        <v>876</v>
      </c>
    </row>
    <row r="76" spans="7:75">
      <c r="G76" s="1" t="s">
        <v>877</v>
      </c>
      <c r="AL76" s="1" t="s">
        <v>878</v>
      </c>
      <c r="BI76" s="1" t="s">
        <v>879</v>
      </c>
      <c r="BS76" s="1" t="s">
        <v>878</v>
      </c>
      <c r="BW76" s="1" t="s">
        <v>880</v>
      </c>
    </row>
    <row r="77" spans="7:75">
      <c r="G77" s="1" t="s">
        <v>881</v>
      </c>
      <c r="AL77" s="1" t="s">
        <v>882</v>
      </c>
      <c r="BI77" s="1" t="s">
        <v>883</v>
      </c>
      <c r="BS77" s="1" t="s">
        <v>882</v>
      </c>
      <c r="BW77" s="1" t="s">
        <v>884</v>
      </c>
    </row>
    <row r="78" spans="7:75">
      <c r="G78" s="1" t="s">
        <v>885</v>
      </c>
      <c r="AL78" s="1" t="s">
        <v>886</v>
      </c>
      <c r="BI78" s="1" t="s">
        <v>887</v>
      </c>
      <c r="BS78" s="1" t="s">
        <v>886</v>
      </c>
      <c r="BW78" s="1" t="s">
        <v>888</v>
      </c>
    </row>
    <row r="79" spans="7:75">
      <c r="G79" s="1" t="s">
        <v>889</v>
      </c>
      <c r="AL79" s="1" t="s">
        <v>890</v>
      </c>
      <c r="BI79" s="1" t="s">
        <v>891</v>
      </c>
      <c r="BS79" s="1" t="s">
        <v>890</v>
      </c>
      <c r="BW79" s="1" t="s">
        <v>892</v>
      </c>
    </row>
    <row r="80" spans="7:75">
      <c r="G80" s="1" t="s">
        <v>893</v>
      </c>
      <c r="AL80" s="1" t="s">
        <v>894</v>
      </c>
      <c r="BI80" s="1" t="s">
        <v>895</v>
      </c>
      <c r="BS80" s="1" t="s">
        <v>894</v>
      </c>
      <c r="BW80" s="1" t="s">
        <v>896</v>
      </c>
    </row>
    <row r="81" spans="7:75">
      <c r="G81" s="1" t="s">
        <v>897</v>
      </c>
      <c r="AL81" s="1" t="s">
        <v>898</v>
      </c>
      <c r="BI81" s="1" t="s">
        <v>899</v>
      </c>
      <c r="BS81" s="1" t="s">
        <v>898</v>
      </c>
      <c r="BW81" s="1" t="s">
        <v>900</v>
      </c>
    </row>
    <row r="82" spans="7:75">
      <c r="G82" s="1" t="s">
        <v>901</v>
      </c>
      <c r="AL82" s="1" t="s">
        <v>902</v>
      </c>
      <c r="BI82" s="1" t="s">
        <v>903</v>
      </c>
      <c r="BS82" s="1" t="s">
        <v>902</v>
      </c>
      <c r="BW82" s="1" t="s">
        <v>904</v>
      </c>
    </row>
    <row r="83" spans="7:75">
      <c r="G83" s="1" t="s">
        <v>905</v>
      </c>
      <c r="AL83" s="1" t="s">
        <v>906</v>
      </c>
      <c r="BI83" s="1" t="s">
        <v>907</v>
      </c>
      <c r="BS83" s="1" t="s">
        <v>906</v>
      </c>
      <c r="BW83" s="1" t="s">
        <v>908</v>
      </c>
    </row>
    <row r="84" spans="7:75">
      <c r="G84" s="1" t="s">
        <v>909</v>
      </c>
      <c r="AL84" s="1" t="s">
        <v>910</v>
      </c>
      <c r="BI84" s="1" t="s">
        <v>911</v>
      </c>
      <c r="BS84" s="1" t="s">
        <v>910</v>
      </c>
      <c r="BW84" s="1" t="s">
        <v>912</v>
      </c>
    </row>
    <row r="85" spans="7:75">
      <c r="G85" s="1" t="s">
        <v>913</v>
      </c>
      <c r="AL85" s="1" t="s">
        <v>914</v>
      </c>
      <c r="BI85" s="1" t="s">
        <v>915</v>
      </c>
      <c r="BS85" s="1" t="s">
        <v>914</v>
      </c>
      <c r="BW85" s="1" t="s">
        <v>916</v>
      </c>
    </row>
    <row r="86" spans="7:75">
      <c r="G86" s="1" t="s">
        <v>917</v>
      </c>
      <c r="AL86" s="1" t="s">
        <v>918</v>
      </c>
      <c r="BI86" s="1" t="s">
        <v>919</v>
      </c>
      <c r="BS86" s="1" t="s">
        <v>918</v>
      </c>
      <c r="BW86" s="1" t="s">
        <v>920</v>
      </c>
    </row>
    <row r="87" spans="7:75">
      <c r="G87" s="1" t="s">
        <v>921</v>
      </c>
      <c r="AL87" s="1" t="s">
        <v>922</v>
      </c>
      <c r="BI87" s="1" t="s">
        <v>923</v>
      </c>
      <c r="BS87" s="1" t="s">
        <v>922</v>
      </c>
      <c r="BW87" s="1" t="s">
        <v>924</v>
      </c>
    </row>
    <row r="88" spans="7:75">
      <c r="G88" s="1" t="s">
        <v>925</v>
      </c>
      <c r="AL88" s="1" t="s">
        <v>657</v>
      </c>
      <c r="BI88" s="1" t="s">
        <v>926</v>
      </c>
      <c r="BS88" s="1" t="s">
        <v>657</v>
      </c>
      <c r="BW88" s="1" t="s">
        <v>927</v>
      </c>
    </row>
    <row r="89" spans="7:75">
      <c r="G89" s="1" t="s">
        <v>928</v>
      </c>
      <c r="AL89" s="1" t="s">
        <v>664</v>
      </c>
      <c r="BI89" s="1" t="s">
        <v>929</v>
      </c>
      <c r="BS89" s="1" t="s">
        <v>664</v>
      </c>
      <c r="BW89" s="1" t="s">
        <v>930</v>
      </c>
    </row>
    <row r="90" spans="7:75">
      <c r="G90" s="1" t="s">
        <v>931</v>
      </c>
      <c r="AL90" s="1" t="s">
        <v>671</v>
      </c>
      <c r="BI90" s="1" t="s">
        <v>932</v>
      </c>
      <c r="BS90" s="1" t="s">
        <v>671</v>
      </c>
      <c r="BW90" s="1" t="s">
        <v>933</v>
      </c>
    </row>
    <row r="91" spans="7:75">
      <c r="G91" s="1" t="s">
        <v>934</v>
      </c>
      <c r="AL91" s="1" t="s">
        <v>678</v>
      </c>
      <c r="BI91" s="1" t="s">
        <v>935</v>
      </c>
      <c r="BS91" s="1" t="s">
        <v>678</v>
      </c>
      <c r="BW91" s="1" t="s">
        <v>936</v>
      </c>
    </row>
    <row r="92" spans="7:75">
      <c r="G92" s="1" t="s">
        <v>937</v>
      </c>
      <c r="AL92" s="1" t="s">
        <v>685</v>
      </c>
      <c r="BI92" s="1" t="s">
        <v>938</v>
      </c>
      <c r="BS92" s="1" t="s">
        <v>685</v>
      </c>
      <c r="BW92" s="1" t="s">
        <v>939</v>
      </c>
    </row>
    <row r="93" spans="7:75">
      <c r="G93" s="1" t="s">
        <v>940</v>
      </c>
      <c r="AL93" s="1" t="s">
        <v>692</v>
      </c>
      <c r="BI93" s="1" t="s">
        <v>941</v>
      </c>
      <c r="BS93" s="1" t="s">
        <v>692</v>
      </c>
      <c r="BW93" s="1" t="s">
        <v>942</v>
      </c>
    </row>
    <row r="94" spans="7:75">
      <c r="G94" s="1" t="s">
        <v>943</v>
      </c>
      <c r="AL94" s="1" t="s">
        <v>699</v>
      </c>
      <c r="BI94" s="1" t="s">
        <v>944</v>
      </c>
      <c r="BS94" s="1" t="s">
        <v>699</v>
      </c>
      <c r="BW94" s="1" t="s">
        <v>945</v>
      </c>
    </row>
    <row r="95" spans="7:75">
      <c r="G95" s="1" t="s">
        <v>946</v>
      </c>
      <c r="AL95" s="1" t="s">
        <v>706</v>
      </c>
      <c r="BI95" s="1" t="s">
        <v>947</v>
      </c>
      <c r="BS95" s="1" t="s">
        <v>706</v>
      </c>
      <c r="BW95" s="1" t="s">
        <v>948</v>
      </c>
    </row>
    <row r="96" spans="7:75">
      <c r="G96" s="1" t="s">
        <v>949</v>
      </c>
      <c r="AL96" s="1" t="s">
        <v>713</v>
      </c>
      <c r="BI96" s="1" t="s">
        <v>950</v>
      </c>
      <c r="BS96" s="1" t="s">
        <v>713</v>
      </c>
      <c r="BW96" s="1" t="s">
        <v>951</v>
      </c>
    </row>
    <row r="97" spans="7:75">
      <c r="G97" s="1" t="s">
        <v>952</v>
      </c>
      <c r="AL97" s="1" t="s">
        <v>720</v>
      </c>
      <c r="BI97" s="1" t="s">
        <v>953</v>
      </c>
      <c r="BS97" s="1" t="s">
        <v>720</v>
      </c>
      <c r="BW97" s="1" t="s">
        <v>954</v>
      </c>
    </row>
    <row r="98" spans="7:75">
      <c r="G98" s="1" t="s">
        <v>955</v>
      </c>
      <c r="AL98" s="1" t="s">
        <v>727</v>
      </c>
      <c r="BI98" s="1" t="s">
        <v>956</v>
      </c>
      <c r="BS98" s="1" t="s">
        <v>727</v>
      </c>
      <c r="BW98" s="1" t="s">
        <v>957</v>
      </c>
    </row>
    <row r="99" spans="7:75">
      <c r="G99" s="1" t="s">
        <v>958</v>
      </c>
      <c r="AL99" s="1" t="s">
        <v>734</v>
      </c>
      <c r="BI99" s="1" t="s">
        <v>959</v>
      </c>
      <c r="BS99" s="1" t="s">
        <v>734</v>
      </c>
      <c r="BW99" s="1" t="s">
        <v>960</v>
      </c>
    </row>
    <row r="100" spans="7:75">
      <c r="G100" s="1" t="s">
        <v>961</v>
      </c>
      <c r="AL100" s="1" t="s">
        <v>741</v>
      </c>
      <c r="BI100" s="1" t="s">
        <v>962</v>
      </c>
      <c r="BS100" s="1" t="s">
        <v>741</v>
      </c>
      <c r="BW100" s="1" t="s">
        <v>963</v>
      </c>
    </row>
    <row r="101" spans="7:75">
      <c r="G101" s="1" t="s">
        <v>964</v>
      </c>
      <c r="AL101" s="1" t="s">
        <v>748</v>
      </c>
      <c r="BI101" s="1" t="s">
        <v>965</v>
      </c>
      <c r="BS101" s="1" t="s">
        <v>748</v>
      </c>
      <c r="BW101" s="1" t="s">
        <v>966</v>
      </c>
    </row>
    <row r="102" spans="7:75">
      <c r="G102" s="1" t="s">
        <v>967</v>
      </c>
      <c r="AL102" s="1" t="s">
        <v>755</v>
      </c>
      <c r="BI102" s="1" t="s">
        <v>968</v>
      </c>
      <c r="BS102" s="1" t="s">
        <v>755</v>
      </c>
      <c r="BW102" s="1" t="s">
        <v>969</v>
      </c>
    </row>
    <row r="103" spans="7:75">
      <c r="G103" s="1" t="s">
        <v>970</v>
      </c>
      <c r="AL103" s="1" t="s">
        <v>971</v>
      </c>
      <c r="BI103" s="1" t="s">
        <v>972</v>
      </c>
      <c r="BS103" s="1" t="s">
        <v>971</v>
      </c>
      <c r="BW103" s="1" t="s">
        <v>973</v>
      </c>
    </row>
    <row r="104" spans="7:75">
      <c r="G104" s="1" t="s">
        <v>974</v>
      </c>
      <c r="AL104" s="1" t="s">
        <v>975</v>
      </c>
      <c r="BI104" s="1" t="s">
        <v>976</v>
      </c>
      <c r="BS104" s="1" t="s">
        <v>975</v>
      </c>
      <c r="BW104" s="1" t="s">
        <v>977</v>
      </c>
    </row>
    <row r="105" spans="7:75">
      <c r="G105" s="1" t="s">
        <v>978</v>
      </c>
      <c r="BI105" s="1" t="s">
        <v>979</v>
      </c>
      <c r="BW105" s="1" t="s">
        <v>980</v>
      </c>
    </row>
    <row r="106" spans="7:75">
      <c r="G106" s="1" t="s">
        <v>981</v>
      </c>
      <c r="BI106" s="1" t="s">
        <v>982</v>
      </c>
      <c r="BW106" s="1" t="s">
        <v>983</v>
      </c>
    </row>
    <row r="107" spans="7:75">
      <c r="G107" s="1" t="s">
        <v>984</v>
      </c>
      <c r="BI107" s="1" t="s">
        <v>985</v>
      </c>
      <c r="BW107" s="1" t="s">
        <v>986</v>
      </c>
    </row>
    <row r="108" spans="7:75">
      <c r="G108" s="1" t="s">
        <v>987</v>
      </c>
      <c r="BI108" s="1" t="s">
        <v>988</v>
      </c>
      <c r="BW108" s="1" t="s">
        <v>989</v>
      </c>
    </row>
    <row r="109" spans="7:75">
      <c r="G109" s="1" t="s">
        <v>990</v>
      </c>
      <c r="BI109" s="1" t="s">
        <v>991</v>
      </c>
      <c r="BW109" s="1" t="s">
        <v>992</v>
      </c>
    </row>
    <row r="110" spans="7:75">
      <c r="G110" s="1" t="s">
        <v>993</v>
      </c>
      <c r="BI110" s="1" t="s">
        <v>994</v>
      </c>
      <c r="BW110" s="1" t="s">
        <v>995</v>
      </c>
    </row>
    <row r="111" spans="7:75">
      <c r="G111" s="1" t="s">
        <v>996</v>
      </c>
      <c r="BI111" s="1" t="s">
        <v>997</v>
      </c>
      <c r="BW111" s="1" t="s">
        <v>998</v>
      </c>
    </row>
    <row r="112" spans="7:75">
      <c r="G112" s="1" t="s">
        <v>999</v>
      </c>
      <c r="BI112" s="1" t="s">
        <v>1000</v>
      </c>
      <c r="BW112" s="1" t="s">
        <v>1001</v>
      </c>
    </row>
    <row r="113" spans="7:75">
      <c r="G113" s="1" t="s">
        <v>1002</v>
      </c>
      <c r="BI113" s="1" t="s">
        <v>1003</v>
      </c>
      <c r="BW113" s="1" t="s">
        <v>1004</v>
      </c>
    </row>
    <row r="114" spans="7:75">
      <c r="G114" s="1" t="s">
        <v>1005</v>
      </c>
      <c r="BI114" s="1" t="s">
        <v>1006</v>
      </c>
      <c r="BW114" s="1" t="s">
        <v>1007</v>
      </c>
    </row>
    <row r="115" spans="7:75">
      <c r="G115" s="1" t="s">
        <v>1008</v>
      </c>
      <c r="BI115" s="1" t="s">
        <v>1009</v>
      </c>
      <c r="BW115" s="1" t="s">
        <v>1010</v>
      </c>
    </row>
    <row r="116" spans="7:75">
      <c r="G116" s="1" t="s">
        <v>1011</v>
      </c>
      <c r="BI116" s="1" t="s">
        <v>1012</v>
      </c>
      <c r="BW116" s="1" t="s">
        <v>1013</v>
      </c>
    </row>
    <row r="117" spans="7:75">
      <c r="G117" s="1" t="s">
        <v>1014</v>
      </c>
      <c r="BI117" s="1" t="s">
        <v>1015</v>
      </c>
      <c r="BW117" s="1" t="s">
        <v>1016</v>
      </c>
    </row>
    <row r="118" spans="7:75">
      <c r="G118" s="1" t="s">
        <v>1017</v>
      </c>
      <c r="BI118" s="1" t="s">
        <v>1018</v>
      </c>
      <c r="BW118" s="1" t="s">
        <v>1019</v>
      </c>
    </row>
    <row r="119" spans="7:75">
      <c r="G119" s="1" t="s">
        <v>1020</v>
      </c>
      <c r="BI119" s="1" t="s">
        <v>1021</v>
      </c>
      <c r="BW119" s="1" t="s">
        <v>1022</v>
      </c>
    </row>
    <row r="120" spans="7:75">
      <c r="G120" s="1" t="s">
        <v>1023</v>
      </c>
      <c r="BI120" s="1" t="s">
        <v>1024</v>
      </c>
      <c r="BW120" s="1" t="s">
        <v>1025</v>
      </c>
    </row>
    <row r="121" spans="7:75">
      <c r="G121" s="1" t="s">
        <v>1026</v>
      </c>
      <c r="BI121" s="1" t="s">
        <v>1027</v>
      </c>
      <c r="BW121" s="1" t="s">
        <v>1028</v>
      </c>
    </row>
    <row r="122" spans="7:75">
      <c r="G122" s="1" t="s">
        <v>1029</v>
      </c>
      <c r="BI122" s="1" t="s">
        <v>1030</v>
      </c>
      <c r="BW122" s="1" t="s">
        <v>1031</v>
      </c>
    </row>
    <row r="123" spans="7:75">
      <c r="G123" s="1" t="s">
        <v>1032</v>
      </c>
      <c r="BI123" s="1" t="s">
        <v>1033</v>
      </c>
      <c r="BW123" s="1" t="s">
        <v>1034</v>
      </c>
    </row>
    <row r="124" spans="7:75">
      <c r="G124" s="1" t="s">
        <v>1035</v>
      </c>
      <c r="BI124" s="1" t="s">
        <v>1036</v>
      </c>
      <c r="BW124" s="1" t="s">
        <v>1037</v>
      </c>
    </row>
    <row r="125" spans="7:75">
      <c r="G125" s="1" t="s">
        <v>1038</v>
      </c>
      <c r="BI125" s="1" t="s">
        <v>1039</v>
      </c>
      <c r="BW125" s="1" t="s">
        <v>1040</v>
      </c>
    </row>
    <row r="126" spans="7:75">
      <c r="G126" s="1" t="s">
        <v>1041</v>
      </c>
      <c r="BI126" s="1" t="s">
        <v>1042</v>
      </c>
      <c r="BW126" s="1" t="s">
        <v>1043</v>
      </c>
    </row>
    <row r="127" spans="7:75">
      <c r="G127" s="1" t="s">
        <v>1044</v>
      </c>
      <c r="BI127" s="1" t="s">
        <v>1045</v>
      </c>
      <c r="BW127" s="1" t="s">
        <v>1046</v>
      </c>
    </row>
    <row r="128" spans="7:75">
      <c r="G128" s="1" t="s">
        <v>1047</v>
      </c>
      <c r="BI128" s="1" t="s">
        <v>1048</v>
      </c>
      <c r="BW128" s="1" t="s">
        <v>1049</v>
      </c>
    </row>
    <row r="129" spans="7:75">
      <c r="G129" s="1" t="s">
        <v>1050</v>
      </c>
      <c r="BI129" s="1" t="s">
        <v>1051</v>
      </c>
      <c r="BW129" s="1" t="s">
        <v>1052</v>
      </c>
    </row>
    <row r="130" spans="7:75">
      <c r="G130" s="1" t="s">
        <v>1053</v>
      </c>
      <c r="BI130" s="1" t="s">
        <v>1054</v>
      </c>
      <c r="BW130" s="1" t="s">
        <v>1055</v>
      </c>
    </row>
    <row r="131" spans="7:75">
      <c r="G131" s="1" t="s">
        <v>1056</v>
      </c>
      <c r="BI131" s="1" t="s">
        <v>1057</v>
      </c>
      <c r="BW131" s="1" t="s">
        <v>1058</v>
      </c>
    </row>
    <row r="132" spans="7:75">
      <c r="G132" s="1" t="s">
        <v>1059</v>
      </c>
      <c r="BI132" s="1" t="s">
        <v>1060</v>
      </c>
      <c r="BW132" s="1" t="s">
        <v>1061</v>
      </c>
    </row>
    <row r="133" spans="7:75">
      <c r="G133" s="1" t="s">
        <v>1062</v>
      </c>
      <c r="BI133" s="1" t="s">
        <v>1063</v>
      </c>
      <c r="BW133" s="1" t="s">
        <v>1064</v>
      </c>
    </row>
    <row r="134" spans="7:75">
      <c r="G134" s="1" t="s">
        <v>1065</v>
      </c>
      <c r="BI134" s="1" t="s">
        <v>1066</v>
      </c>
      <c r="BW134" s="1" t="s">
        <v>1067</v>
      </c>
    </row>
    <row r="135" spans="7:75">
      <c r="G135" s="1" t="s">
        <v>1068</v>
      </c>
      <c r="BI135" s="1" t="s">
        <v>1069</v>
      </c>
      <c r="BW135" s="1" t="s">
        <v>1070</v>
      </c>
    </row>
    <row r="136" spans="7:75">
      <c r="G136" s="1" t="s">
        <v>1071</v>
      </c>
      <c r="BI136" s="1" t="s">
        <v>1072</v>
      </c>
      <c r="BW136" s="1" t="s">
        <v>1073</v>
      </c>
    </row>
    <row r="137" spans="7:75">
      <c r="G137" s="1" t="s">
        <v>1074</v>
      </c>
      <c r="BI137" s="1" t="s">
        <v>1075</v>
      </c>
      <c r="BW137" s="1" t="s">
        <v>1076</v>
      </c>
    </row>
    <row r="138" spans="7:75">
      <c r="G138" s="1" t="s">
        <v>1077</v>
      </c>
      <c r="BI138" s="1" t="s">
        <v>1078</v>
      </c>
      <c r="BW138" s="1" t="s">
        <v>1079</v>
      </c>
    </row>
    <row r="139" spans="7:75">
      <c r="G139" s="1" t="s">
        <v>1080</v>
      </c>
      <c r="BI139" s="1" t="s">
        <v>1081</v>
      </c>
      <c r="BW139" s="1" t="s">
        <v>1082</v>
      </c>
    </row>
    <row r="140" spans="7:75">
      <c r="G140" s="1" t="s">
        <v>1083</v>
      </c>
      <c r="BI140" s="1" t="s">
        <v>1084</v>
      </c>
      <c r="BW140" s="1" t="s">
        <v>1085</v>
      </c>
    </row>
    <row r="141" spans="7:75">
      <c r="G141" s="1" t="s">
        <v>1086</v>
      </c>
      <c r="BI141" s="1" t="s">
        <v>1087</v>
      </c>
      <c r="BW141" s="1" t="s">
        <v>1088</v>
      </c>
    </row>
    <row r="142" spans="7:75">
      <c r="G142" s="1" t="s">
        <v>1089</v>
      </c>
      <c r="BI142" s="1" t="s">
        <v>1090</v>
      </c>
      <c r="BW142" s="1" t="s">
        <v>1091</v>
      </c>
    </row>
    <row r="143" spans="7:75">
      <c r="G143" s="1" t="s">
        <v>1092</v>
      </c>
      <c r="BI143" s="1" t="s">
        <v>1093</v>
      </c>
      <c r="BW143" s="1" t="s">
        <v>1094</v>
      </c>
    </row>
    <row r="144" spans="7:75">
      <c r="G144" s="1" t="s">
        <v>1095</v>
      </c>
      <c r="BI144" s="1" t="s">
        <v>1096</v>
      </c>
      <c r="BW144" s="1" t="s">
        <v>1097</v>
      </c>
    </row>
    <row r="145" spans="7:75">
      <c r="G145" s="1" t="s">
        <v>1098</v>
      </c>
      <c r="BI145" s="1" t="s">
        <v>1099</v>
      </c>
      <c r="BW145" s="1" t="s">
        <v>1100</v>
      </c>
    </row>
    <row r="146" spans="7:75">
      <c r="G146" s="1" t="s">
        <v>1101</v>
      </c>
      <c r="BI146" s="1" t="s">
        <v>1102</v>
      </c>
      <c r="BW146" s="1" t="s">
        <v>1103</v>
      </c>
    </row>
    <row r="147" spans="7:75">
      <c r="G147" s="1" t="s">
        <v>1104</v>
      </c>
      <c r="BI147" s="1" t="s">
        <v>1105</v>
      </c>
      <c r="BW147" s="1" t="s">
        <v>1106</v>
      </c>
    </row>
    <row r="148" spans="7:75">
      <c r="G148" s="1" t="s">
        <v>1107</v>
      </c>
      <c r="BI148" s="1" t="s">
        <v>1108</v>
      </c>
      <c r="BW148" s="1" t="s">
        <v>1109</v>
      </c>
    </row>
    <row r="149" spans="7:75">
      <c r="G149" s="1" t="s">
        <v>1110</v>
      </c>
      <c r="BI149" s="1" t="s">
        <v>1111</v>
      </c>
      <c r="BW149" s="1" t="s">
        <v>1112</v>
      </c>
    </row>
    <row r="150" spans="7:75">
      <c r="G150" s="1" t="s">
        <v>1113</v>
      </c>
      <c r="BI150" s="1" t="s">
        <v>1114</v>
      </c>
      <c r="BW150" s="1" t="s">
        <v>1115</v>
      </c>
    </row>
    <row r="151" spans="7:75">
      <c r="G151" s="1" t="s">
        <v>1116</v>
      </c>
      <c r="BI151" s="1" t="s">
        <v>1117</v>
      </c>
      <c r="BW151" s="1" t="s">
        <v>1118</v>
      </c>
    </row>
    <row r="152" spans="7:75">
      <c r="G152" s="1" t="s">
        <v>1119</v>
      </c>
      <c r="BI152" s="1" t="s">
        <v>1120</v>
      </c>
      <c r="BW152" s="1" t="s">
        <v>1121</v>
      </c>
    </row>
    <row r="153" spans="7:75">
      <c r="G153" s="1" t="s">
        <v>1122</v>
      </c>
      <c r="BI153" s="1" t="s">
        <v>1123</v>
      </c>
      <c r="BW153" s="1" t="s">
        <v>1124</v>
      </c>
    </row>
    <row r="154" spans="7:75">
      <c r="G154" s="1" t="s">
        <v>1125</v>
      </c>
      <c r="BI154" s="1" t="s">
        <v>1126</v>
      </c>
      <c r="BW154" s="1" t="s">
        <v>1127</v>
      </c>
    </row>
    <row r="155" spans="7:75">
      <c r="G155" s="1" t="s">
        <v>1128</v>
      </c>
      <c r="BI155" s="1" t="s">
        <v>1129</v>
      </c>
      <c r="BW155" s="1" t="s">
        <v>1130</v>
      </c>
    </row>
    <row r="156" spans="7:75">
      <c r="G156" s="1" t="s">
        <v>1131</v>
      </c>
      <c r="BI156" s="1" t="s">
        <v>1132</v>
      </c>
      <c r="BW156" s="1" t="s">
        <v>1133</v>
      </c>
    </row>
    <row r="157" spans="7:75">
      <c r="G157" s="1" t="s">
        <v>1134</v>
      </c>
      <c r="BI157" s="1" t="s">
        <v>1135</v>
      </c>
      <c r="BW157" s="1" t="s">
        <v>1136</v>
      </c>
    </row>
    <row r="158" spans="7:75">
      <c r="G158" s="1" t="s">
        <v>1137</v>
      </c>
      <c r="BI158" s="1" t="s">
        <v>1138</v>
      </c>
      <c r="BW158" s="1" t="s">
        <v>1139</v>
      </c>
    </row>
    <row r="159" spans="7:75">
      <c r="G159" s="1" t="s">
        <v>1140</v>
      </c>
      <c r="BI159" s="1" t="s">
        <v>1141</v>
      </c>
      <c r="BW159" s="1" t="s">
        <v>1142</v>
      </c>
    </row>
    <row r="160" spans="7:75">
      <c r="G160" s="1" t="s">
        <v>1143</v>
      </c>
      <c r="BI160" s="1" t="s">
        <v>1144</v>
      </c>
      <c r="BW160" s="1" t="s">
        <v>1145</v>
      </c>
    </row>
    <row r="161" spans="7:75">
      <c r="G161" s="1" t="s">
        <v>1146</v>
      </c>
      <c r="BI161" s="1" t="s">
        <v>1147</v>
      </c>
      <c r="BW161" s="1" t="s">
        <v>1148</v>
      </c>
    </row>
    <row r="162" spans="7:75">
      <c r="G162" s="1" t="s">
        <v>1149</v>
      </c>
      <c r="BI162" s="1" t="s">
        <v>1150</v>
      </c>
      <c r="BW162" s="1" t="s">
        <v>1151</v>
      </c>
    </row>
    <row r="163" spans="7:75">
      <c r="G163" s="1" t="s">
        <v>1152</v>
      </c>
      <c r="BI163" s="1" t="s">
        <v>1153</v>
      </c>
      <c r="BW163" s="1" t="s">
        <v>1154</v>
      </c>
    </row>
    <row r="164" spans="7:75">
      <c r="G164" s="1" t="s">
        <v>1155</v>
      </c>
      <c r="BI164" s="1" t="s">
        <v>1156</v>
      </c>
      <c r="BW164" s="1" t="s">
        <v>1157</v>
      </c>
    </row>
    <row r="165" spans="7:75">
      <c r="G165" s="1" t="s">
        <v>1158</v>
      </c>
      <c r="BI165" s="1" t="s">
        <v>1159</v>
      </c>
      <c r="BW165" s="1" t="s">
        <v>1160</v>
      </c>
    </row>
    <row r="166" spans="7:75">
      <c r="G166" s="1" t="s">
        <v>1161</v>
      </c>
      <c r="BI166" s="1" t="s">
        <v>1162</v>
      </c>
      <c r="BW166" s="1" t="s">
        <v>1163</v>
      </c>
    </row>
    <row r="167" spans="7:75">
      <c r="G167" s="1" t="s">
        <v>1164</v>
      </c>
      <c r="BI167" s="1" t="s">
        <v>1165</v>
      </c>
      <c r="BW167" s="1" t="s">
        <v>1166</v>
      </c>
    </row>
    <row r="168" spans="7:75">
      <c r="G168" s="1" t="s">
        <v>1167</v>
      </c>
      <c r="BI168" s="1" t="s">
        <v>1168</v>
      </c>
      <c r="BW168" s="1" t="s">
        <v>1169</v>
      </c>
    </row>
    <row r="169" spans="7:75">
      <c r="G169" s="1" t="s">
        <v>1170</v>
      </c>
      <c r="BI169" s="1" t="s">
        <v>1171</v>
      </c>
      <c r="BW169" s="1" t="s">
        <v>1172</v>
      </c>
    </row>
    <row r="170" spans="7:75">
      <c r="G170" s="1" t="s">
        <v>1173</v>
      </c>
      <c r="BI170" s="1" t="s">
        <v>1174</v>
      </c>
      <c r="BW170" s="1" t="s">
        <v>1175</v>
      </c>
    </row>
    <row r="171" spans="7:75">
      <c r="G171" s="1" t="s">
        <v>1176</v>
      </c>
      <c r="BI171" s="1" t="s">
        <v>1177</v>
      </c>
      <c r="BW171" s="1" t="s">
        <v>1178</v>
      </c>
    </row>
    <row r="172" spans="7:75">
      <c r="G172" s="1" t="s">
        <v>1179</v>
      </c>
      <c r="BI172" s="1" t="s">
        <v>1180</v>
      </c>
      <c r="BW172" s="1" t="s">
        <v>1181</v>
      </c>
    </row>
    <row r="173" spans="7:75">
      <c r="G173" s="1" t="s">
        <v>1182</v>
      </c>
      <c r="BI173" s="1" t="s">
        <v>1183</v>
      </c>
      <c r="BW173" s="1" t="s">
        <v>1184</v>
      </c>
    </row>
    <row r="174" spans="7:75">
      <c r="G174" s="1" t="s">
        <v>1185</v>
      </c>
      <c r="BI174" s="1" t="s">
        <v>1186</v>
      </c>
      <c r="BW174" s="1" t="s">
        <v>1187</v>
      </c>
    </row>
    <row r="175" spans="7:75">
      <c r="G175" s="1" t="s">
        <v>1188</v>
      </c>
      <c r="BI175" s="1" t="s">
        <v>1189</v>
      </c>
      <c r="BW175" s="1" t="s">
        <v>1190</v>
      </c>
    </row>
    <row r="176" spans="7:75">
      <c r="G176" s="1" t="s">
        <v>1191</v>
      </c>
      <c r="BI176" s="1" t="s">
        <v>1192</v>
      </c>
      <c r="BW176" s="1" t="s">
        <v>1193</v>
      </c>
    </row>
    <row r="177" spans="7:75">
      <c r="G177" s="1" t="s">
        <v>1194</v>
      </c>
      <c r="BI177" s="1" t="s">
        <v>1195</v>
      </c>
      <c r="BW177" s="1" t="s">
        <v>1196</v>
      </c>
    </row>
    <row r="178" spans="7:75">
      <c r="G178" s="1" t="s">
        <v>1197</v>
      </c>
      <c r="BI178" s="1" t="s">
        <v>1198</v>
      </c>
      <c r="BW178" s="1" t="s">
        <v>1199</v>
      </c>
    </row>
    <row r="179" spans="7:75">
      <c r="G179" s="1" t="s">
        <v>1200</v>
      </c>
      <c r="BI179" s="1" t="s">
        <v>1201</v>
      </c>
      <c r="BW179" s="1" t="s">
        <v>1202</v>
      </c>
    </row>
    <row r="180" spans="7:75">
      <c r="G180" s="1" t="s">
        <v>1203</v>
      </c>
      <c r="BI180" s="1" t="s">
        <v>1204</v>
      </c>
      <c r="BW180" s="1" t="s">
        <v>1205</v>
      </c>
    </row>
    <row r="181" spans="7:75">
      <c r="G181" s="1" t="s">
        <v>1206</v>
      </c>
      <c r="BI181" s="1" t="s">
        <v>1207</v>
      </c>
      <c r="BW181" s="1" t="s">
        <v>1208</v>
      </c>
    </row>
    <row r="182" spans="7:75">
      <c r="G182" s="1" t="s">
        <v>1209</v>
      </c>
      <c r="BI182" s="1" t="s">
        <v>1210</v>
      </c>
      <c r="BW182" s="1" t="s">
        <v>1211</v>
      </c>
    </row>
    <row r="183" spans="7:75">
      <c r="G183" s="1" t="s">
        <v>1212</v>
      </c>
      <c r="BI183" s="1" t="s">
        <v>1213</v>
      </c>
      <c r="BW183" s="1" t="s">
        <v>1214</v>
      </c>
    </row>
    <row r="184" spans="7:75">
      <c r="G184" s="1" t="s">
        <v>1215</v>
      </c>
      <c r="BI184" s="1" t="s">
        <v>1216</v>
      </c>
      <c r="BW184" s="1" t="s">
        <v>1217</v>
      </c>
    </row>
    <row r="185" spans="7:75">
      <c r="G185" s="1" t="s">
        <v>1218</v>
      </c>
      <c r="BI185" s="1" t="s">
        <v>1219</v>
      </c>
      <c r="BW185" s="1" t="s">
        <v>1220</v>
      </c>
    </row>
    <row r="186" spans="7:75">
      <c r="G186" s="1" t="s">
        <v>1221</v>
      </c>
      <c r="BI186" s="1" t="s">
        <v>1222</v>
      </c>
      <c r="BW186" s="1" t="s">
        <v>1223</v>
      </c>
    </row>
    <row r="187" spans="7:75">
      <c r="G187" s="1" t="s">
        <v>1224</v>
      </c>
      <c r="BI187" s="1" t="s">
        <v>1225</v>
      </c>
      <c r="BW187" s="1" t="s">
        <v>1226</v>
      </c>
    </row>
    <row r="188" spans="7:75">
      <c r="G188" s="1" t="s">
        <v>1227</v>
      </c>
      <c r="BI188" s="1" t="s">
        <v>1228</v>
      </c>
      <c r="BW188" s="1" t="s">
        <v>1229</v>
      </c>
    </row>
    <row r="189" spans="7:75">
      <c r="G189" s="1" t="s">
        <v>1230</v>
      </c>
      <c r="BI189" s="1" t="s">
        <v>1231</v>
      </c>
      <c r="BW189" s="1" t="s">
        <v>1232</v>
      </c>
    </row>
    <row r="190" spans="7:75">
      <c r="G190" s="1" t="s">
        <v>1233</v>
      </c>
      <c r="BI190" s="1" t="s">
        <v>1234</v>
      </c>
      <c r="BW190" s="1" t="s">
        <v>1235</v>
      </c>
    </row>
    <row r="191" spans="7:75">
      <c r="G191" s="1" t="s">
        <v>1236</v>
      </c>
      <c r="BI191" s="1" t="s">
        <v>1237</v>
      </c>
      <c r="BW191" s="1" t="s">
        <v>1238</v>
      </c>
    </row>
    <row r="192" spans="7:75">
      <c r="G192" s="1" t="s">
        <v>1239</v>
      </c>
      <c r="BI192" s="1" t="s">
        <v>1240</v>
      </c>
      <c r="BW192" s="1" t="s">
        <v>1241</v>
      </c>
    </row>
    <row r="193" spans="7:75">
      <c r="G193" s="1" t="s">
        <v>1242</v>
      </c>
      <c r="BI193" s="1" t="s">
        <v>1243</v>
      </c>
      <c r="BW193" s="1" t="s">
        <v>1244</v>
      </c>
    </row>
    <row r="194" spans="7:75">
      <c r="G194" s="1" t="s">
        <v>1245</v>
      </c>
      <c r="BI194" s="1" t="s">
        <v>1246</v>
      </c>
      <c r="BW194" s="1" t="s">
        <v>1247</v>
      </c>
    </row>
    <row r="195" spans="7:75">
      <c r="G195" s="1" t="s">
        <v>1248</v>
      </c>
      <c r="BI195" s="1" t="s">
        <v>1249</v>
      </c>
      <c r="BW195" s="1" t="s">
        <v>1250</v>
      </c>
    </row>
    <row r="196" spans="7:75">
      <c r="G196" s="1" t="s">
        <v>1251</v>
      </c>
      <c r="BI196" s="1" t="s">
        <v>1252</v>
      </c>
      <c r="BW196" s="1" t="s">
        <v>1253</v>
      </c>
    </row>
    <row r="197" spans="7:75">
      <c r="G197" s="1" t="s">
        <v>1254</v>
      </c>
      <c r="BI197" s="1" t="s">
        <v>1255</v>
      </c>
      <c r="BW197" s="1" t="s">
        <v>1256</v>
      </c>
    </row>
    <row r="198" spans="7:75">
      <c r="G198" s="1" t="s">
        <v>1257</v>
      </c>
      <c r="BI198" s="1" t="s">
        <v>1258</v>
      </c>
      <c r="BW198" s="1" t="s">
        <v>1259</v>
      </c>
    </row>
    <row r="199" spans="7:75">
      <c r="G199" s="1" t="s">
        <v>1260</v>
      </c>
      <c r="BI199" s="1" t="s">
        <v>1261</v>
      </c>
      <c r="BW199" s="1" t="s">
        <v>1262</v>
      </c>
    </row>
    <row r="200" spans="7:75">
      <c r="G200" s="1" t="s">
        <v>1263</v>
      </c>
      <c r="BI200" s="1" t="s">
        <v>1264</v>
      </c>
      <c r="BW200" s="1" t="s">
        <v>1265</v>
      </c>
    </row>
    <row r="201" spans="7:75">
      <c r="G201" s="1" t="s">
        <v>1266</v>
      </c>
      <c r="BI201" s="1" t="s">
        <v>1267</v>
      </c>
      <c r="BW201" s="1" t="s">
        <v>1268</v>
      </c>
    </row>
    <row r="202" spans="7:75">
      <c r="G202" s="1" t="s">
        <v>1269</v>
      </c>
      <c r="BI202" s="1" t="s">
        <v>1270</v>
      </c>
      <c r="BW202" s="1" t="s">
        <v>1271</v>
      </c>
    </row>
    <row r="203" spans="7:75">
      <c r="G203" s="1" t="s">
        <v>1272</v>
      </c>
      <c r="BI203" s="1" t="s">
        <v>1273</v>
      </c>
      <c r="BW203" s="1" t="s">
        <v>1274</v>
      </c>
    </row>
    <row r="204" spans="7:75">
      <c r="G204" s="1" t="s">
        <v>1275</v>
      </c>
      <c r="BI204" s="1" t="s">
        <v>1276</v>
      </c>
      <c r="BW204" s="1" t="s">
        <v>1277</v>
      </c>
    </row>
    <row r="205" spans="7:75">
      <c r="G205" s="1" t="s">
        <v>1278</v>
      </c>
      <c r="BI205" s="1" t="s">
        <v>1279</v>
      </c>
      <c r="BW205" s="1" t="s">
        <v>1280</v>
      </c>
    </row>
    <row r="206" spans="7:75">
      <c r="G206" s="1" t="s">
        <v>1281</v>
      </c>
      <c r="BI206" s="1" t="s">
        <v>1282</v>
      </c>
      <c r="BW206" s="1" t="s">
        <v>1283</v>
      </c>
    </row>
    <row r="207" spans="7:75">
      <c r="G207" s="1" t="s">
        <v>1284</v>
      </c>
      <c r="BI207" s="1" t="s">
        <v>1285</v>
      </c>
      <c r="BW207" s="1" t="s">
        <v>1286</v>
      </c>
    </row>
    <row r="208" spans="7:75">
      <c r="G208" s="1" t="s">
        <v>1287</v>
      </c>
      <c r="BI208" s="1" t="s">
        <v>1288</v>
      </c>
      <c r="BW208" s="1" t="s">
        <v>1289</v>
      </c>
    </row>
    <row r="209" spans="7:75">
      <c r="G209" s="1" t="s">
        <v>1290</v>
      </c>
      <c r="BI209" s="1" t="s">
        <v>1291</v>
      </c>
      <c r="BW209" s="1" t="s">
        <v>1292</v>
      </c>
    </row>
    <row r="210" spans="7:75">
      <c r="G210" s="1" t="s">
        <v>1293</v>
      </c>
      <c r="BI210" s="1" t="s">
        <v>1294</v>
      </c>
      <c r="BW210" s="1" t="s">
        <v>1295</v>
      </c>
    </row>
    <row r="211" spans="7:75">
      <c r="G211" s="1" t="s">
        <v>1296</v>
      </c>
      <c r="BI211" s="1" t="s">
        <v>1297</v>
      </c>
      <c r="BW211" s="1" t="s">
        <v>1298</v>
      </c>
    </row>
    <row r="212" spans="7:75">
      <c r="G212" s="1" t="s">
        <v>1299</v>
      </c>
      <c r="BI212" s="1" t="s">
        <v>1300</v>
      </c>
      <c r="BW212" s="1" t="s">
        <v>1301</v>
      </c>
    </row>
    <row r="213" spans="7:75">
      <c r="G213" s="1" t="s">
        <v>1302</v>
      </c>
      <c r="BI213" s="1" t="s">
        <v>1303</v>
      </c>
      <c r="BW213" s="1" t="s">
        <v>1304</v>
      </c>
    </row>
    <row r="214" spans="7:75">
      <c r="G214" s="1" t="s">
        <v>1305</v>
      </c>
      <c r="BI214" s="1" t="s">
        <v>1306</v>
      </c>
      <c r="BW214" s="1" t="s">
        <v>1307</v>
      </c>
    </row>
    <row r="215" spans="7:75">
      <c r="G215" s="1" t="s">
        <v>1308</v>
      </c>
      <c r="BI215" s="1" t="s">
        <v>1309</v>
      </c>
      <c r="BW215" s="1" t="s">
        <v>1310</v>
      </c>
    </row>
    <row r="216" spans="7:75">
      <c r="G216" s="1" t="s">
        <v>1311</v>
      </c>
      <c r="BI216" s="1" t="s">
        <v>1312</v>
      </c>
      <c r="BW216" s="1" t="s">
        <v>1313</v>
      </c>
    </row>
    <row r="217" spans="7:75">
      <c r="G217" s="1" t="s">
        <v>1314</v>
      </c>
      <c r="BI217" s="1" t="s">
        <v>1315</v>
      </c>
      <c r="BW217" s="1" t="s">
        <v>1316</v>
      </c>
    </row>
    <row r="218" spans="7:75">
      <c r="G218" s="1" t="s">
        <v>1317</v>
      </c>
      <c r="BI218" s="1" t="s">
        <v>1318</v>
      </c>
      <c r="BW218" s="1" t="s">
        <v>1319</v>
      </c>
    </row>
    <row r="219" spans="7:75">
      <c r="G219" s="1" t="s">
        <v>1320</v>
      </c>
      <c r="BI219" s="1" t="s">
        <v>1321</v>
      </c>
      <c r="BW219" s="1" t="s">
        <v>1322</v>
      </c>
    </row>
    <row r="220" spans="7:75">
      <c r="G220" s="1" t="s">
        <v>1323</v>
      </c>
      <c r="BI220" s="1" t="s">
        <v>1324</v>
      </c>
      <c r="BW220" s="1" t="s">
        <v>1325</v>
      </c>
    </row>
    <row r="221" spans="7:75">
      <c r="G221" s="1" t="s">
        <v>1326</v>
      </c>
      <c r="BI221" s="1" t="s">
        <v>1327</v>
      </c>
      <c r="BW221" s="1" t="s">
        <v>1328</v>
      </c>
    </row>
    <row r="222" spans="7:75">
      <c r="G222" s="1" t="s">
        <v>1329</v>
      </c>
      <c r="BI222" s="1" t="s">
        <v>1330</v>
      </c>
      <c r="BW222" s="1" t="s">
        <v>1331</v>
      </c>
    </row>
    <row r="223" spans="7:75">
      <c r="G223" s="1" t="s">
        <v>1332</v>
      </c>
      <c r="BI223" s="1" t="s">
        <v>1333</v>
      </c>
      <c r="BW223" s="1" t="s">
        <v>1334</v>
      </c>
    </row>
    <row r="224" spans="7:75">
      <c r="G224" s="1" t="s">
        <v>1335</v>
      </c>
      <c r="BI224" s="1" t="s">
        <v>1336</v>
      </c>
      <c r="BW224" s="1" t="s">
        <v>1337</v>
      </c>
    </row>
    <row r="225" spans="7:75">
      <c r="G225" s="1" t="s">
        <v>1338</v>
      </c>
      <c r="BI225" s="1" t="s">
        <v>1339</v>
      </c>
      <c r="BW225" s="1" t="s">
        <v>1340</v>
      </c>
    </row>
    <row r="226" spans="7:75">
      <c r="G226" s="1" t="s">
        <v>1341</v>
      </c>
      <c r="BI226" s="1" t="s">
        <v>1342</v>
      </c>
      <c r="BW226" s="1" t="s">
        <v>1343</v>
      </c>
    </row>
    <row r="227" spans="7:75">
      <c r="G227" s="1" t="s">
        <v>1344</v>
      </c>
      <c r="BI227" s="1" t="s">
        <v>1345</v>
      </c>
      <c r="BW227" s="1" t="s">
        <v>1346</v>
      </c>
    </row>
    <row r="228" spans="7:75">
      <c r="G228" s="1" t="s">
        <v>1347</v>
      </c>
      <c r="BI228" s="1" t="s">
        <v>1348</v>
      </c>
      <c r="BW228" s="1" t="s">
        <v>1349</v>
      </c>
    </row>
    <row r="229" spans="7:75">
      <c r="G229" s="1" t="s">
        <v>1350</v>
      </c>
      <c r="BI229" s="1" t="s">
        <v>1351</v>
      </c>
      <c r="BW229" s="1" t="s">
        <v>1352</v>
      </c>
    </row>
    <row r="230" spans="7:75">
      <c r="G230" s="1" t="s">
        <v>1353</v>
      </c>
      <c r="BI230" s="1" t="s">
        <v>1354</v>
      </c>
      <c r="BW230" s="1" t="s">
        <v>1355</v>
      </c>
    </row>
    <row r="231" spans="7:75">
      <c r="G231" s="1" t="s">
        <v>1356</v>
      </c>
      <c r="BI231" s="1" t="s">
        <v>1357</v>
      </c>
      <c r="BW231" s="1" t="s">
        <v>1358</v>
      </c>
    </row>
    <row r="232" spans="7:75">
      <c r="G232" s="1" t="s">
        <v>1359</v>
      </c>
      <c r="BI232" s="1" t="s">
        <v>1360</v>
      </c>
      <c r="BW232" s="1" t="s">
        <v>1361</v>
      </c>
    </row>
    <row r="233" spans="7:75">
      <c r="G233" s="1" t="s">
        <v>1362</v>
      </c>
      <c r="BI233" s="1" t="s">
        <v>1363</v>
      </c>
      <c r="BW233" s="1" t="s">
        <v>1364</v>
      </c>
    </row>
    <row r="234" spans="7:75">
      <c r="G234" s="1" t="s">
        <v>1365</v>
      </c>
      <c r="BI234" s="1" t="s">
        <v>1366</v>
      </c>
      <c r="BW234" s="1" t="s">
        <v>1367</v>
      </c>
    </row>
    <row r="235" spans="7:75">
      <c r="G235" s="1" t="s">
        <v>1368</v>
      </c>
      <c r="BI235" s="1" t="s">
        <v>1369</v>
      </c>
      <c r="BW235" s="1" t="s">
        <v>1370</v>
      </c>
    </row>
    <row r="236" spans="7:75">
      <c r="G236" s="1" t="s">
        <v>1371</v>
      </c>
      <c r="BI236" s="1" t="s">
        <v>1372</v>
      </c>
      <c r="BW236" s="1" t="s">
        <v>1373</v>
      </c>
    </row>
    <row r="237" spans="7:75">
      <c r="G237" s="1" t="s">
        <v>1374</v>
      </c>
      <c r="BI237" s="1" t="s">
        <v>1375</v>
      </c>
      <c r="BW237" s="1" t="s">
        <v>1376</v>
      </c>
    </row>
    <row r="238" spans="7:75">
      <c r="G238" s="1" t="s">
        <v>1377</v>
      </c>
      <c r="BI238" s="1" t="s">
        <v>897</v>
      </c>
      <c r="BW238" s="1" t="s">
        <v>1378</v>
      </c>
    </row>
    <row r="239" spans="7:75">
      <c r="G239" s="1" t="s">
        <v>793</v>
      </c>
      <c r="BI239" s="1" t="s">
        <v>1379</v>
      </c>
      <c r="BW239" s="1" t="s">
        <v>1380</v>
      </c>
    </row>
    <row r="240" spans="7:75">
      <c r="G240" s="1" t="s">
        <v>1381</v>
      </c>
      <c r="BI240" s="1" t="s">
        <v>1382</v>
      </c>
      <c r="BW240" s="1" t="s">
        <v>1383</v>
      </c>
    </row>
    <row r="241" spans="7:75">
      <c r="G241" s="1" t="s">
        <v>1384</v>
      </c>
      <c r="BI241" s="1" t="s">
        <v>1385</v>
      </c>
      <c r="BW241" s="1" t="s">
        <v>1386</v>
      </c>
    </row>
    <row r="242" spans="7:75">
      <c r="G242" s="1" t="s">
        <v>1387</v>
      </c>
      <c r="BI242" s="1" t="s">
        <v>1388</v>
      </c>
      <c r="BW242" s="1" t="s">
        <v>1389</v>
      </c>
    </row>
    <row r="243" spans="7:75">
      <c r="G243" s="1" t="s">
        <v>1390</v>
      </c>
      <c r="BI243" s="1" t="s">
        <v>1391</v>
      </c>
      <c r="BW243" s="1" t="s">
        <v>1392</v>
      </c>
    </row>
    <row r="244" spans="7:75">
      <c r="G244" s="1" t="s">
        <v>1393</v>
      </c>
      <c r="BI244" s="1" t="s">
        <v>1394</v>
      </c>
      <c r="BW244" s="1" t="s">
        <v>1395</v>
      </c>
    </row>
    <row r="245" spans="7:75">
      <c r="G245" s="1" t="s">
        <v>1396</v>
      </c>
      <c r="BI245" s="1" t="s">
        <v>1397</v>
      </c>
      <c r="BW245" s="1" t="s">
        <v>1398</v>
      </c>
    </row>
    <row r="246" spans="7:75">
      <c r="G246" s="1" t="s">
        <v>653</v>
      </c>
      <c r="BI246" s="1" t="s">
        <v>1399</v>
      </c>
      <c r="BW246" s="1" t="s">
        <v>1400</v>
      </c>
    </row>
    <row r="247" spans="7:75">
      <c r="G247" s="1" t="s">
        <v>1401</v>
      </c>
      <c r="BI247" s="1" t="s">
        <v>1402</v>
      </c>
      <c r="BW247" s="1" t="s">
        <v>1403</v>
      </c>
    </row>
    <row r="248" spans="7:75">
      <c r="G248" s="1" t="s">
        <v>1404</v>
      </c>
      <c r="BI248" s="1" t="s">
        <v>1405</v>
      </c>
      <c r="BW248" s="1" t="s">
        <v>1406</v>
      </c>
    </row>
    <row r="249" spans="7:75">
      <c r="G249" s="1" t="s">
        <v>1407</v>
      </c>
      <c r="BI249" s="1" t="s">
        <v>1408</v>
      </c>
      <c r="BW249" s="1" t="s">
        <v>1409</v>
      </c>
    </row>
    <row r="250" spans="7:75">
      <c r="G250" s="1" t="s">
        <v>1410</v>
      </c>
      <c r="BI250" s="1" t="s">
        <v>1411</v>
      </c>
      <c r="BW250" s="1" t="s">
        <v>1412</v>
      </c>
    </row>
    <row r="251" spans="7:75">
      <c r="G251" s="1" t="s">
        <v>1413</v>
      </c>
      <c r="BI251" s="1" t="s">
        <v>1414</v>
      </c>
      <c r="BW251" s="1" t="s">
        <v>1415</v>
      </c>
    </row>
    <row r="252" spans="7:75">
      <c r="G252" s="1" t="s">
        <v>1416</v>
      </c>
      <c r="BI252" s="1" t="s">
        <v>1417</v>
      </c>
      <c r="BW252" s="1" t="s">
        <v>1418</v>
      </c>
    </row>
    <row r="253" spans="7:75">
      <c r="G253" s="1" t="s">
        <v>1419</v>
      </c>
      <c r="BI253" s="1" t="s">
        <v>1420</v>
      </c>
      <c r="BW253" s="1" t="s">
        <v>1421</v>
      </c>
    </row>
    <row r="254" spans="7:75">
      <c r="G254" s="1" t="s">
        <v>1422</v>
      </c>
      <c r="BI254" s="1" t="s">
        <v>1423</v>
      </c>
      <c r="BW254" s="1" t="s">
        <v>1424</v>
      </c>
    </row>
    <row r="255" spans="7:75">
      <c r="G255" s="1" t="s">
        <v>1425</v>
      </c>
      <c r="BI255" s="1" t="s">
        <v>1426</v>
      </c>
      <c r="BW255" s="1" t="s">
        <v>1427</v>
      </c>
    </row>
    <row r="256" spans="7:75">
      <c r="G256" s="1" t="s">
        <v>1428</v>
      </c>
      <c r="BI256" s="1" t="s">
        <v>1429</v>
      </c>
      <c r="BW256" s="1" t="s">
        <v>1430</v>
      </c>
    </row>
    <row r="257" spans="7:75">
      <c r="G257" s="1" t="s">
        <v>1431</v>
      </c>
      <c r="BI257" s="1" t="s">
        <v>1432</v>
      </c>
      <c r="BW257" s="1" t="s">
        <v>1433</v>
      </c>
    </row>
    <row r="258" spans="7:75">
      <c r="G258" s="1" t="s">
        <v>1434</v>
      </c>
      <c r="BI258" s="1" t="s">
        <v>1435</v>
      </c>
      <c r="BW258" s="1" t="s">
        <v>1436</v>
      </c>
    </row>
    <row r="259" spans="7:75">
      <c r="G259" s="1" t="s">
        <v>1437</v>
      </c>
      <c r="BI259" s="1" t="s">
        <v>1438</v>
      </c>
      <c r="BW259" s="1" t="s">
        <v>1439</v>
      </c>
    </row>
    <row r="260" spans="7:75">
      <c r="G260" s="1" t="s">
        <v>1440</v>
      </c>
      <c r="BI260" s="1" t="s">
        <v>1441</v>
      </c>
      <c r="BW260" s="1" t="s">
        <v>1442</v>
      </c>
    </row>
    <row r="261" spans="7:75">
      <c r="G261" s="1" t="s">
        <v>1443</v>
      </c>
      <c r="BI261" s="1" t="s">
        <v>1444</v>
      </c>
      <c r="BW261" s="1" t="s">
        <v>1445</v>
      </c>
    </row>
    <row r="262" spans="7:75">
      <c r="G262" s="1" t="s">
        <v>1446</v>
      </c>
      <c r="BI262" s="1" t="s">
        <v>1447</v>
      </c>
      <c r="BW262" s="1" t="s">
        <v>1448</v>
      </c>
    </row>
    <row r="263" spans="7:75">
      <c r="G263" s="1" t="s">
        <v>1449</v>
      </c>
      <c r="BI263" s="1" t="s">
        <v>1450</v>
      </c>
      <c r="BW263" s="1" t="s">
        <v>1451</v>
      </c>
    </row>
    <row r="264" spans="7:75">
      <c r="G264" s="1" t="s">
        <v>1452</v>
      </c>
      <c r="BI264" s="1" t="s">
        <v>1453</v>
      </c>
      <c r="BW264" s="1" t="s">
        <v>1454</v>
      </c>
    </row>
    <row r="265" spans="7:75">
      <c r="G265" s="1" t="s">
        <v>1455</v>
      </c>
      <c r="BI265" s="1" t="s">
        <v>1456</v>
      </c>
      <c r="BW265" s="1" t="s">
        <v>1457</v>
      </c>
    </row>
    <row r="266" spans="7:75">
      <c r="G266" s="1" t="s">
        <v>1458</v>
      </c>
      <c r="BI266" s="1" t="s">
        <v>1459</v>
      </c>
      <c r="BW266" s="1" t="s">
        <v>1460</v>
      </c>
    </row>
    <row r="267" spans="7:75">
      <c r="G267" s="1" t="s">
        <v>1461</v>
      </c>
      <c r="BI267" s="1" t="s">
        <v>1462</v>
      </c>
      <c r="BW267" s="1" t="s">
        <v>1463</v>
      </c>
    </row>
    <row r="268" spans="7:75">
      <c r="G268" s="1" t="s">
        <v>1464</v>
      </c>
      <c r="BI268" s="1" t="s">
        <v>1465</v>
      </c>
      <c r="BW268" s="1" t="s">
        <v>1466</v>
      </c>
    </row>
    <row r="269" spans="7:75">
      <c r="G269" s="1" t="s">
        <v>1467</v>
      </c>
      <c r="BI269" s="1" t="s">
        <v>1468</v>
      </c>
      <c r="BW269" s="1" t="s">
        <v>1469</v>
      </c>
    </row>
    <row r="270" spans="7:75">
      <c r="G270" s="1" t="s">
        <v>1470</v>
      </c>
      <c r="BI270" s="1" t="s">
        <v>1471</v>
      </c>
      <c r="BW270" s="1" t="s">
        <v>1472</v>
      </c>
    </row>
    <row r="271" spans="7:75">
      <c r="G271" s="1" t="s">
        <v>1473</v>
      </c>
      <c r="BI271" s="1" t="s">
        <v>1474</v>
      </c>
      <c r="BW271" s="1" t="s">
        <v>1475</v>
      </c>
    </row>
    <row r="272" spans="7:75">
      <c r="BI272" s="1" t="s">
        <v>1476</v>
      </c>
      <c r="BW272" s="1" t="s">
        <v>1477</v>
      </c>
    </row>
    <row r="273" spans="61:75">
      <c r="BI273" s="1" t="s">
        <v>1478</v>
      </c>
      <c r="BW273" s="1" t="s">
        <v>1479</v>
      </c>
    </row>
    <row r="274" spans="61:75">
      <c r="BI274" s="1" t="s">
        <v>1480</v>
      </c>
      <c r="BW274" s="1" t="s">
        <v>1481</v>
      </c>
    </row>
    <row r="275" spans="61:75">
      <c r="BI275" s="1" t="s">
        <v>1482</v>
      </c>
      <c r="BW275" s="1" t="s">
        <v>1483</v>
      </c>
    </row>
    <row r="276" spans="61:75">
      <c r="BI276" s="1" t="s">
        <v>1484</v>
      </c>
      <c r="BW276" s="1" t="s">
        <v>1485</v>
      </c>
    </row>
    <row r="277" spans="61:75">
      <c r="BI277" s="1" t="s">
        <v>1486</v>
      </c>
      <c r="BW277" s="1" t="s">
        <v>1487</v>
      </c>
    </row>
    <row r="278" spans="61:75">
      <c r="BI278" s="1" t="s">
        <v>1488</v>
      </c>
      <c r="BW278" s="1" t="s">
        <v>1489</v>
      </c>
    </row>
    <row r="279" spans="61:75">
      <c r="BI279" s="1" t="s">
        <v>1490</v>
      </c>
      <c r="BW279" s="1" t="s">
        <v>1491</v>
      </c>
    </row>
    <row r="280" spans="61:75">
      <c r="BI280" s="1" t="s">
        <v>1492</v>
      </c>
      <c r="BW280" s="1" t="s">
        <v>1493</v>
      </c>
    </row>
    <row r="281" spans="61:75">
      <c r="BI281" s="1" t="s">
        <v>1494</v>
      </c>
      <c r="BW281" s="1" t="s">
        <v>1495</v>
      </c>
    </row>
    <row r="282" spans="61:75">
      <c r="BI282" s="1" t="s">
        <v>1496</v>
      </c>
      <c r="BW282" s="1" t="s">
        <v>1497</v>
      </c>
    </row>
    <row r="283" spans="61:75">
      <c r="BI283" s="1" t="s">
        <v>1498</v>
      </c>
      <c r="BW283" s="1" t="s">
        <v>1499</v>
      </c>
    </row>
    <row r="284" spans="61:75">
      <c r="BI284" s="1" t="s">
        <v>1500</v>
      </c>
      <c r="BW284" s="1" t="s">
        <v>1501</v>
      </c>
    </row>
    <row r="285" spans="61:75">
      <c r="BI285" s="1" t="s">
        <v>1502</v>
      </c>
      <c r="BW285" s="1" t="s">
        <v>1503</v>
      </c>
    </row>
    <row r="286" spans="61:75">
      <c r="BI286" s="1" t="s">
        <v>1504</v>
      </c>
      <c r="BW286" s="1" t="s">
        <v>1505</v>
      </c>
    </row>
    <row r="287" spans="61:75">
      <c r="BI287" s="1" t="s">
        <v>1506</v>
      </c>
      <c r="BW287" s="1" t="s">
        <v>1507</v>
      </c>
    </row>
    <row r="288" spans="61:75">
      <c r="BI288" s="1" t="s">
        <v>1508</v>
      </c>
      <c r="BW288" s="1" t="s">
        <v>1509</v>
      </c>
    </row>
    <row r="289" spans="61:61">
      <c r="BI289" s="1" t="s">
        <v>1510</v>
      </c>
    </row>
    <row r="290" spans="61:61">
      <c r="BI290" s="1" t="s">
        <v>1511</v>
      </c>
    </row>
    <row r="291" spans="61:61">
      <c r="BI291" s="1" t="s">
        <v>1512</v>
      </c>
    </row>
    <row r="292" spans="61:61">
      <c r="BI292" s="1" t="s">
        <v>1513</v>
      </c>
    </row>
    <row r="293" spans="61:61">
      <c r="BI293" s="1" t="s">
        <v>1514</v>
      </c>
    </row>
    <row r="294" spans="61:61">
      <c r="BI294" s="1" t="s">
        <v>1515</v>
      </c>
    </row>
    <row r="295" spans="61:61">
      <c r="BI295" s="1" t="s">
        <v>1516</v>
      </c>
    </row>
    <row r="296" spans="61:61">
      <c r="BI296" s="1" t="s">
        <v>1517</v>
      </c>
    </row>
    <row r="297" spans="61:61">
      <c r="BI297" s="1" t="s">
        <v>1518</v>
      </c>
    </row>
    <row r="298" spans="61:61">
      <c r="BI298" s="1" t="s">
        <v>1519</v>
      </c>
    </row>
    <row r="299" spans="61:61">
      <c r="BI299" s="1" t="s">
        <v>1520</v>
      </c>
    </row>
    <row r="300" spans="61:61">
      <c r="BI300" s="1" t="s">
        <v>925</v>
      </c>
    </row>
    <row r="301" spans="61:61">
      <c r="BI301" s="1" t="s">
        <v>1521</v>
      </c>
    </row>
    <row r="302" spans="61:61">
      <c r="BI302" s="1" t="s">
        <v>1522</v>
      </c>
    </row>
    <row r="303" spans="61:61">
      <c r="BI303" s="1" t="s">
        <v>1523</v>
      </c>
    </row>
    <row r="304" spans="61:61">
      <c r="BI304" s="1" t="s">
        <v>1524</v>
      </c>
    </row>
    <row r="305" spans="61:61">
      <c r="BI305" s="1" t="s">
        <v>860</v>
      </c>
    </row>
    <row r="306" spans="61:61">
      <c r="BI306" s="1" t="s">
        <v>1525</v>
      </c>
    </row>
    <row r="307" spans="61:61">
      <c r="BI307" s="1" t="s">
        <v>1526</v>
      </c>
    </row>
    <row r="308" spans="61:61">
      <c r="BI308" s="1" t="s">
        <v>1527</v>
      </c>
    </row>
    <row r="309" spans="61:61">
      <c r="BI309" s="1" t="s">
        <v>1528</v>
      </c>
    </row>
    <row r="310" spans="61:61">
      <c r="BI310" s="1" t="s">
        <v>1529</v>
      </c>
    </row>
    <row r="311" spans="61:61">
      <c r="BI311" s="1" t="s">
        <v>1530</v>
      </c>
    </row>
    <row r="312" spans="61:61">
      <c r="BI312" s="1" t="s">
        <v>1531</v>
      </c>
    </row>
    <row r="313" spans="61:61">
      <c r="BI313" s="1" t="s">
        <v>1532</v>
      </c>
    </row>
    <row r="314" spans="61:61">
      <c r="BI314" s="1" t="s">
        <v>1533</v>
      </c>
    </row>
    <row r="315" spans="61:61">
      <c r="BI315" s="1" t="s">
        <v>1534</v>
      </c>
    </row>
    <row r="316" spans="61:61">
      <c r="BI316" s="1" t="s">
        <v>1535</v>
      </c>
    </row>
    <row r="317" spans="61:61">
      <c r="BI317" s="1" t="s">
        <v>1536</v>
      </c>
    </row>
    <row r="318" spans="61:61">
      <c r="BI318" s="1" t="s">
        <v>1537</v>
      </c>
    </row>
    <row r="319" spans="61:61">
      <c r="BI319" s="1" t="s">
        <v>374</v>
      </c>
    </row>
    <row r="320" spans="61:61">
      <c r="BI320" s="1" t="s">
        <v>1538</v>
      </c>
    </row>
    <row r="321" spans="61:61">
      <c r="BI321" s="1" t="s">
        <v>1539</v>
      </c>
    </row>
    <row r="322" spans="61:61">
      <c r="BI322" s="1" t="s">
        <v>1540</v>
      </c>
    </row>
    <row r="323" spans="61:61">
      <c r="BI323" s="1" t="s">
        <v>1541</v>
      </c>
    </row>
    <row r="324" spans="61:61">
      <c r="BI324" s="1" t="s">
        <v>1542</v>
      </c>
    </row>
    <row r="325" spans="61:61">
      <c r="BI325" s="1" t="s">
        <v>1543</v>
      </c>
    </row>
    <row r="326" spans="61:61">
      <c r="BI326" s="1" t="s">
        <v>1544</v>
      </c>
    </row>
    <row r="327" spans="61:61">
      <c r="BI327" s="1" t="s">
        <v>1545</v>
      </c>
    </row>
    <row r="328" spans="61:61">
      <c r="BI328" s="1" t="s">
        <v>1546</v>
      </c>
    </row>
    <row r="329" spans="61:61">
      <c r="BI329" s="1" t="s">
        <v>1547</v>
      </c>
    </row>
    <row r="330" spans="61:61">
      <c r="BI330" s="1" t="s">
        <v>1548</v>
      </c>
    </row>
    <row r="331" spans="61:61">
      <c r="BI331" s="1" t="s">
        <v>1549</v>
      </c>
    </row>
    <row r="332" spans="61:61">
      <c r="BI332" s="1" t="s">
        <v>1550</v>
      </c>
    </row>
    <row r="333" spans="61:61">
      <c r="BI333" s="1" t="s">
        <v>1551</v>
      </c>
    </row>
    <row r="334" spans="61:61">
      <c r="BI334" s="1" t="s">
        <v>1552</v>
      </c>
    </row>
    <row r="335" spans="61:61">
      <c r="BI335" s="1" t="s">
        <v>1553</v>
      </c>
    </row>
    <row r="336" spans="61:61">
      <c r="BI336" s="1" t="s">
        <v>1554</v>
      </c>
    </row>
    <row r="337" spans="61:61">
      <c r="BI337" s="1" t="s">
        <v>255</v>
      </c>
    </row>
    <row r="338" spans="61:61">
      <c r="BI338" s="1" t="s">
        <v>1555</v>
      </c>
    </row>
    <row r="339" spans="61:61">
      <c r="BI339" s="1" t="s">
        <v>1556</v>
      </c>
    </row>
    <row r="340" spans="61:61">
      <c r="BI340" s="1" t="s">
        <v>1557</v>
      </c>
    </row>
    <row r="341" spans="61:61">
      <c r="BI341" s="1" t="s">
        <v>1558</v>
      </c>
    </row>
    <row r="342" spans="61:61">
      <c r="BI342" s="1" t="s">
        <v>1559</v>
      </c>
    </row>
    <row r="343" spans="61:61">
      <c r="BI343" s="1" t="s">
        <v>1560</v>
      </c>
    </row>
    <row r="344" spans="61:61">
      <c r="BI344" s="1" t="s">
        <v>1561</v>
      </c>
    </row>
    <row r="345" spans="61:61">
      <c r="BI345" s="1" t="s">
        <v>157</v>
      </c>
    </row>
    <row r="346" spans="61:61">
      <c r="BI346" s="1" t="s">
        <v>1562</v>
      </c>
    </row>
    <row r="347" spans="61:61">
      <c r="BI347" s="1" t="s">
        <v>1563</v>
      </c>
    </row>
    <row r="348" spans="61:61">
      <c r="BI348" s="1" t="s">
        <v>1564</v>
      </c>
    </row>
    <row r="349" spans="61:61">
      <c r="BI349" s="1" t="s">
        <v>208</v>
      </c>
    </row>
    <row r="350" spans="61:61">
      <c r="BI350" s="1" t="s">
        <v>1565</v>
      </c>
    </row>
    <row r="351" spans="61:61">
      <c r="BI351" s="1" t="s">
        <v>1566</v>
      </c>
    </row>
    <row r="352" spans="61:61">
      <c r="BI352" s="1" t="s">
        <v>1567</v>
      </c>
    </row>
    <row r="353" spans="61:61">
      <c r="BI353" s="1" t="s">
        <v>1568</v>
      </c>
    </row>
    <row r="354" spans="61:61">
      <c r="BI354" s="1" t="s">
        <v>1569</v>
      </c>
    </row>
    <row r="355" spans="61:61">
      <c r="BI355" s="1" t="s">
        <v>1570</v>
      </c>
    </row>
    <row r="356" spans="61:61">
      <c r="BI356" s="1" t="s">
        <v>1571</v>
      </c>
    </row>
    <row r="357" spans="61:61">
      <c r="BI357" s="1" t="s">
        <v>1572</v>
      </c>
    </row>
    <row r="358" spans="61:61">
      <c r="BI358" s="1" t="s">
        <v>1573</v>
      </c>
    </row>
    <row r="359" spans="61:61">
      <c r="BI359" s="1" t="s">
        <v>1574</v>
      </c>
    </row>
    <row r="360" spans="61:61">
      <c r="BI360" s="1" t="s">
        <v>1575</v>
      </c>
    </row>
    <row r="361" spans="61:61">
      <c r="BI361" s="1" t="s">
        <v>1576</v>
      </c>
    </row>
    <row r="362" spans="61:61">
      <c r="BI362" s="1" t="s">
        <v>1577</v>
      </c>
    </row>
    <row r="363" spans="61:61">
      <c r="BI363" s="1" t="s">
        <v>1578</v>
      </c>
    </row>
    <row r="364" spans="61:61">
      <c r="BI364" s="1" t="s">
        <v>1579</v>
      </c>
    </row>
    <row r="365" spans="61:61">
      <c r="BI365" s="1" t="s">
        <v>397</v>
      </c>
    </row>
    <row r="366" spans="61:61">
      <c r="BI366" s="1" t="s">
        <v>1580</v>
      </c>
    </row>
    <row r="367" spans="61:61">
      <c r="BI367" s="1" t="s">
        <v>1581</v>
      </c>
    </row>
    <row r="368" spans="61:61">
      <c r="BI368" s="1" t="s">
        <v>1582</v>
      </c>
    </row>
    <row r="369" spans="61:61">
      <c r="BI369" s="1" t="s">
        <v>1583</v>
      </c>
    </row>
    <row r="370" spans="61:61">
      <c r="BI370" s="1" t="s">
        <v>1584</v>
      </c>
    </row>
    <row r="371" spans="61:61">
      <c r="BI371" s="1" t="s">
        <v>1585</v>
      </c>
    </row>
    <row r="372" spans="61:61">
      <c r="BI372" s="1" t="s">
        <v>1586</v>
      </c>
    </row>
    <row r="373" spans="61:61">
      <c r="BI373" s="1" t="s">
        <v>1038</v>
      </c>
    </row>
    <row r="374" spans="61:61">
      <c r="BI374" s="1" t="s">
        <v>1587</v>
      </c>
    </row>
    <row r="375" spans="61:61">
      <c r="BI375" s="1" t="s">
        <v>1588</v>
      </c>
    </row>
    <row r="376" spans="61:61">
      <c r="BI376" s="1" t="s">
        <v>1589</v>
      </c>
    </row>
    <row r="377" spans="61:61">
      <c r="BI377" s="1" t="s">
        <v>1590</v>
      </c>
    </row>
    <row r="378" spans="61:61">
      <c r="BI378" s="1" t="s">
        <v>1591</v>
      </c>
    </row>
    <row r="379" spans="61:61">
      <c r="BI379" s="1" t="s">
        <v>1592</v>
      </c>
    </row>
    <row r="380" spans="61:61">
      <c r="BI380" s="1" t="s">
        <v>321</v>
      </c>
    </row>
    <row r="381" spans="61:61">
      <c r="BI381" s="1" t="s">
        <v>349</v>
      </c>
    </row>
    <row r="382" spans="61:61">
      <c r="BI382" s="1" t="s">
        <v>1593</v>
      </c>
    </row>
    <row r="383" spans="61:61">
      <c r="BI383" s="1" t="s">
        <v>1594</v>
      </c>
    </row>
    <row r="384" spans="61:61">
      <c r="BI384" s="1" t="s">
        <v>1595</v>
      </c>
    </row>
    <row r="385" spans="61:61">
      <c r="BI385" s="1" t="s">
        <v>1596</v>
      </c>
    </row>
    <row r="386" spans="61:61">
      <c r="BI386" s="1" t="s">
        <v>1597</v>
      </c>
    </row>
    <row r="387" spans="61:61">
      <c r="BI387" s="1" t="s">
        <v>1598</v>
      </c>
    </row>
    <row r="388" spans="61:61">
      <c r="BI388" s="1" t="s">
        <v>1599</v>
      </c>
    </row>
    <row r="389" spans="61:61">
      <c r="BI389" s="1" t="s">
        <v>1600</v>
      </c>
    </row>
    <row r="390" spans="61:61">
      <c r="BI390" s="1" t="s">
        <v>1601</v>
      </c>
    </row>
    <row r="391" spans="61:61">
      <c r="BI391" s="1" t="s">
        <v>437</v>
      </c>
    </row>
    <row r="392" spans="61:61">
      <c r="BI392" s="1" t="s">
        <v>1602</v>
      </c>
    </row>
    <row r="393" spans="61:61">
      <c r="BI393" s="1" t="s">
        <v>1603</v>
      </c>
    </row>
    <row r="394" spans="61:61">
      <c r="BI394" s="1" t="s">
        <v>1604</v>
      </c>
    </row>
    <row r="395" spans="61:61">
      <c r="BI395" s="1" t="s">
        <v>1605</v>
      </c>
    </row>
    <row r="396" spans="61:61">
      <c r="BI396" s="1" t="s">
        <v>1606</v>
      </c>
    </row>
    <row r="397" spans="61:61">
      <c r="BI397" s="1" t="s">
        <v>1607</v>
      </c>
    </row>
    <row r="398" spans="61:61">
      <c r="BI398" s="1" t="s">
        <v>1608</v>
      </c>
    </row>
    <row r="399" spans="61:61">
      <c r="BI399" s="1" t="s">
        <v>557</v>
      </c>
    </row>
    <row r="400" spans="61:61">
      <c r="BI400" s="1" t="s">
        <v>1609</v>
      </c>
    </row>
    <row r="401" spans="61:61">
      <c r="BI401" s="1" t="s">
        <v>1610</v>
      </c>
    </row>
    <row r="402" spans="61:61">
      <c r="BI402" s="1" t="s">
        <v>1611</v>
      </c>
    </row>
    <row r="403" spans="61:61">
      <c r="BI403" s="1" t="s">
        <v>566</v>
      </c>
    </row>
    <row r="404" spans="61:61">
      <c r="BI404" s="1" t="s">
        <v>1612</v>
      </c>
    </row>
    <row r="405" spans="61:61">
      <c r="BI405" s="1" t="s">
        <v>1613</v>
      </c>
    </row>
    <row r="406" spans="61:61">
      <c r="BI406" s="1" t="s">
        <v>1614</v>
      </c>
    </row>
    <row r="407" spans="61:61">
      <c r="BI407" s="1" t="s">
        <v>1615</v>
      </c>
    </row>
    <row r="408" spans="61:61">
      <c r="BI408" s="1" t="s">
        <v>1616</v>
      </c>
    </row>
    <row r="409" spans="61:61">
      <c r="BI409" s="1" t="s">
        <v>1617</v>
      </c>
    </row>
    <row r="410" spans="61:61">
      <c r="BI410" s="1" t="s">
        <v>1618</v>
      </c>
    </row>
    <row r="411" spans="61:61">
      <c r="BI411" s="1" t="s">
        <v>1619</v>
      </c>
    </row>
    <row r="412" spans="61:61">
      <c r="BI412" s="1" t="s">
        <v>1620</v>
      </c>
    </row>
    <row r="413" spans="61:61">
      <c r="BI413" s="1" t="s">
        <v>1621</v>
      </c>
    </row>
    <row r="414" spans="61:61">
      <c r="BI414" s="1" t="s">
        <v>1622</v>
      </c>
    </row>
    <row r="415" spans="61:61">
      <c r="BI415" s="1" t="s">
        <v>1623</v>
      </c>
    </row>
    <row r="416" spans="61:61">
      <c r="BI416" s="1" t="s">
        <v>1624</v>
      </c>
    </row>
    <row r="417" spans="61:61">
      <c r="BI417" s="1" t="s">
        <v>1625</v>
      </c>
    </row>
    <row r="418" spans="61:61">
      <c r="BI418" s="1" t="s">
        <v>1626</v>
      </c>
    </row>
    <row r="419" spans="61:61">
      <c r="BI419" s="1" t="s">
        <v>1627</v>
      </c>
    </row>
    <row r="420" spans="61:61">
      <c r="BI420" s="1" t="s">
        <v>1628</v>
      </c>
    </row>
    <row r="421" spans="61:61">
      <c r="BI421" s="1" t="s">
        <v>1629</v>
      </c>
    </row>
    <row r="422" spans="61:61">
      <c r="BI422" s="1" t="s">
        <v>1630</v>
      </c>
    </row>
    <row r="423" spans="61:61">
      <c r="BI423" s="1" t="s">
        <v>1631</v>
      </c>
    </row>
    <row r="424" spans="61:61">
      <c r="BI424" s="1" t="s">
        <v>1632</v>
      </c>
    </row>
    <row r="425" spans="61:61">
      <c r="BI425" s="1" t="s">
        <v>1633</v>
      </c>
    </row>
    <row r="426" spans="61:61">
      <c r="BI426" s="1" t="s">
        <v>1634</v>
      </c>
    </row>
    <row r="427" spans="61:61">
      <c r="BI427" s="1" t="s">
        <v>1635</v>
      </c>
    </row>
    <row r="428" spans="61:61">
      <c r="BI428" s="1" t="s">
        <v>1636</v>
      </c>
    </row>
    <row r="429" spans="61:61">
      <c r="BI429" s="1" t="s">
        <v>1637</v>
      </c>
    </row>
    <row r="430" spans="61:61">
      <c r="BI430" s="1" t="s">
        <v>1638</v>
      </c>
    </row>
    <row r="431" spans="61:61">
      <c r="BI431" s="1" t="s">
        <v>1639</v>
      </c>
    </row>
    <row r="432" spans="61:61">
      <c r="BI432" s="1" t="s">
        <v>1640</v>
      </c>
    </row>
    <row r="433" spans="61:61">
      <c r="BI433" s="1" t="s">
        <v>1641</v>
      </c>
    </row>
    <row r="434" spans="61:61">
      <c r="BI434" s="1" t="s">
        <v>1642</v>
      </c>
    </row>
    <row r="435" spans="61:61">
      <c r="BI435" s="1" t="s">
        <v>1643</v>
      </c>
    </row>
    <row r="436" spans="61:61">
      <c r="BI436" s="1" t="s">
        <v>1644</v>
      </c>
    </row>
    <row r="437" spans="61:61">
      <c r="BI437" s="1" t="s">
        <v>1645</v>
      </c>
    </row>
    <row r="438" spans="61:61">
      <c r="BI438" s="1" t="s">
        <v>1646</v>
      </c>
    </row>
    <row r="439" spans="61:61">
      <c r="BI439" s="1" t="s">
        <v>99</v>
      </c>
    </row>
    <row r="440" spans="61:61">
      <c r="BI440" s="1" t="s">
        <v>1647</v>
      </c>
    </row>
    <row r="441" spans="61:61">
      <c r="BI441" s="1" t="s">
        <v>1648</v>
      </c>
    </row>
    <row r="442" spans="61:61">
      <c r="BI442" s="1" t="s">
        <v>1649</v>
      </c>
    </row>
    <row r="443" spans="61:61">
      <c r="BI443" s="1" t="s">
        <v>1650</v>
      </c>
    </row>
    <row r="444" spans="61:61">
      <c r="BI444" s="1" t="s">
        <v>1651</v>
      </c>
    </row>
    <row r="445" spans="61:61">
      <c r="BI445" s="1" t="s">
        <v>1652</v>
      </c>
    </row>
    <row r="446" spans="61:61">
      <c r="BI446" s="1" t="s">
        <v>1653</v>
      </c>
    </row>
    <row r="447" spans="61:61">
      <c r="BI447" s="1" t="s">
        <v>1654</v>
      </c>
    </row>
    <row r="448" spans="61:61">
      <c r="BI448" s="1" t="s">
        <v>1655</v>
      </c>
    </row>
    <row r="449" spans="61:61">
      <c r="BI449" s="1" t="s">
        <v>494</v>
      </c>
    </row>
    <row r="450" spans="61:61">
      <c r="BI450" s="1" t="s">
        <v>1656</v>
      </c>
    </row>
    <row r="451" spans="61:61">
      <c r="BI451" s="1" t="s">
        <v>1176</v>
      </c>
    </row>
    <row r="452" spans="61:61">
      <c r="BI452" s="1" t="s">
        <v>1657</v>
      </c>
    </row>
    <row r="453" spans="61:61">
      <c r="BI453" s="1" t="s">
        <v>1658</v>
      </c>
    </row>
    <row r="454" spans="61:61">
      <c r="BI454" s="1" t="s">
        <v>1659</v>
      </c>
    </row>
    <row r="455" spans="61:61">
      <c r="BI455" s="1" t="s">
        <v>1660</v>
      </c>
    </row>
    <row r="456" spans="61:61">
      <c r="BI456" s="1" t="s">
        <v>1661</v>
      </c>
    </row>
    <row r="457" spans="61:61">
      <c r="BI457" s="1" t="s">
        <v>1662</v>
      </c>
    </row>
    <row r="458" spans="61:61">
      <c r="BI458" s="1" t="s">
        <v>1663</v>
      </c>
    </row>
    <row r="459" spans="61:61">
      <c r="BI459" s="1" t="s">
        <v>1664</v>
      </c>
    </row>
    <row r="460" spans="61:61">
      <c r="BI460" s="1" t="s">
        <v>1665</v>
      </c>
    </row>
    <row r="461" spans="61:61">
      <c r="BI461" s="1" t="s">
        <v>1666</v>
      </c>
    </row>
    <row r="462" spans="61:61">
      <c r="BI462" s="1" t="s">
        <v>1667</v>
      </c>
    </row>
    <row r="463" spans="61:61">
      <c r="BI463" s="1" t="s">
        <v>1668</v>
      </c>
    </row>
    <row r="464" spans="61:61">
      <c r="BI464" s="1" t="s">
        <v>535</v>
      </c>
    </row>
    <row r="465" spans="61:61">
      <c r="BI465" s="1" t="s">
        <v>1669</v>
      </c>
    </row>
    <row r="466" spans="61:61">
      <c r="BI466" s="1" t="s">
        <v>1670</v>
      </c>
    </row>
    <row r="467" spans="61:61">
      <c r="BI467" s="1" t="s">
        <v>1671</v>
      </c>
    </row>
    <row r="468" spans="61:61">
      <c r="BI468" s="1" t="s">
        <v>1365</v>
      </c>
    </row>
    <row r="469" spans="61:61">
      <c r="BI469" s="1" t="s">
        <v>1672</v>
      </c>
    </row>
    <row r="470" spans="61:61">
      <c r="BI470" s="1" t="s">
        <v>1673</v>
      </c>
    </row>
    <row r="471" spans="61:61">
      <c r="BI471" s="1" t="s">
        <v>1674</v>
      </c>
    </row>
    <row r="472" spans="61:61">
      <c r="BI472" s="1" t="s">
        <v>1675</v>
      </c>
    </row>
    <row r="473" spans="61:61">
      <c r="BI473" s="1" t="s">
        <v>1676</v>
      </c>
    </row>
    <row r="474" spans="61:61">
      <c r="BI474" s="1" t="s">
        <v>1677</v>
      </c>
    </row>
    <row r="475" spans="61:61">
      <c r="BI475" s="1" t="s">
        <v>1678</v>
      </c>
    </row>
    <row r="476" spans="61:61">
      <c r="BI476" s="1" t="s">
        <v>1679</v>
      </c>
    </row>
    <row r="477" spans="61:61">
      <c r="BI477" s="1" t="s">
        <v>1680</v>
      </c>
    </row>
    <row r="478" spans="61:61">
      <c r="BI478" s="1" t="s">
        <v>1681</v>
      </c>
    </row>
    <row r="479" spans="61:61">
      <c r="BI479" s="1" t="s">
        <v>1682</v>
      </c>
    </row>
    <row r="480" spans="61:61">
      <c r="BI480" s="1" t="s">
        <v>1683</v>
      </c>
    </row>
    <row r="481" spans="61:61">
      <c r="BI481" s="1" t="s">
        <v>1684</v>
      </c>
    </row>
    <row r="482" spans="61:61">
      <c r="BI482" s="1" t="s">
        <v>1685</v>
      </c>
    </row>
    <row r="483" spans="61:61">
      <c r="BI483" s="1" t="s">
        <v>1686</v>
      </c>
    </row>
    <row r="484" spans="61:61">
      <c r="BI484" s="1" t="s">
        <v>1687</v>
      </c>
    </row>
    <row r="485" spans="61:61">
      <c r="BI485" s="1" t="s">
        <v>1688</v>
      </c>
    </row>
    <row r="486" spans="61:61">
      <c r="BI486" s="1" t="s">
        <v>1689</v>
      </c>
    </row>
    <row r="487" spans="61:61">
      <c r="BI487" s="1" t="s">
        <v>1690</v>
      </c>
    </row>
    <row r="488" spans="61:61">
      <c r="BI488" s="1" t="s">
        <v>1691</v>
      </c>
    </row>
    <row r="489" spans="61:61">
      <c r="BI489" s="1" t="s">
        <v>1692</v>
      </c>
    </row>
    <row r="490" spans="61:61">
      <c r="BI490" s="1" t="s">
        <v>1693</v>
      </c>
    </row>
    <row r="491" spans="61:61">
      <c r="BI491" s="1" t="s">
        <v>522</v>
      </c>
    </row>
    <row r="492" spans="61:61">
      <c r="BI492" s="1" t="s">
        <v>419</v>
      </c>
    </row>
    <row r="493" spans="61:61">
      <c r="BI493" s="1" t="s">
        <v>1694</v>
      </c>
    </row>
    <row r="494" spans="61:61">
      <c r="BI494" s="1" t="s">
        <v>1381</v>
      </c>
    </row>
    <row r="495" spans="61:61">
      <c r="BI495" s="1" t="s">
        <v>1695</v>
      </c>
    </row>
    <row r="496" spans="61:61">
      <c r="BI496" s="1" t="s">
        <v>1696</v>
      </c>
    </row>
    <row r="497" spans="61:61">
      <c r="BI497" s="1" t="s">
        <v>1697</v>
      </c>
    </row>
    <row r="498" spans="61:61">
      <c r="BI498" s="1" t="s">
        <v>1698</v>
      </c>
    </row>
    <row r="499" spans="61:61">
      <c r="BI499" s="1" t="s">
        <v>840</v>
      </c>
    </row>
    <row r="500" spans="61:61">
      <c r="BI500" s="1" t="s">
        <v>1699</v>
      </c>
    </row>
    <row r="501" spans="61:61">
      <c r="BI501" s="1" t="s">
        <v>1700</v>
      </c>
    </row>
    <row r="502" spans="61:61">
      <c r="BI502" s="1" t="s">
        <v>1701</v>
      </c>
    </row>
    <row r="503" spans="61:61">
      <c r="BI503" s="1" t="s">
        <v>1702</v>
      </c>
    </row>
    <row r="504" spans="61:61">
      <c r="BI504" s="1" t="s">
        <v>1703</v>
      </c>
    </row>
    <row r="505" spans="61:61">
      <c r="BI505" s="1" t="s">
        <v>1704</v>
      </c>
    </row>
    <row r="506" spans="61:61">
      <c r="BI506" s="1" t="s">
        <v>547</v>
      </c>
    </row>
    <row r="507" spans="61:61">
      <c r="BI507" s="1" t="s">
        <v>1705</v>
      </c>
    </row>
    <row r="508" spans="61:61">
      <c r="BI508" s="1" t="s">
        <v>1706</v>
      </c>
    </row>
    <row r="509" spans="61:61">
      <c r="BI509" s="1" t="s">
        <v>1707</v>
      </c>
    </row>
    <row r="510" spans="61:61">
      <c r="BI510" s="1" t="s">
        <v>466</v>
      </c>
    </row>
    <row r="511" spans="61:61">
      <c r="BI511" s="1" t="s">
        <v>1708</v>
      </c>
    </row>
    <row r="512" spans="61:61">
      <c r="BI512" s="1" t="s">
        <v>1709</v>
      </c>
    </row>
    <row r="513" spans="61:61">
      <c r="BI513" s="1" t="s">
        <v>1710</v>
      </c>
    </row>
    <row r="514" spans="61:61">
      <c r="BI514" s="1" t="s">
        <v>1711</v>
      </c>
    </row>
    <row r="515" spans="61:61">
      <c r="BI515" s="1" t="s">
        <v>1712</v>
      </c>
    </row>
    <row r="516" spans="61:61">
      <c r="BI516" s="1" t="s">
        <v>293</v>
      </c>
    </row>
    <row r="517" spans="61:61">
      <c r="BI517" s="1" t="s">
        <v>1713</v>
      </c>
    </row>
    <row r="518" spans="61:61">
      <c r="BI518" s="1" t="s">
        <v>1714</v>
      </c>
    </row>
    <row r="519" spans="61:61">
      <c r="BI519" s="1" t="s">
        <v>1715</v>
      </c>
    </row>
    <row r="520" spans="61:61">
      <c r="BI520" s="1" t="s">
        <v>1716</v>
      </c>
    </row>
    <row r="521" spans="61:61">
      <c r="BI521" s="1" t="s">
        <v>1717</v>
      </c>
    </row>
    <row r="522" spans="61:61">
      <c r="BI522" s="1" t="s">
        <v>1718</v>
      </c>
    </row>
    <row r="523" spans="61:61">
      <c r="BI523" s="1" t="s">
        <v>508</v>
      </c>
    </row>
    <row r="524" spans="61:61">
      <c r="BI524" s="1" t="s">
        <v>1719</v>
      </c>
    </row>
    <row r="525" spans="61:61">
      <c r="BI525" s="1" t="s">
        <v>1720</v>
      </c>
    </row>
    <row r="526" spans="61:61">
      <c r="BI526" s="1" t="s">
        <v>1721</v>
      </c>
    </row>
    <row r="527" spans="61:61">
      <c r="BI527" s="1" t="s">
        <v>1722</v>
      </c>
    </row>
    <row r="528" spans="61:61">
      <c r="BI528" s="1" t="s">
        <v>1723</v>
      </c>
    </row>
    <row r="529" spans="61:61">
      <c r="BI529" s="1" t="s">
        <v>1724</v>
      </c>
    </row>
    <row r="530" spans="61:61">
      <c r="BI530" s="1" t="s">
        <v>1725</v>
      </c>
    </row>
    <row r="531" spans="61:61">
      <c r="BI531" s="1" t="s">
        <v>1726</v>
      </c>
    </row>
    <row r="532" spans="61:61">
      <c r="BI532" s="1" t="s">
        <v>1727</v>
      </c>
    </row>
    <row r="533" spans="61:61">
      <c r="BI533" s="1" t="s">
        <v>1728</v>
      </c>
    </row>
    <row r="534" spans="61:61">
      <c r="BI534" s="1" t="s">
        <v>1729</v>
      </c>
    </row>
    <row r="535" spans="61:61">
      <c r="BI535" s="1" t="s">
        <v>147</v>
      </c>
    </row>
    <row r="536" spans="61:61">
      <c r="BI536" s="1" t="s">
        <v>1730</v>
      </c>
    </row>
    <row r="537" spans="61:61">
      <c r="BI537" s="1" t="s">
        <v>1731</v>
      </c>
    </row>
    <row r="538" spans="61:61">
      <c r="BI538" s="1" t="s">
        <v>1732</v>
      </c>
    </row>
    <row r="539" spans="61:61">
      <c r="BI539" s="1" t="s">
        <v>1733</v>
      </c>
    </row>
    <row r="540" spans="61:61">
      <c r="BI540" s="1" t="s">
        <v>480</v>
      </c>
    </row>
    <row r="541" spans="61:61">
      <c r="BI541" s="1" t="s">
        <v>1734</v>
      </c>
    </row>
    <row r="542" spans="61:61">
      <c r="BI542" s="1" t="s">
        <v>1735</v>
      </c>
    </row>
    <row r="543" spans="61:61">
      <c r="BI543" s="1" t="s">
        <v>1736</v>
      </c>
    </row>
    <row r="544" spans="61:61">
      <c r="BI544" s="1" t="s">
        <v>1737</v>
      </c>
    </row>
    <row r="545" spans="61:61">
      <c r="BI545" s="1" t="s">
        <v>1738</v>
      </c>
    </row>
    <row r="546" spans="61:61">
      <c r="BI546" s="1" t="s">
        <v>1739</v>
      </c>
    </row>
  </sheetData>
  <pageMargins left="0.75" right="0.75" top="1" bottom="1" header="0.5" footer="0.5"/>
  <pageSetup paperSize="1"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A1:B194"/>
  <sheetViews>
    <sheetView workbookViewId="0">
      <selection activeCell="A1" sqref="A1"/>
    </sheetView>
  </sheetViews>
  <sheetFormatPr defaultColWidth="9" defaultRowHeight="16.8" outlineLevelCol="1"/>
  <sheetData>
    <row r="1" spans="1:2">
      <c r="A1" s="1" t="s">
        <v>0</v>
      </c>
      <c r="B1" s="1" t="s">
        <v>1</v>
      </c>
    </row>
    <row r="2" spans="1:2">
      <c r="A2" s="1" t="s">
        <v>51</v>
      </c>
      <c r="B2" s="1">
        <v>1</v>
      </c>
    </row>
    <row r="3" spans="1:2">
      <c r="A3" s="1" t="s">
        <v>60</v>
      </c>
      <c r="B3" s="1">
        <v>1</v>
      </c>
    </row>
    <row r="4" spans="1:2">
      <c r="A4" s="1" t="s">
        <v>13</v>
      </c>
      <c r="B4" s="1">
        <v>1</v>
      </c>
    </row>
    <row r="5" spans="1:2">
      <c r="A5" s="1" t="s">
        <v>67</v>
      </c>
      <c r="B5" s="1">
        <v>1</v>
      </c>
    </row>
    <row r="6" spans="1:2">
      <c r="A6" s="1" t="s">
        <v>1740</v>
      </c>
      <c r="B6" s="1">
        <v>1</v>
      </c>
    </row>
    <row r="7" spans="1:2">
      <c r="A7" s="1" t="s">
        <v>2</v>
      </c>
      <c r="B7" s="1">
        <v>1</v>
      </c>
    </row>
    <row r="8" spans="1:2">
      <c r="A8" s="1" t="s">
        <v>37</v>
      </c>
      <c r="B8" s="1">
        <v>1</v>
      </c>
    </row>
    <row r="9" spans="1:2">
      <c r="A9" s="1" t="s">
        <v>74</v>
      </c>
      <c r="B9" s="1">
        <v>1</v>
      </c>
    </row>
    <row r="10" spans="1:2">
      <c r="A10" s="1" t="s">
        <v>21</v>
      </c>
      <c r="B10" s="1">
        <v>1</v>
      </c>
    </row>
    <row r="11" spans="1:2">
      <c r="A11" s="1" t="s">
        <v>45</v>
      </c>
      <c r="B11" s="1">
        <v>1</v>
      </c>
    </row>
    <row r="12" spans="1:2">
      <c r="A12" s="1" t="s">
        <v>36</v>
      </c>
      <c r="B12" s="1">
        <v>1</v>
      </c>
    </row>
    <row r="13" spans="1:2">
      <c r="A13" s="1" t="s">
        <v>4</v>
      </c>
      <c r="B13" s="1">
        <v>1</v>
      </c>
    </row>
    <row r="14" spans="1:2">
      <c r="A14" s="1" t="s">
        <v>24</v>
      </c>
      <c r="B14" s="1">
        <v>1</v>
      </c>
    </row>
    <row r="15" spans="1:2">
      <c r="A15" s="1" t="s">
        <v>49</v>
      </c>
      <c r="B15" s="1">
        <v>1</v>
      </c>
    </row>
    <row r="16" spans="1:2">
      <c r="A16" s="1" t="s">
        <v>1741</v>
      </c>
      <c r="B16" s="1">
        <v>1</v>
      </c>
    </row>
    <row r="17" spans="1:2">
      <c r="A17" s="1" t="s">
        <v>8</v>
      </c>
      <c r="B17" s="1">
        <v>1</v>
      </c>
    </row>
    <row r="18" spans="1:2">
      <c r="A18" s="1" t="s">
        <v>39</v>
      </c>
      <c r="B18" s="1">
        <v>1</v>
      </c>
    </row>
    <row r="19" spans="1:2">
      <c r="A19" s="1" t="s">
        <v>1742</v>
      </c>
      <c r="B19" s="1">
        <v>1</v>
      </c>
    </row>
    <row r="20" spans="1:2">
      <c r="A20" s="1" t="s">
        <v>1743</v>
      </c>
      <c r="B20" s="1">
        <v>1</v>
      </c>
    </row>
    <row r="21" spans="1:2">
      <c r="A21" s="1" t="s">
        <v>1744</v>
      </c>
      <c r="B21" s="1">
        <v>1</v>
      </c>
    </row>
    <row r="22" spans="1:2">
      <c r="A22" s="1" t="s">
        <v>1745</v>
      </c>
      <c r="B22" s="1">
        <v>1</v>
      </c>
    </row>
    <row r="23" spans="1:2">
      <c r="A23" s="1" t="s">
        <v>1746</v>
      </c>
      <c r="B23" s="1">
        <v>1</v>
      </c>
    </row>
    <row r="24" spans="1:2">
      <c r="A24" s="1" t="s">
        <v>44</v>
      </c>
      <c r="B24" s="1">
        <v>1</v>
      </c>
    </row>
    <row r="25" spans="1:2">
      <c r="A25" s="1" t="s">
        <v>10</v>
      </c>
      <c r="B25" s="1">
        <v>1</v>
      </c>
    </row>
    <row r="26" spans="1:2">
      <c r="A26" s="1" t="s">
        <v>12</v>
      </c>
      <c r="B26" s="1">
        <v>1</v>
      </c>
    </row>
    <row r="27" spans="1:2">
      <c r="A27" s="1" t="s">
        <v>1747</v>
      </c>
      <c r="B27" s="1">
        <v>1</v>
      </c>
    </row>
    <row r="28" spans="1:2">
      <c r="A28" s="1" t="s">
        <v>73</v>
      </c>
      <c r="B28" s="1">
        <v>1</v>
      </c>
    </row>
    <row r="29" spans="1:2">
      <c r="A29" s="1" t="s">
        <v>1748</v>
      </c>
      <c r="B29" s="1">
        <v>1</v>
      </c>
    </row>
    <row r="30" spans="1:2">
      <c r="A30" s="1" t="s">
        <v>0</v>
      </c>
      <c r="B30" s="1" t="s">
        <v>1</v>
      </c>
    </row>
    <row r="31" spans="1:2">
      <c r="A31" s="1" t="s">
        <v>33</v>
      </c>
      <c r="B31" s="1">
        <v>1</v>
      </c>
    </row>
    <row r="32" spans="1:2">
      <c r="A32" s="1" t="s">
        <v>1749</v>
      </c>
      <c r="B32" s="1">
        <v>1</v>
      </c>
    </row>
    <row r="33" spans="1:2">
      <c r="A33" s="1" t="s">
        <v>1750</v>
      </c>
      <c r="B33" s="1">
        <v>1</v>
      </c>
    </row>
    <row r="34" spans="1:2">
      <c r="A34" s="1" t="s">
        <v>59</v>
      </c>
      <c r="B34" s="1">
        <v>1</v>
      </c>
    </row>
    <row r="35" spans="1:2">
      <c r="A35" s="1" t="s">
        <v>1751</v>
      </c>
      <c r="B35" s="1">
        <v>1</v>
      </c>
    </row>
    <row r="36" spans="1:2">
      <c r="A36" s="1" t="s">
        <v>1752</v>
      </c>
      <c r="B36" s="1">
        <v>1</v>
      </c>
    </row>
    <row r="37" spans="1:2">
      <c r="A37" s="1" t="s">
        <v>1753</v>
      </c>
      <c r="B37" s="1">
        <v>1</v>
      </c>
    </row>
    <row r="38" spans="1:2">
      <c r="A38" s="1" t="s">
        <v>1754</v>
      </c>
      <c r="B38" s="1">
        <v>1</v>
      </c>
    </row>
    <row r="39" spans="1:2">
      <c r="A39" s="1" t="s">
        <v>6</v>
      </c>
      <c r="B39" s="1">
        <v>1</v>
      </c>
    </row>
    <row r="40" spans="1:2">
      <c r="A40" s="1" t="s">
        <v>1755</v>
      </c>
      <c r="B40" s="1">
        <v>1</v>
      </c>
    </row>
    <row r="41" spans="1:2">
      <c r="A41" s="1" t="s">
        <v>1756</v>
      </c>
      <c r="B41" s="1">
        <v>1</v>
      </c>
    </row>
    <row r="42" spans="1:2">
      <c r="A42" s="1" t="s">
        <v>3</v>
      </c>
      <c r="B42" s="1">
        <v>1</v>
      </c>
    </row>
    <row r="43" spans="1:2">
      <c r="A43" s="1" t="s">
        <v>1757</v>
      </c>
      <c r="B43" s="1">
        <v>1</v>
      </c>
    </row>
    <row r="44" spans="1:2">
      <c r="A44" s="1" t="s">
        <v>26</v>
      </c>
      <c r="B44" s="1">
        <v>1</v>
      </c>
    </row>
    <row r="45" spans="1:2">
      <c r="A45" s="1" t="s">
        <v>1758</v>
      </c>
      <c r="B45" s="1">
        <v>1</v>
      </c>
    </row>
    <row r="46" spans="1:2">
      <c r="A46" s="1" t="s">
        <v>1759</v>
      </c>
      <c r="B46" s="1">
        <v>1</v>
      </c>
    </row>
    <row r="47" spans="1:2">
      <c r="A47" s="1" t="s">
        <v>1760</v>
      </c>
      <c r="B47" s="1">
        <v>1</v>
      </c>
    </row>
    <row r="48" spans="1:2">
      <c r="A48" s="1" t="s">
        <v>1761</v>
      </c>
      <c r="B48" s="1">
        <v>1</v>
      </c>
    </row>
    <row r="49" spans="1:2">
      <c r="A49" s="1" t="s">
        <v>53</v>
      </c>
      <c r="B49" s="1">
        <v>1</v>
      </c>
    </row>
    <row r="50" spans="1:2">
      <c r="A50" s="1" t="s">
        <v>1762</v>
      </c>
      <c r="B50" s="1">
        <v>1</v>
      </c>
    </row>
    <row r="51" spans="1:2">
      <c r="A51" s="1" t="s">
        <v>61</v>
      </c>
      <c r="B51" s="1">
        <v>1</v>
      </c>
    </row>
    <row r="52" spans="1:2">
      <c r="A52" s="1" t="s">
        <v>14</v>
      </c>
      <c r="B52" s="1">
        <v>1</v>
      </c>
    </row>
    <row r="53" spans="1:2">
      <c r="A53" s="1" t="s">
        <v>1763</v>
      </c>
      <c r="B53" s="1">
        <v>1</v>
      </c>
    </row>
    <row r="54" spans="1:2">
      <c r="A54" s="1" t="s">
        <v>9</v>
      </c>
      <c r="B54" s="1">
        <v>1</v>
      </c>
    </row>
    <row r="55" spans="1:2">
      <c r="A55" s="1" t="s">
        <v>16</v>
      </c>
      <c r="B55" s="1">
        <v>1</v>
      </c>
    </row>
    <row r="56" spans="1:2">
      <c r="A56" s="1" t="s">
        <v>25</v>
      </c>
      <c r="B56" s="1">
        <v>1</v>
      </c>
    </row>
    <row r="57" spans="1:2">
      <c r="A57" s="1" t="s">
        <v>50</v>
      </c>
      <c r="B57" s="1">
        <v>1</v>
      </c>
    </row>
    <row r="58" spans="1:2">
      <c r="A58" s="1" t="s">
        <v>1764</v>
      </c>
      <c r="B58" s="1">
        <v>1</v>
      </c>
    </row>
    <row r="59" spans="1:2">
      <c r="A59" s="1" t="s">
        <v>1765</v>
      </c>
      <c r="B59" s="1">
        <v>1</v>
      </c>
    </row>
    <row r="60" spans="1:2">
      <c r="A60" s="1" t="s">
        <v>1766</v>
      </c>
      <c r="B60" s="1">
        <v>1</v>
      </c>
    </row>
    <row r="61" spans="1:2">
      <c r="A61" s="1" t="s">
        <v>18</v>
      </c>
      <c r="B61" s="1">
        <v>1</v>
      </c>
    </row>
    <row r="62" spans="1:2">
      <c r="A62" s="1" t="s">
        <v>15</v>
      </c>
      <c r="B62" s="1">
        <v>1</v>
      </c>
    </row>
    <row r="63" spans="1:2">
      <c r="A63" s="1" t="s">
        <v>68</v>
      </c>
      <c r="B63" s="1">
        <v>1</v>
      </c>
    </row>
    <row r="64" spans="1:2">
      <c r="A64" s="1" t="s">
        <v>1767</v>
      </c>
      <c r="B64" s="1">
        <v>1</v>
      </c>
    </row>
    <row r="65" spans="1:2">
      <c r="A65" s="1" t="s">
        <v>1768</v>
      </c>
      <c r="B65" s="1">
        <v>1</v>
      </c>
    </row>
    <row r="66" spans="1:2">
      <c r="A66" s="1" t="s">
        <v>35</v>
      </c>
      <c r="B66" s="1">
        <v>1</v>
      </c>
    </row>
    <row r="67" spans="1:2">
      <c r="A67" s="1" t="s">
        <v>1769</v>
      </c>
      <c r="B67" s="1">
        <v>1</v>
      </c>
    </row>
    <row r="68" spans="1:2">
      <c r="A68" s="1" t="s">
        <v>56</v>
      </c>
      <c r="B68" s="1">
        <v>1</v>
      </c>
    </row>
    <row r="69" spans="1:2">
      <c r="A69" s="1" t="s">
        <v>23</v>
      </c>
      <c r="B69" s="1">
        <v>1</v>
      </c>
    </row>
    <row r="70" spans="1:2">
      <c r="A70" s="1" t="s">
        <v>1770</v>
      </c>
      <c r="B70" s="1">
        <v>1</v>
      </c>
    </row>
    <row r="71" spans="1:2">
      <c r="A71" s="1" t="s">
        <v>1771</v>
      </c>
      <c r="B71" s="1">
        <v>1</v>
      </c>
    </row>
    <row r="72" spans="1:2">
      <c r="A72" s="1" t="s">
        <v>1772</v>
      </c>
      <c r="B72" s="1">
        <v>1</v>
      </c>
    </row>
    <row r="73" spans="1:2">
      <c r="A73" s="1" t="s">
        <v>1773</v>
      </c>
      <c r="B73" s="1">
        <v>1</v>
      </c>
    </row>
    <row r="74" spans="1:2">
      <c r="A74" s="1" t="s">
        <v>22</v>
      </c>
      <c r="B74" s="1">
        <v>1</v>
      </c>
    </row>
    <row r="75" spans="1:2">
      <c r="A75" s="1" t="s">
        <v>1774</v>
      </c>
      <c r="B75" s="1">
        <v>1</v>
      </c>
    </row>
    <row r="76" spans="1:2">
      <c r="A76" s="1" t="s">
        <v>46</v>
      </c>
      <c r="B76" s="1">
        <v>1</v>
      </c>
    </row>
    <row r="77" spans="1:2">
      <c r="A77" s="1" t="s">
        <v>38</v>
      </c>
      <c r="B77" s="1">
        <v>1</v>
      </c>
    </row>
    <row r="78" spans="1:2">
      <c r="A78" s="1" t="s">
        <v>1775</v>
      </c>
      <c r="B78" s="1">
        <v>1</v>
      </c>
    </row>
    <row r="79" spans="1:2">
      <c r="A79" s="1" t="s">
        <v>1776</v>
      </c>
      <c r="B79" s="1">
        <v>1</v>
      </c>
    </row>
    <row r="80" spans="1:2">
      <c r="A80" s="1" t="s">
        <v>1777</v>
      </c>
      <c r="B80" s="1">
        <v>1</v>
      </c>
    </row>
    <row r="81" spans="1:2">
      <c r="A81" s="1" t="s">
        <v>1778</v>
      </c>
      <c r="B81" s="1">
        <v>1</v>
      </c>
    </row>
    <row r="82" spans="1:2">
      <c r="A82" s="1" t="s">
        <v>1779</v>
      </c>
      <c r="B82" s="1">
        <v>1</v>
      </c>
    </row>
    <row r="83" spans="1:2">
      <c r="A83" s="1" t="s">
        <v>1780</v>
      </c>
      <c r="B83" s="1">
        <v>1</v>
      </c>
    </row>
    <row r="84" spans="1:2">
      <c r="A84" s="1" t="s">
        <v>1781</v>
      </c>
      <c r="B84" s="1">
        <v>1</v>
      </c>
    </row>
    <row r="85" spans="1:2">
      <c r="A85" s="1" t="s">
        <v>1782</v>
      </c>
      <c r="B85" s="1">
        <v>1</v>
      </c>
    </row>
    <row r="86" spans="1:2">
      <c r="A86" s="1" t="s">
        <v>1783</v>
      </c>
      <c r="B86" s="1">
        <v>1</v>
      </c>
    </row>
    <row r="87" spans="1:2">
      <c r="A87" s="1" t="s">
        <v>11</v>
      </c>
      <c r="B87" s="1">
        <v>1</v>
      </c>
    </row>
    <row r="88" spans="1:2">
      <c r="A88" s="1" t="s">
        <v>42</v>
      </c>
      <c r="B88" s="1">
        <v>1</v>
      </c>
    </row>
    <row r="89" spans="1:2">
      <c r="A89" s="1" t="s">
        <v>1784</v>
      </c>
      <c r="B89" s="1">
        <v>1</v>
      </c>
    </row>
    <row r="90" spans="1:2">
      <c r="A90" s="1" t="s">
        <v>1785</v>
      </c>
      <c r="B90" s="1">
        <v>1</v>
      </c>
    </row>
    <row r="91" spans="1:2">
      <c r="A91" s="1" t="s">
        <v>1786</v>
      </c>
      <c r="B91" s="1">
        <v>1</v>
      </c>
    </row>
    <row r="92" spans="1:2">
      <c r="A92" s="1" t="s">
        <v>34</v>
      </c>
      <c r="B92" s="1">
        <v>1</v>
      </c>
    </row>
    <row r="93" spans="1:2">
      <c r="A93" s="1" t="s">
        <v>1787</v>
      </c>
      <c r="B93" s="1">
        <v>1</v>
      </c>
    </row>
    <row r="94" spans="1:2">
      <c r="A94" s="1" t="s">
        <v>1788</v>
      </c>
      <c r="B94" s="1">
        <v>1</v>
      </c>
    </row>
    <row r="95" spans="1:2">
      <c r="A95" s="1" t="s">
        <v>1789</v>
      </c>
      <c r="B95" s="1">
        <v>1</v>
      </c>
    </row>
    <row r="96" spans="1:2">
      <c r="A96" s="1" t="s">
        <v>1790</v>
      </c>
      <c r="B96" s="1">
        <v>1</v>
      </c>
    </row>
    <row r="97" spans="1:2">
      <c r="A97" s="1" t="s">
        <v>28</v>
      </c>
      <c r="B97" s="1">
        <v>1</v>
      </c>
    </row>
    <row r="98" spans="1:2">
      <c r="A98" s="1" t="s">
        <v>1791</v>
      </c>
      <c r="B98" s="1">
        <v>1</v>
      </c>
    </row>
    <row r="99" spans="1:2">
      <c r="A99" s="1" t="s">
        <v>1792</v>
      </c>
      <c r="B99" s="1">
        <v>1</v>
      </c>
    </row>
    <row r="100" spans="1:2">
      <c r="A100" s="1" t="s">
        <v>1793</v>
      </c>
      <c r="B100" s="1">
        <v>1</v>
      </c>
    </row>
    <row r="101" spans="1:2">
      <c r="A101" s="1" t="s">
        <v>1794</v>
      </c>
      <c r="B101" s="1">
        <v>1</v>
      </c>
    </row>
    <row r="102" spans="1:2">
      <c r="A102" s="1" t="s">
        <v>1795</v>
      </c>
      <c r="B102" s="1">
        <v>1</v>
      </c>
    </row>
    <row r="103" spans="1:2">
      <c r="A103" s="1" t="s">
        <v>65</v>
      </c>
      <c r="B103" s="1">
        <v>1</v>
      </c>
    </row>
    <row r="104" spans="1:2">
      <c r="A104" s="1" t="s">
        <v>27</v>
      </c>
      <c r="B104" s="1">
        <v>1</v>
      </c>
    </row>
    <row r="105" spans="1:2">
      <c r="A105" s="1" t="s">
        <v>1796</v>
      </c>
      <c r="B105" s="1">
        <v>1</v>
      </c>
    </row>
    <row r="106" spans="1:2">
      <c r="A106" s="1" t="s">
        <v>1797</v>
      </c>
      <c r="B106" s="1">
        <v>1</v>
      </c>
    </row>
    <row r="107" spans="1:2">
      <c r="A107" s="1" t="s">
        <v>75</v>
      </c>
      <c r="B107" s="1">
        <v>1</v>
      </c>
    </row>
    <row r="108" spans="1:2">
      <c r="A108" s="1" t="s">
        <v>1798</v>
      </c>
      <c r="B108" s="1">
        <v>1</v>
      </c>
    </row>
    <row r="109" spans="1:2">
      <c r="A109" s="1" t="s">
        <v>1799</v>
      </c>
      <c r="B109" s="1">
        <v>1</v>
      </c>
    </row>
    <row r="110" spans="1:2">
      <c r="A110" s="1" t="s">
        <v>1800</v>
      </c>
      <c r="B110" s="1">
        <v>1</v>
      </c>
    </row>
    <row r="111" spans="1:2">
      <c r="A111" s="1" t="s">
        <v>52</v>
      </c>
      <c r="B111" s="1">
        <v>1</v>
      </c>
    </row>
    <row r="112" spans="1:2">
      <c r="A112" s="1" t="s">
        <v>1801</v>
      </c>
      <c r="B112" s="1">
        <v>1</v>
      </c>
    </row>
    <row r="113" spans="1:2">
      <c r="A113" s="1" t="s">
        <v>1802</v>
      </c>
      <c r="B113" s="1">
        <v>1</v>
      </c>
    </row>
    <row r="114" spans="1:2">
      <c r="A114" s="1" t="s">
        <v>1803</v>
      </c>
      <c r="B114" s="1">
        <v>1</v>
      </c>
    </row>
    <row r="115" spans="1:2">
      <c r="A115" s="1" t="s">
        <v>1804</v>
      </c>
      <c r="B115" s="1">
        <v>1</v>
      </c>
    </row>
    <row r="116" spans="1:2">
      <c r="A116" s="1" t="s">
        <v>1805</v>
      </c>
      <c r="B116" s="1">
        <v>1</v>
      </c>
    </row>
    <row r="117" spans="1:2">
      <c r="A117" s="1" t="s">
        <v>1806</v>
      </c>
      <c r="B117" s="1">
        <v>1</v>
      </c>
    </row>
    <row r="118" spans="1:2">
      <c r="A118" s="1" t="s">
        <v>1807</v>
      </c>
      <c r="B118" s="1">
        <v>1</v>
      </c>
    </row>
    <row r="119" spans="1:2">
      <c r="A119" s="1" t="s">
        <v>1808</v>
      </c>
      <c r="B119" s="1">
        <v>1</v>
      </c>
    </row>
    <row r="120" spans="1:2">
      <c r="A120" s="1" t="s">
        <v>1809</v>
      </c>
      <c r="B120" s="1">
        <v>1</v>
      </c>
    </row>
    <row r="121" spans="1:2">
      <c r="A121" s="1" t="s">
        <v>1810</v>
      </c>
      <c r="B121" s="1">
        <v>1</v>
      </c>
    </row>
    <row r="122" spans="1:2">
      <c r="A122" s="1" t="s">
        <v>1811</v>
      </c>
      <c r="B122" s="1">
        <v>1</v>
      </c>
    </row>
    <row r="123" spans="1:2">
      <c r="A123" s="1" t="s">
        <v>1812</v>
      </c>
      <c r="B123" s="1">
        <v>1</v>
      </c>
    </row>
    <row r="124" spans="1:2">
      <c r="A124" s="1" t="s">
        <v>41</v>
      </c>
      <c r="B124" s="1">
        <v>1</v>
      </c>
    </row>
    <row r="125" spans="1:2">
      <c r="A125" s="1" t="s">
        <v>1813</v>
      </c>
      <c r="B125" s="1">
        <v>1</v>
      </c>
    </row>
    <row r="126" spans="1:2">
      <c r="A126" s="1" t="s">
        <v>29</v>
      </c>
      <c r="B126" s="1">
        <v>1</v>
      </c>
    </row>
    <row r="127" spans="1:2">
      <c r="A127" s="1" t="s">
        <v>1814</v>
      </c>
      <c r="B127" s="1">
        <v>1</v>
      </c>
    </row>
    <row r="128" spans="1:2">
      <c r="A128" s="1" t="s">
        <v>47</v>
      </c>
      <c r="B128" s="1">
        <v>1</v>
      </c>
    </row>
    <row r="129" spans="1:2">
      <c r="A129" s="1" t="s">
        <v>1815</v>
      </c>
      <c r="B129" s="1">
        <v>1</v>
      </c>
    </row>
    <row r="130" spans="1:2">
      <c r="A130" s="1" t="s">
        <v>1816</v>
      </c>
      <c r="B130" s="1">
        <v>1</v>
      </c>
    </row>
    <row r="131" spans="1:2">
      <c r="A131" s="1" t="s">
        <v>1817</v>
      </c>
      <c r="B131" s="1">
        <v>1</v>
      </c>
    </row>
    <row r="132" spans="1:2">
      <c r="A132" s="1" t="s">
        <v>1818</v>
      </c>
      <c r="B132" s="1">
        <v>1</v>
      </c>
    </row>
    <row r="133" spans="1:2">
      <c r="A133" s="1" t="s">
        <v>1819</v>
      </c>
      <c r="B133" s="1">
        <v>1</v>
      </c>
    </row>
    <row r="134" spans="1:2">
      <c r="A134" s="1" t="s">
        <v>1820</v>
      </c>
      <c r="B134" s="1">
        <v>1</v>
      </c>
    </row>
    <row r="135" spans="1:2">
      <c r="A135" s="1" t="s">
        <v>1821</v>
      </c>
      <c r="B135" s="1">
        <v>1</v>
      </c>
    </row>
    <row r="136" spans="1:2">
      <c r="A136" s="1" t="s">
        <v>1822</v>
      </c>
      <c r="B136" s="1">
        <v>1</v>
      </c>
    </row>
    <row r="137" spans="1:2">
      <c r="A137" s="1" t="s">
        <v>30</v>
      </c>
      <c r="B137" s="1">
        <v>1</v>
      </c>
    </row>
    <row r="138" spans="1:2">
      <c r="A138" s="1" t="s">
        <v>1823</v>
      </c>
      <c r="B138" s="1">
        <v>1</v>
      </c>
    </row>
    <row r="139" spans="1:2">
      <c r="A139" s="1" t="s">
        <v>55</v>
      </c>
      <c r="B139" s="1">
        <v>1</v>
      </c>
    </row>
    <row r="140" spans="1:2">
      <c r="A140" s="1" t="s">
        <v>32</v>
      </c>
      <c r="B140" s="1">
        <v>1</v>
      </c>
    </row>
    <row r="141" spans="1:2">
      <c r="A141" s="1" t="s">
        <v>66</v>
      </c>
      <c r="B141" s="1">
        <v>1</v>
      </c>
    </row>
    <row r="142" spans="1:2">
      <c r="A142" s="1" t="s">
        <v>62</v>
      </c>
      <c r="B142" s="1">
        <v>1</v>
      </c>
    </row>
    <row r="143" spans="1:2">
      <c r="A143" s="1" t="s">
        <v>5</v>
      </c>
      <c r="B143" s="1">
        <v>1</v>
      </c>
    </row>
    <row r="144" spans="1:2">
      <c r="A144" s="1" t="s">
        <v>1824</v>
      </c>
      <c r="B144" s="1">
        <v>1</v>
      </c>
    </row>
    <row r="145" spans="1:2">
      <c r="A145" s="1" t="s">
        <v>1825</v>
      </c>
      <c r="B145" s="1">
        <v>1</v>
      </c>
    </row>
    <row r="146" spans="1:2">
      <c r="A146" s="1" t="s">
        <v>1826</v>
      </c>
      <c r="B146" s="1">
        <v>1</v>
      </c>
    </row>
    <row r="147" spans="1:2">
      <c r="A147" s="1" t="s">
        <v>71</v>
      </c>
      <c r="B147" s="1">
        <v>1</v>
      </c>
    </row>
    <row r="148" spans="1:2">
      <c r="A148" s="1" t="s">
        <v>1827</v>
      </c>
      <c r="B148" s="1">
        <v>1</v>
      </c>
    </row>
    <row r="149" spans="1:2">
      <c r="A149" s="1" t="s">
        <v>31</v>
      </c>
      <c r="B149" s="1">
        <v>1</v>
      </c>
    </row>
    <row r="150" spans="1:2">
      <c r="A150" s="1" t="s">
        <v>1828</v>
      </c>
      <c r="B150" s="1">
        <v>1</v>
      </c>
    </row>
    <row r="151" spans="1:2">
      <c r="A151" s="1" t="s">
        <v>48</v>
      </c>
      <c r="B151" s="1">
        <v>1</v>
      </c>
    </row>
    <row r="152" spans="1:2">
      <c r="A152" s="1" t="s">
        <v>1829</v>
      </c>
      <c r="B152" s="1">
        <v>1</v>
      </c>
    </row>
    <row r="153" spans="1:2">
      <c r="A153" s="1" t="s">
        <v>1830</v>
      </c>
      <c r="B153" s="1">
        <v>1</v>
      </c>
    </row>
    <row r="154" spans="1:2">
      <c r="A154" s="1" t="s">
        <v>1831</v>
      </c>
      <c r="B154" s="1">
        <v>1</v>
      </c>
    </row>
    <row r="155" spans="1:2">
      <c r="A155" s="1" t="s">
        <v>1832</v>
      </c>
      <c r="B155" s="1">
        <v>1</v>
      </c>
    </row>
    <row r="156" spans="1:2">
      <c r="A156" s="1" t="s">
        <v>1833</v>
      </c>
      <c r="B156" s="1">
        <v>1</v>
      </c>
    </row>
    <row r="157" spans="1:2">
      <c r="A157" s="1" t="s">
        <v>63</v>
      </c>
      <c r="B157" s="1">
        <v>1</v>
      </c>
    </row>
    <row r="158" spans="1:2">
      <c r="A158" s="1" t="s">
        <v>1834</v>
      </c>
      <c r="B158" s="1">
        <v>1</v>
      </c>
    </row>
    <row r="159" spans="1:2">
      <c r="A159" s="1" t="s">
        <v>1835</v>
      </c>
      <c r="B159" s="1">
        <v>1</v>
      </c>
    </row>
    <row r="160" spans="1:2">
      <c r="A160" s="1" t="s">
        <v>1836</v>
      </c>
      <c r="B160" s="1">
        <v>1</v>
      </c>
    </row>
    <row r="161" spans="1:2">
      <c r="A161" s="1" t="s">
        <v>1837</v>
      </c>
      <c r="B161" s="1">
        <v>1</v>
      </c>
    </row>
    <row r="162" spans="1:2">
      <c r="A162" s="1" t="s">
        <v>57</v>
      </c>
      <c r="B162" s="1">
        <v>1</v>
      </c>
    </row>
    <row r="163" spans="1:2">
      <c r="A163" s="1" t="s">
        <v>1838</v>
      </c>
      <c r="B163" s="1">
        <v>1</v>
      </c>
    </row>
    <row r="164" spans="1:2">
      <c r="A164" s="1" t="s">
        <v>43</v>
      </c>
      <c r="B164" s="1">
        <v>1</v>
      </c>
    </row>
    <row r="165" spans="1:2">
      <c r="A165" s="1" t="s">
        <v>1839</v>
      </c>
      <c r="B165" s="1">
        <v>1</v>
      </c>
    </row>
    <row r="166" spans="1:2">
      <c r="A166" s="1" t="s">
        <v>1840</v>
      </c>
      <c r="B166" s="1">
        <v>1</v>
      </c>
    </row>
    <row r="167" spans="1:2">
      <c r="A167" s="1" t="s">
        <v>40</v>
      </c>
      <c r="B167" s="1">
        <v>1</v>
      </c>
    </row>
    <row r="168" spans="1:2">
      <c r="A168" s="1" t="s">
        <v>58</v>
      </c>
      <c r="B168" s="1">
        <v>1</v>
      </c>
    </row>
    <row r="169" spans="1:2">
      <c r="A169" s="1" t="s">
        <v>64</v>
      </c>
      <c r="B169" s="1">
        <v>1</v>
      </c>
    </row>
    <row r="170" spans="1:2">
      <c r="A170" s="1" t="s">
        <v>1841</v>
      </c>
      <c r="B170" s="1">
        <v>1</v>
      </c>
    </row>
    <row r="171" spans="1:2">
      <c r="A171" s="1" t="s">
        <v>1842</v>
      </c>
      <c r="B171" s="1">
        <v>1</v>
      </c>
    </row>
    <row r="172" spans="1:2">
      <c r="A172" s="1" t="s">
        <v>1843</v>
      </c>
      <c r="B172" s="1">
        <v>1</v>
      </c>
    </row>
    <row r="173" spans="1:2">
      <c r="A173" s="1" t="s">
        <v>1844</v>
      </c>
      <c r="B173" s="1">
        <v>1</v>
      </c>
    </row>
    <row r="174" spans="1:2">
      <c r="A174" s="1" t="s">
        <v>17</v>
      </c>
      <c r="B174" s="1">
        <v>1</v>
      </c>
    </row>
    <row r="175" spans="1:2">
      <c r="A175" s="1" t="s">
        <v>1845</v>
      </c>
      <c r="B175" s="1">
        <v>1</v>
      </c>
    </row>
    <row r="176" spans="1:2">
      <c r="A176" s="1" t="s">
        <v>1846</v>
      </c>
      <c r="B176" s="1">
        <v>1</v>
      </c>
    </row>
    <row r="177" spans="1:2">
      <c r="A177" s="1" t="s">
        <v>1847</v>
      </c>
      <c r="B177" s="1">
        <v>1</v>
      </c>
    </row>
    <row r="178" spans="1:2">
      <c r="A178" s="1" t="s">
        <v>1848</v>
      </c>
      <c r="B178" s="1">
        <v>1</v>
      </c>
    </row>
    <row r="179" spans="1:2">
      <c r="A179" s="1" t="s">
        <v>1849</v>
      </c>
      <c r="B179" s="1">
        <v>1</v>
      </c>
    </row>
    <row r="180" spans="1:2">
      <c r="A180" s="1" t="s">
        <v>1850</v>
      </c>
      <c r="B180" s="1">
        <v>1</v>
      </c>
    </row>
    <row r="181" spans="1:2">
      <c r="A181" s="1" t="s">
        <v>54</v>
      </c>
      <c r="B181" s="1">
        <v>1</v>
      </c>
    </row>
    <row r="182" spans="1:2">
      <c r="A182" s="1" t="s">
        <v>70</v>
      </c>
      <c r="B182" s="1">
        <v>1</v>
      </c>
    </row>
    <row r="183" spans="1:2">
      <c r="A183" s="1" t="s">
        <v>1851</v>
      </c>
      <c r="B183" s="1">
        <v>1</v>
      </c>
    </row>
    <row r="184" spans="1:2">
      <c r="A184" s="1" t="s">
        <v>69</v>
      </c>
      <c r="B184" s="1">
        <v>1</v>
      </c>
    </row>
    <row r="185" spans="1:2">
      <c r="A185" s="1" t="s">
        <v>1852</v>
      </c>
      <c r="B185" s="1">
        <v>1</v>
      </c>
    </row>
    <row r="186" spans="1:2">
      <c r="A186" s="1" t="s">
        <v>1853</v>
      </c>
      <c r="B186" s="1">
        <v>1</v>
      </c>
    </row>
    <row r="187" spans="1:2">
      <c r="A187" s="1" t="s">
        <v>1854</v>
      </c>
      <c r="B187" s="1">
        <v>1</v>
      </c>
    </row>
    <row r="188" spans="1:2">
      <c r="A188" s="1" t="s">
        <v>1855</v>
      </c>
      <c r="B188" s="1">
        <v>1</v>
      </c>
    </row>
    <row r="189" spans="1:2">
      <c r="A189" s="1" t="s">
        <v>1856</v>
      </c>
      <c r="B189" s="1">
        <v>1</v>
      </c>
    </row>
    <row r="190" spans="1:2">
      <c r="A190" s="1" t="s">
        <v>0</v>
      </c>
      <c r="B190" s="1" t="s">
        <v>1</v>
      </c>
    </row>
    <row r="191" spans="1:2">
      <c r="A191" s="1" t="s">
        <v>19</v>
      </c>
      <c r="B191" s="1">
        <v>1</v>
      </c>
    </row>
    <row r="192" spans="1:2">
      <c r="A192" s="1" t="s">
        <v>7</v>
      </c>
      <c r="B192" s="1">
        <v>1</v>
      </c>
    </row>
    <row r="193" spans="1:2">
      <c r="A193" s="1" t="s">
        <v>20</v>
      </c>
      <c r="B193" s="1">
        <v>1</v>
      </c>
    </row>
    <row r="194" spans="1:2">
      <c r="A194" s="1" t="s">
        <v>72</v>
      </c>
      <c r="B194" s="1">
        <v>1</v>
      </c>
    </row>
  </sheetData>
  <pageMargins left="0.75" right="0.75" top="1" bottom="1" header="0.5" footer="0.5"/>
  <pageSetup paperSize="1"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dimension ref="A1:GI40"/>
  <sheetViews>
    <sheetView tabSelected="1" workbookViewId="0">
      <pane xSplit="2" topLeftCell="C1" activePane="topRight" state="frozen"/>
      <selection/>
      <selection pane="topRight" activeCell="F25" sqref="F25"/>
    </sheetView>
  </sheetViews>
  <sheetFormatPr defaultColWidth="9" defaultRowHeight="15.2"/>
  <cols>
    <col min="1" max="1" width="8.16964285714286" style="2" customWidth="1"/>
    <col min="2" max="2" width="15.4196428571429" style="2" customWidth="1"/>
    <col min="3" max="3" width="12.8303571428571" style="2" customWidth="1"/>
    <col min="4" max="4" width="17.6339285714286" style="2" customWidth="1"/>
    <col min="5" max="5" width="20.6696428571429" style="2" customWidth="1"/>
    <col min="6" max="6" width="7.66964285714286" style="2" customWidth="1"/>
    <col min="7" max="7" width="95" style="2" customWidth="1"/>
    <col min="8" max="9" width="9" style="2" hidden="1" customWidth="1" outlineLevel="1" collapsed="1"/>
    <col min="10" max="10" width="12" style="2" customWidth="1" outlineLevel="1" collapsed="1"/>
    <col min="11" max="11" width="14.25" style="2" customWidth="1"/>
    <col min="12" max="22" width="9" style="2" hidden="1" customWidth="1" outlineLevel="1" collapsed="1"/>
    <col min="23" max="23" width="6.38392857142857" style="3" customWidth="1" collapsed="1"/>
    <col min="24" max="24" width="8.38392857142857" style="4" customWidth="1"/>
    <col min="25" max="25" width="9.41964285714286" style="2" customWidth="1"/>
    <col min="26" max="26" width="9.83035714285714" style="2" customWidth="1"/>
    <col min="27" max="27" width="21.75" style="2" customWidth="1"/>
    <col min="28" max="28" width="9.66964285714286" style="2" customWidth="1"/>
    <col min="29" max="29" width="13.5" style="2" customWidth="1"/>
    <col min="30" max="30" width="27.75" style="2" hidden="1" customWidth="1"/>
    <col min="31" max="31" width="13.25" style="2" customWidth="1"/>
    <col min="32" max="32" width="12" style="2" customWidth="1"/>
    <col min="33" max="33" width="31.25" style="2" hidden="1" customWidth="1"/>
    <col min="34" max="47" width="9" style="2" hidden="1" customWidth="1" outlineLevel="1" collapsed="1"/>
    <col min="48" max="48" width="10.5" style="2" customWidth="1" collapsed="1"/>
    <col min="49" max="49" width="11.25" style="5" customWidth="1" outlineLevel="1" collapsed="1"/>
    <col min="50" max="50" width="9" style="2" customWidth="1" outlineLevel="1" collapsed="1"/>
    <col min="51" max="51" width="22.3303571428571" style="2" customWidth="1" outlineLevel="1" collapsed="1"/>
    <col min="52" max="52" width="0.107142857142857" style="2" customWidth="1" outlineLevel="1" collapsed="1"/>
    <col min="53" max="53" width="9" style="4" hidden="1" customWidth="1" outlineLevel="1" collapsed="1"/>
    <col min="54" max="54" width="9" style="2" hidden="1" customWidth="1" outlineLevel="1" collapsed="1"/>
    <col min="55" max="55" width="19.8839285714286" style="6" customWidth="1"/>
    <col min="56" max="57" width="27.8303571428571" style="2" customWidth="1" outlineLevel="1" collapsed="1"/>
    <col min="58" max="58" width="27.8303571428571" style="6" customWidth="1" outlineLevel="1" collapsed="1"/>
    <col min="59" max="60" width="27.8303571428571" style="2" customWidth="1" outlineLevel="1" collapsed="1"/>
    <col min="61" max="61" width="13.3839285714286" style="2" customWidth="1"/>
    <col min="62" max="62" width="17" style="2" customWidth="1"/>
    <col min="63" max="63" width="5" style="2" customWidth="1"/>
    <col min="64" max="64" width="9" style="2" hidden="1" customWidth="1" outlineLevel="1" collapsed="1"/>
    <col min="65" max="65" width="10.5" style="2" customWidth="1" collapsed="1"/>
    <col min="66" max="66" width="8" style="2" customWidth="1"/>
    <col min="67" max="67" width="13.5" style="2" customWidth="1"/>
    <col min="68" max="68" width="12.75" style="2" customWidth="1"/>
    <col min="69" max="70" width="9" style="2" hidden="1" customWidth="1" outlineLevel="1" collapsed="1"/>
    <col min="71" max="71" width="10" style="2" customWidth="1" collapsed="1"/>
    <col min="72" max="79" width="9" style="2" hidden="1" customWidth="1" outlineLevel="1" collapsed="1"/>
    <col min="80" max="80" width="11.8928571428571" style="6" customWidth="1" outlineLevel="1" collapsed="1"/>
    <col min="81" max="82" width="9" style="2" hidden="1" customWidth="1" outlineLevel="1" collapsed="1"/>
    <col min="83" max="83" width="14.5803571428571" style="2" customWidth="1"/>
    <col min="84" max="84" width="9" style="7" hidden="1" customWidth="1" outlineLevel="1" collapsed="1"/>
    <col min="85" max="85" width="13.1071428571429" style="2" customWidth="1" collapsed="1"/>
    <col min="86" max="88" width="9" style="2" hidden="1" customWidth="1" outlineLevel="1" collapsed="1"/>
    <col min="89" max="89" width="13.25" style="8" hidden="1" customWidth="1" collapsed="1"/>
    <col min="90" max="90" width="9" style="2" hidden="1" customWidth="1" outlineLevel="1" collapsed="1"/>
    <col min="91" max="91" width="6" style="2" customWidth="1" collapsed="1"/>
    <col min="92" max="92" width="16.25" style="2" customWidth="1"/>
    <col min="93" max="93" width="9" style="2" hidden="1" customWidth="1" outlineLevel="1" collapsed="1"/>
    <col min="94" max="94" width="26.3839285714286" style="2" customWidth="1" collapsed="1"/>
    <col min="95" max="97" width="9" style="3" hidden="1" customWidth="1" outlineLevel="1" collapsed="1"/>
    <col min="98" max="98" width="9" style="2" hidden="1" customWidth="1" outlineLevel="1" collapsed="1"/>
    <col min="99" max="99" width="9" style="3" hidden="1" customWidth="1" outlineLevel="1" collapsed="1"/>
    <col min="100" max="102" width="9" style="2" hidden="1" customWidth="1" outlineLevel="1" collapsed="1"/>
    <col min="103" max="103" width="13.0803571428571" style="2" customWidth="1" collapsed="1"/>
    <col min="104" max="104" width="14.8303571428571" style="2" customWidth="1"/>
    <col min="105" max="105" width="4.66964285714286" style="2" customWidth="1"/>
    <col min="106" max="106" width="12.4464285714286" style="2" hidden="1" customWidth="1"/>
    <col min="107" max="109" width="24.6339285714286" style="2" hidden="1" customWidth="1"/>
    <col min="110" max="111" width="23.75" style="4" hidden="1" customWidth="1"/>
    <col min="112" max="112" width="17.4464285714286" style="4" hidden="1" customWidth="1"/>
    <col min="113" max="113" width="31.1339285714286" style="3" hidden="1" customWidth="1"/>
    <col min="114" max="114" width="27.6339285714286" style="2" hidden="1" customWidth="1"/>
    <col min="115" max="115" width="27.1339285714286" style="4" hidden="1" customWidth="1"/>
    <col min="116" max="116" width="25.1339285714286" style="4" hidden="1" customWidth="1"/>
    <col min="117" max="117" width="24.75" style="2" hidden="1" customWidth="1"/>
    <col min="118" max="118" width="0.330357142857143" style="3" hidden="1" customWidth="1"/>
    <col min="119" max="119" width="41.25" style="2" hidden="1" customWidth="1"/>
    <col min="120" max="120" width="25.5" style="3" hidden="1" customWidth="1"/>
    <col min="121" max="121" width="33.8839285714286" style="2" hidden="1" customWidth="1"/>
    <col min="122" max="122" width="7" style="2" hidden="1" customWidth="1"/>
    <col min="123" max="123" width="43.1339285714286" style="2" hidden="1" customWidth="1"/>
    <col min="124" max="124" width="21.5535714285714" style="2" hidden="1" customWidth="1"/>
    <col min="125" max="126" width="43.1339285714286" style="2" hidden="1" customWidth="1"/>
    <col min="127" max="127" width="11" style="2" hidden="1" customWidth="1"/>
    <col min="128" max="128" width="37.6339285714286" style="2" hidden="1" customWidth="1"/>
    <col min="129" max="129" width="15.8839285714286" style="3" hidden="1" customWidth="1"/>
    <col min="130" max="130" width="25.5" style="2" hidden="1" customWidth="1"/>
    <col min="131" max="131" width="20.5" style="3" hidden="1" customWidth="1"/>
    <col min="132" max="132" width="39.75" style="2" hidden="1" customWidth="1"/>
    <col min="133" max="133" width="9" style="2" hidden="1" customWidth="1" outlineLevel="1" collapsed="1"/>
    <col min="134" max="134" width="10.1339285714286" style="2" customWidth="1" collapsed="1"/>
    <col min="135" max="135" width="9" style="3" hidden="1" customWidth="1" outlineLevel="1" collapsed="1"/>
    <col min="136" max="137" width="9" style="2" hidden="1" customWidth="1" outlineLevel="1" collapsed="1"/>
    <col min="138" max="138" width="14.6696428571429" style="2" customWidth="1" collapsed="1"/>
    <col min="139" max="140" width="9" style="2" hidden="1" customWidth="1" outlineLevel="1" collapsed="1"/>
    <col min="141" max="141" width="0.330357142857143" style="2" hidden="1" customWidth="1" collapsed="1"/>
    <col min="142" max="142" width="30.5535714285714" style="2" hidden="1" customWidth="1"/>
    <col min="143" max="143" width="68.3839285714286" style="2" hidden="1" customWidth="1"/>
    <col min="144" max="144" width="6.25" style="2" hidden="1" customWidth="1"/>
    <col min="145" max="145" width="9" style="4" hidden="1" customWidth="1" outlineLevel="1" collapsed="1"/>
    <col min="146" max="146" width="9" style="3" hidden="1" customWidth="1" outlineLevel="1" collapsed="1"/>
    <col min="147" max="148" width="9" style="7" hidden="1" customWidth="1" outlineLevel="1" collapsed="1"/>
    <col min="149" max="151" width="9" style="4" hidden="1" customWidth="1" outlineLevel="1" collapsed="1"/>
    <col min="152" max="154" width="9" style="2" hidden="1" customWidth="1" outlineLevel="1" collapsed="1"/>
    <col min="155" max="156" width="9" style="7" hidden="1" customWidth="1" outlineLevel="1" collapsed="1"/>
    <col min="157" max="157" width="9" style="2" hidden="1" customWidth="1" outlineLevel="1" collapsed="1"/>
    <col min="158" max="158" width="18.4464285714286" style="3" customWidth="1" collapsed="1"/>
    <col min="159" max="159" width="9" style="7" hidden="1" customWidth="1" outlineLevel="1" collapsed="1"/>
    <col min="160" max="160" width="9" style="2" hidden="1" customWidth="1" outlineLevel="1" collapsed="1"/>
    <col min="161" max="161" width="9" style="4" hidden="1" customWidth="1" outlineLevel="1" collapsed="1"/>
    <col min="162" max="162" width="9" style="7" hidden="1" customWidth="1" outlineLevel="1" collapsed="1"/>
    <col min="163" max="163" width="9" style="4" hidden="1" customWidth="1" outlineLevel="1" collapsed="1"/>
    <col min="164" max="164" width="9" style="2" hidden="1" customWidth="1" outlineLevel="1" collapsed="1"/>
    <col min="165" max="165" width="9" style="7" hidden="1" customWidth="1" outlineLevel="1" collapsed="1"/>
    <col min="166" max="169" width="9" style="2" hidden="1" customWidth="1" outlineLevel="1" collapsed="1"/>
    <col min="170" max="170" width="0.223214285714286" style="3" hidden="1" customWidth="1" collapsed="1"/>
    <col min="171" max="171" width="9" style="2" hidden="1" customWidth="1" outlineLevel="1" collapsed="1"/>
    <col min="172" max="172" width="9" style="4" hidden="1" customWidth="1" outlineLevel="1" collapsed="1"/>
    <col min="173" max="173" width="9" style="3" hidden="1" customWidth="1" outlineLevel="1" collapsed="1"/>
    <col min="174" max="174" width="9" style="4" hidden="1" customWidth="1" outlineLevel="1" collapsed="1"/>
    <col min="175" max="175" width="9" style="3" hidden="1" customWidth="1" outlineLevel="1" collapsed="1"/>
    <col min="176" max="176" width="9" style="4" hidden="1" customWidth="1" outlineLevel="1" collapsed="1"/>
    <col min="177" max="177" width="9" style="3" hidden="1" customWidth="1" outlineLevel="1" collapsed="1"/>
    <col min="178" max="178" width="9" style="4" hidden="1" customWidth="1" outlineLevel="1" collapsed="1"/>
    <col min="179" max="179" width="9" style="3" hidden="1" customWidth="1" outlineLevel="1" collapsed="1"/>
    <col min="180" max="180" width="9" style="4" hidden="1" customWidth="1" outlineLevel="1" collapsed="1"/>
    <col min="181" max="181" width="9" style="3" hidden="1" customWidth="1" outlineLevel="1" collapsed="1"/>
    <col min="182" max="182" width="9" style="2" hidden="1" customWidth="1" outlineLevel="1" collapsed="1"/>
    <col min="183" max="183" width="9" style="4" hidden="1" customWidth="1" outlineLevel="1" collapsed="1"/>
    <col min="184" max="184" width="9" style="3" hidden="1" customWidth="1" outlineLevel="1" collapsed="1"/>
    <col min="185" max="185" width="9" style="4" hidden="1" customWidth="1" outlineLevel="1" collapsed="1"/>
    <col min="186" max="186" width="9" style="3" hidden="1" customWidth="1" outlineLevel="1" collapsed="1"/>
    <col min="187" max="187" width="9" style="4" hidden="1" customWidth="1" outlineLevel="1" collapsed="1"/>
    <col min="188" max="188" width="9" style="3" hidden="1" customWidth="1" outlineLevel="1" collapsed="1"/>
    <col min="189" max="191" width="9" style="2" hidden="1" customWidth="1" outlineLevel="1" collapsed="1"/>
    <col min="192" max="192" width="8" style="9" customWidth="1" collapsed="1"/>
    <col min="193" max="16384" width="8" style="9" customWidth="1"/>
  </cols>
  <sheetData>
    <row r="1" ht="16.8" spans="1:191">
      <c r="A1" s="10" t="s">
        <v>1857</v>
      </c>
      <c r="B1" s="10" t="s">
        <v>1858</v>
      </c>
      <c r="C1" s="10" t="s">
        <v>1859</v>
      </c>
      <c r="D1" s="10" t="s">
        <v>1860</v>
      </c>
      <c r="E1" s="11" t="s">
        <v>1861</v>
      </c>
      <c r="F1" s="11"/>
      <c r="G1" s="11"/>
      <c r="H1" s="11"/>
      <c r="I1" s="11"/>
      <c r="J1" s="11"/>
      <c r="K1" s="11"/>
      <c r="L1" s="11"/>
      <c r="M1" s="11"/>
      <c r="N1" s="11"/>
      <c r="O1" s="11"/>
      <c r="P1" s="11"/>
      <c r="Q1" s="11"/>
      <c r="R1" s="11"/>
      <c r="S1" s="11"/>
      <c r="T1" s="11"/>
      <c r="U1" s="11"/>
      <c r="V1" s="11"/>
      <c r="W1" s="12"/>
      <c r="X1" s="13"/>
      <c r="Y1" s="11"/>
      <c r="Z1" s="11"/>
      <c r="AA1" s="11"/>
      <c r="AB1" s="11"/>
      <c r="AC1" s="11"/>
      <c r="AD1" s="11"/>
      <c r="AE1" s="11"/>
      <c r="AF1" s="11"/>
      <c r="AG1" s="14" t="s">
        <v>1862</v>
      </c>
      <c r="AH1" s="14"/>
      <c r="AI1" s="14"/>
      <c r="AJ1" s="14"/>
      <c r="AK1" s="14"/>
      <c r="AL1" s="14"/>
      <c r="AM1" s="14"/>
      <c r="AN1" s="14"/>
      <c r="AO1" s="14"/>
      <c r="AP1" s="14"/>
      <c r="AQ1" s="14"/>
      <c r="AR1" s="14"/>
      <c r="AS1" s="14"/>
      <c r="AT1" s="14"/>
      <c r="AU1" s="14"/>
      <c r="AV1" s="15" t="s">
        <v>1863</v>
      </c>
      <c r="AW1" s="16"/>
      <c r="AX1" s="15"/>
      <c r="AY1" s="15"/>
      <c r="AZ1" s="15"/>
      <c r="BA1" s="17"/>
      <c r="BB1" s="15"/>
      <c r="BC1" s="18" t="s">
        <v>1864</v>
      </c>
      <c r="BD1" s="19"/>
      <c r="BE1" s="19"/>
      <c r="BF1" s="18"/>
      <c r="BG1" s="19"/>
      <c r="BH1" s="19"/>
      <c r="BI1" s="19"/>
      <c r="BJ1" s="19"/>
      <c r="BK1" s="19"/>
      <c r="BL1" s="19"/>
      <c r="BM1" s="19"/>
      <c r="BN1" s="19"/>
      <c r="BO1" s="19"/>
      <c r="BP1" s="19"/>
      <c r="BQ1" s="19"/>
      <c r="BR1" s="19"/>
      <c r="BS1" s="19"/>
      <c r="BT1" s="19"/>
      <c r="BU1" s="19"/>
      <c r="BV1" s="19"/>
      <c r="BW1" s="19"/>
      <c r="BX1" s="19"/>
      <c r="BY1" s="19"/>
      <c r="BZ1" s="19"/>
      <c r="CA1" s="19"/>
      <c r="CB1" s="18"/>
      <c r="CC1" s="19"/>
      <c r="CD1" s="19"/>
      <c r="CE1" s="19"/>
      <c r="CF1" s="20"/>
      <c r="CG1" s="21" t="s">
        <v>1865</v>
      </c>
      <c r="CH1" s="21"/>
      <c r="CI1" s="21"/>
      <c r="CJ1" s="21"/>
      <c r="CK1" s="22" t="s">
        <v>1866</v>
      </c>
      <c r="CL1" s="23"/>
      <c r="CM1" s="23"/>
      <c r="CN1" s="23"/>
      <c r="CO1" s="23"/>
      <c r="CP1" s="24" t="s">
        <v>1867</v>
      </c>
      <c r="CQ1" s="25"/>
      <c r="CR1" s="25"/>
      <c r="CS1" s="25"/>
      <c r="CT1" s="24"/>
      <c r="CU1" s="25"/>
      <c r="CV1" s="24"/>
      <c r="CW1" s="24"/>
      <c r="CX1" s="24"/>
      <c r="CY1" s="26" t="s">
        <v>1868</v>
      </c>
      <c r="CZ1" s="26"/>
      <c r="DA1" s="26"/>
      <c r="DB1" s="26"/>
      <c r="DC1" s="26"/>
      <c r="DD1" s="26"/>
      <c r="DE1" s="26"/>
      <c r="DF1" s="27"/>
      <c r="DG1" s="27"/>
      <c r="DH1" s="27"/>
      <c r="DI1" s="28"/>
      <c r="DJ1" s="26"/>
      <c r="DK1" s="27"/>
      <c r="DL1" s="27"/>
      <c r="DM1" s="26"/>
      <c r="DN1" s="28"/>
      <c r="DO1" s="26"/>
      <c r="DP1" s="28"/>
      <c r="DQ1" s="26"/>
      <c r="DR1" s="26"/>
      <c r="DS1" s="26"/>
      <c r="DT1" s="26"/>
      <c r="DU1" s="26"/>
      <c r="DV1" s="26"/>
      <c r="DW1" s="26"/>
      <c r="DX1" s="26"/>
      <c r="DY1" s="28"/>
      <c r="DZ1" s="26"/>
      <c r="EA1" s="28"/>
      <c r="EB1" s="26"/>
      <c r="EC1" s="26"/>
      <c r="ED1" s="26"/>
      <c r="EE1" s="28"/>
      <c r="EF1" s="26"/>
      <c r="EG1" s="26"/>
      <c r="EH1" s="26"/>
      <c r="EI1" s="26"/>
      <c r="EJ1" s="26"/>
      <c r="EK1" s="26"/>
      <c r="EL1" s="26"/>
      <c r="EM1" s="26"/>
      <c r="EN1" s="29" t="s">
        <v>1869</v>
      </c>
      <c r="EO1" s="30"/>
      <c r="EP1" s="31"/>
      <c r="EQ1" s="32"/>
      <c r="ER1" s="32"/>
      <c r="ES1" s="30"/>
      <c r="ET1" s="30"/>
      <c r="EU1" s="30"/>
      <c r="EV1" s="29"/>
      <c r="EW1" s="29"/>
      <c r="EX1" s="29"/>
      <c r="EY1" s="32"/>
      <c r="EZ1" s="32"/>
      <c r="FA1" s="29"/>
      <c r="FB1" s="31"/>
      <c r="FC1" s="32"/>
      <c r="FD1" s="29"/>
      <c r="FE1" s="30"/>
      <c r="FF1" s="32"/>
      <c r="FG1" s="30"/>
      <c r="FH1" s="29"/>
      <c r="FI1" s="32"/>
      <c r="FJ1" s="29"/>
      <c r="FK1" s="29"/>
      <c r="FL1" s="29"/>
      <c r="FM1" s="29"/>
      <c r="FN1" s="33" t="s">
        <v>1870</v>
      </c>
      <c r="FO1" s="34"/>
      <c r="FP1" s="35"/>
      <c r="FQ1" s="33"/>
      <c r="FR1" s="35"/>
      <c r="FS1" s="33"/>
      <c r="FT1" s="35"/>
      <c r="FU1" s="33"/>
      <c r="FV1" s="35"/>
      <c r="FW1" s="33"/>
      <c r="FX1" s="35"/>
      <c r="FY1" s="33"/>
      <c r="FZ1" s="34"/>
      <c r="GA1" s="35"/>
      <c r="GB1" s="33"/>
      <c r="GC1" s="35"/>
      <c r="GD1" s="33"/>
      <c r="GE1" s="35"/>
      <c r="GF1" s="33"/>
      <c r="GG1" s="34"/>
      <c r="GH1" s="34"/>
      <c r="GI1" s="34"/>
    </row>
    <row r="2" ht="28" customHeight="1" spans="1:191">
      <c r="A2" s="36" t="s">
        <v>1871</v>
      </c>
      <c r="B2" s="36" t="s">
        <v>1872</v>
      </c>
      <c r="C2" s="36" t="s">
        <v>1873</v>
      </c>
      <c r="D2" s="36" t="s">
        <v>1874</v>
      </c>
      <c r="E2" s="36" t="s">
        <v>1875</v>
      </c>
      <c r="F2" s="36" t="s">
        <v>1876</v>
      </c>
      <c r="G2" s="36" t="s">
        <v>1877</v>
      </c>
      <c r="H2" s="36" t="s">
        <v>1878</v>
      </c>
      <c r="I2" s="36" t="s">
        <v>1879</v>
      </c>
      <c r="J2" s="36" t="s">
        <v>1880</v>
      </c>
      <c r="K2" s="36" t="s">
        <v>1881</v>
      </c>
      <c r="L2" s="36" t="s">
        <v>1882</v>
      </c>
      <c r="M2" s="36" t="s">
        <v>1883</v>
      </c>
      <c r="N2" s="36" t="s">
        <v>1884</v>
      </c>
      <c r="O2" s="36" t="s">
        <v>1885</v>
      </c>
      <c r="P2" s="36" t="s">
        <v>1844</v>
      </c>
      <c r="Q2" s="36" t="s">
        <v>57</v>
      </c>
      <c r="R2" s="36" t="s">
        <v>1886</v>
      </c>
      <c r="S2" s="36" t="s">
        <v>1886</v>
      </c>
      <c r="T2" s="36" t="s">
        <v>1886</v>
      </c>
      <c r="U2" s="36" t="s">
        <v>1886</v>
      </c>
      <c r="V2" s="36" t="s">
        <v>1886</v>
      </c>
      <c r="W2" s="37" t="s">
        <v>1887</v>
      </c>
      <c r="X2" s="38" t="s">
        <v>1888</v>
      </c>
      <c r="Y2" s="36" t="s">
        <v>1889</v>
      </c>
      <c r="Z2" s="36" t="s">
        <v>1890</v>
      </c>
      <c r="AA2" s="36" t="s">
        <v>1891</v>
      </c>
      <c r="AB2" s="36" t="s">
        <v>1892</v>
      </c>
      <c r="AC2" s="36" t="s">
        <v>1893</v>
      </c>
      <c r="AD2" s="36" t="s">
        <v>1894</v>
      </c>
      <c r="AE2" s="36" t="s">
        <v>1895</v>
      </c>
      <c r="AF2" s="36" t="s">
        <v>1896</v>
      </c>
      <c r="AG2" s="39" t="s">
        <v>1897</v>
      </c>
      <c r="AH2" s="39" t="s">
        <v>1898</v>
      </c>
      <c r="AI2" s="39" t="s">
        <v>1899</v>
      </c>
      <c r="AJ2" s="39" t="s">
        <v>1900</v>
      </c>
      <c r="AK2" s="39" t="s">
        <v>1901</v>
      </c>
      <c r="AL2" s="39" t="s">
        <v>1902</v>
      </c>
      <c r="AM2" s="39" t="s">
        <v>1903</v>
      </c>
      <c r="AN2" s="39" t="s">
        <v>1904</v>
      </c>
      <c r="AO2" s="39" t="s">
        <v>1905</v>
      </c>
      <c r="AP2" s="39" t="s">
        <v>1906</v>
      </c>
      <c r="AQ2" s="39" t="s">
        <v>1907</v>
      </c>
      <c r="AR2" s="39" t="s">
        <v>1908</v>
      </c>
      <c r="AS2" s="39" t="s">
        <v>1909</v>
      </c>
      <c r="AT2" s="39" t="s">
        <v>1910</v>
      </c>
      <c r="AU2" s="39" t="s">
        <v>1911</v>
      </c>
      <c r="AV2" s="40" t="s">
        <v>1912</v>
      </c>
      <c r="AW2" s="41" t="s">
        <v>1913</v>
      </c>
      <c r="AX2" s="40" t="s">
        <v>1914</v>
      </c>
      <c r="AY2" s="40" t="s">
        <v>1915</v>
      </c>
      <c r="AZ2" s="40" t="s">
        <v>1916</v>
      </c>
      <c r="BA2" s="42" t="s">
        <v>1917</v>
      </c>
      <c r="BB2" s="40" t="s">
        <v>1918</v>
      </c>
      <c r="BC2" s="43" t="s">
        <v>1919</v>
      </c>
      <c r="BD2" s="44" t="s">
        <v>1920</v>
      </c>
      <c r="BE2" s="44" t="s">
        <v>1920</v>
      </c>
      <c r="BF2" s="43" t="s">
        <v>1920</v>
      </c>
      <c r="BG2" s="44" t="s">
        <v>1920</v>
      </c>
      <c r="BH2" s="44" t="s">
        <v>1920</v>
      </c>
      <c r="BI2" s="44" t="s">
        <v>1921</v>
      </c>
      <c r="BJ2" s="44" t="s">
        <v>196</v>
      </c>
      <c r="BK2" s="44" t="s">
        <v>1922</v>
      </c>
      <c r="BL2" s="44" t="s">
        <v>1923</v>
      </c>
      <c r="BM2" s="44" t="s">
        <v>1924</v>
      </c>
      <c r="BN2" s="44" t="s">
        <v>1925</v>
      </c>
      <c r="BO2" s="44" t="s">
        <v>1926</v>
      </c>
      <c r="BP2" s="44" t="s">
        <v>1927</v>
      </c>
      <c r="BQ2" s="44" t="s">
        <v>1928</v>
      </c>
      <c r="BR2" s="44" t="s">
        <v>1929</v>
      </c>
      <c r="BS2" s="44" t="s">
        <v>13</v>
      </c>
      <c r="BT2" s="44" t="s">
        <v>1930</v>
      </c>
      <c r="BU2" s="44" t="s">
        <v>1815</v>
      </c>
      <c r="BV2" s="44" t="s">
        <v>27</v>
      </c>
      <c r="BW2" s="44" t="s">
        <v>1774</v>
      </c>
      <c r="BX2" s="44" t="s">
        <v>1827</v>
      </c>
      <c r="BY2" s="44" t="s">
        <v>1762</v>
      </c>
      <c r="BZ2" s="44" t="s">
        <v>1840</v>
      </c>
      <c r="CA2" s="44" t="s">
        <v>1856</v>
      </c>
      <c r="CB2" s="43" t="s">
        <v>1816</v>
      </c>
      <c r="CC2" s="44" t="s">
        <v>52</v>
      </c>
      <c r="CD2" s="44" t="s">
        <v>1931</v>
      </c>
      <c r="CE2" s="44" t="s">
        <v>1932</v>
      </c>
      <c r="CF2" s="45" t="s">
        <v>1933</v>
      </c>
      <c r="CG2" s="46" t="s">
        <v>1934</v>
      </c>
      <c r="CH2" s="46" t="s">
        <v>1935</v>
      </c>
      <c r="CI2" s="46" t="s">
        <v>46</v>
      </c>
      <c r="CJ2" s="46" t="s">
        <v>1936</v>
      </c>
      <c r="CK2" s="47" t="s">
        <v>1937</v>
      </c>
      <c r="CL2" s="48" t="s">
        <v>1938</v>
      </c>
      <c r="CM2" s="48" t="s">
        <v>1939</v>
      </c>
      <c r="CN2" s="48" t="s">
        <v>1940</v>
      </c>
      <c r="CO2" s="48" t="s">
        <v>1766</v>
      </c>
      <c r="CP2" s="49" t="s">
        <v>1941</v>
      </c>
      <c r="CQ2" s="50" t="s">
        <v>1942</v>
      </c>
      <c r="CR2" s="50" t="s">
        <v>1943</v>
      </c>
      <c r="CS2" s="50" t="s">
        <v>1944</v>
      </c>
      <c r="CT2" s="49" t="s">
        <v>1945</v>
      </c>
      <c r="CU2" s="50" t="s">
        <v>1946</v>
      </c>
      <c r="CV2" s="49" t="s">
        <v>1947</v>
      </c>
      <c r="CW2" s="49" t="s">
        <v>1948</v>
      </c>
      <c r="CX2" s="49" t="s">
        <v>1949</v>
      </c>
      <c r="CY2" s="51" t="s">
        <v>1950</v>
      </c>
      <c r="CZ2" s="51" t="s">
        <v>1951</v>
      </c>
      <c r="DA2" s="51" t="s">
        <v>1952</v>
      </c>
      <c r="DB2" s="51" t="s">
        <v>1953</v>
      </c>
      <c r="DC2" s="51" t="s">
        <v>1954</v>
      </c>
      <c r="DD2" s="51" t="s">
        <v>1954</v>
      </c>
      <c r="DE2" s="51" t="s">
        <v>1954</v>
      </c>
      <c r="DF2" s="52" t="s">
        <v>1955</v>
      </c>
      <c r="DG2" s="52" t="s">
        <v>1955</v>
      </c>
      <c r="DH2" s="52" t="s">
        <v>1955</v>
      </c>
      <c r="DI2" s="53" t="s">
        <v>1956</v>
      </c>
      <c r="DJ2" s="51" t="s">
        <v>55</v>
      </c>
      <c r="DK2" s="52" t="s">
        <v>1957</v>
      </c>
      <c r="DL2" s="52" t="s">
        <v>1958</v>
      </c>
      <c r="DM2" s="51" t="s">
        <v>1959</v>
      </c>
      <c r="DN2" s="53" t="s">
        <v>1960</v>
      </c>
      <c r="DO2" s="51" t="s">
        <v>42</v>
      </c>
      <c r="DP2" s="53" t="s">
        <v>1961</v>
      </c>
      <c r="DQ2" s="51" t="s">
        <v>33</v>
      </c>
      <c r="DR2" s="51" t="s">
        <v>1962</v>
      </c>
      <c r="DS2" s="51" t="s">
        <v>1962</v>
      </c>
      <c r="DT2" s="51" t="s">
        <v>1962</v>
      </c>
      <c r="DU2" s="51" t="s">
        <v>1962</v>
      </c>
      <c r="DV2" s="51" t="s">
        <v>1962</v>
      </c>
      <c r="DW2" s="51" t="s">
        <v>1963</v>
      </c>
      <c r="DX2" s="51" t="s">
        <v>1964</v>
      </c>
      <c r="DY2" s="53" t="s">
        <v>1965</v>
      </c>
      <c r="DZ2" s="51" t="s">
        <v>59</v>
      </c>
      <c r="EA2" s="53" t="s">
        <v>1966</v>
      </c>
      <c r="EB2" s="51" t="s">
        <v>1967</v>
      </c>
      <c r="EC2" s="51" t="s">
        <v>1968</v>
      </c>
      <c r="ED2" s="51" t="s">
        <v>1747</v>
      </c>
      <c r="EE2" s="53" t="s">
        <v>1969</v>
      </c>
      <c r="EF2" s="51" t="s">
        <v>28</v>
      </c>
      <c r="EG2" s="51" t="s">
        <v>1970</v>
      </c>
      <c r="EH2" s="51" t="s">
        <v>1971</v>
      </c>
      <c r="EI2" s="51" t="s">
        <v>1971</v>
      </c>
      <c r="EJ2" s="51" t="s">
        <v>1971</v>
      </c>
      <c r="EK2" s="51" t="s">
        <v>1972</v>
      </c>
      <c r="EL2" s="51" t="s">
        <v>1972</v>
      </c>
      <c r="EM2" s="51" t="s">
        <v>1972</v>
      </c>
      <c r="EN2" s="54" t="s">
        <v>1973</v>
      </c>
      <c r="EO2" s="55" t="s">
        <v>1974</v>
      </c>
      <c r="EP2" s="56" t="s">
        <v>1975</v>
      </c>
      <c r="EQ2" s="57" t="s">
        <v>1976</v>
      </c>
      <c r="ER2" s="57" t="s">
        <v>1977</v>
      </c>
      <c r="ES2" s="55" t="s">
        <v>1978</v>
      </c>
      <c r="ET2" s="55" t="s">
        <v>1979</v>
      </c>
      <c r="EU2" s="55" t="s">
        <v>1980</v>
      </c>
      <c r="EV2" s="54" t="s">
        <v>1981</v>
      </c>
      <c r="EW2" s="54" t="s">
        <v>1982</v>
      </c>
      <c r="EX2" s="54" t="s">
        <v>1983</v>
      </c>
      <c r="EY2" s="57" t="s">
        <v>1984</v>
      </c>
      <c r="EZ2" s="57" t="s">
        <v>1985</v>
      </c>
      <c r="FA2" s="54" t="s">
        <v>1986</v>
      </c>
      <c r="FB2" s="56" t="s">
        <v>1987</v>
      </c>
      <c r="FC2" s="57" t="s">
        <v>1984</v>
      </c>
      <c r="FD2" s="54" t="s">
        <v>1988</v>
      </c>
      <c r="FE2" s="55" t="s">
        <v>1989</v>
      </c>
      <c r="FF2" s="57" t="s">
        <v>1990</v>
      </c>
      <c r="FG2" s="55" t="s">
        <v>1991</v>
      </c>
      <c r="FH2" s="54" t="s">
        <v>1992</v>
      </c>
      <c r="FI2" s="57" t="s">
        <v>1993</v>
      </c>
      <c r="FJ2" s="54" t="s">
        <v>1776</v>
      </c>
      <c r="FK2" s="54" t="s">
        <v>1994</v>
      </c>
      <c r="FL2" s="54" t="s">
        <v>1995</v>
      </c>
      <c r="FM2" s="54" t="s">
        <v>1996</v>
      </c>
      <c r="FN2" s="58" t="s">
        <v>1997</v>
      </c>
      <c r="FO2" s="59" t="s">
        <v>1998</v>
      </c>
      <c r="FP2" s="60" t="s">
        <v>1999</v>
      </c>
      <c r="FQ2" s="58" t="s">
        <v>2000</v>
      </c>
      <c r="FR2" s="60" t="s">
        <v>2001</v>
      </c>
      <c r="FS2" s="58" t="s">
        <v>2002</v>
      </c>
      <c r="FT2" s="60" t="s">
        <v>2003</v>
      </c>
      <c r="FU2" s="58" t="s">
        <v>2004</v>
      </c>
      <c r="FV2" s="60" t="s">
        <v>2005</v>
      </c>
      <c r="FW2" s="58" t="s">
        <v>2006</v>
      </c>
      <c r="FX2" s="60" t="s">
        <v>2007</v>
      </c>
      <c r="FY2" s="58" t="s">
        <v>2008</v>
      </c>
      <c r="FZ2" s="59" t="s">
        <v>2009</v>
      </c>
      <c r="GA2" s="60" t="s">
        <v>2010</v>
      </c>
      <c r="GB2" s="58" t="s">
        <v>2011</v>
      </c>
      <c r="GC2" s="60" t="s">
        <v>2012</v>
      </c>
      <c r="GD2" s="58" t="s">
        <v>2013</v>
      </c>
      <c r="GE2" s="60" t="s">
        <v>2014</v>
      </c>
      <c r="GF2" s="58" t="s">
        <v>2015</v>
      </c>
      <c r="GG2" s="59" t="s">
        <v>2016</v>
      </c>
      <c r="GH2" s="59" t="s">
        <v>2017</v>
      </c>
      <c r="GI2" s="59" t="s">
        <v>2018</v>
      </c>
    </row>
    <row r="3" ht="16.8" spans="1:191">
      <c r="A3" s="36" t="s">
        <v>2</v>
      </c>
      <c r="B3" s="36" t="s">
        <v>1743</v>
      </c>
      <c r="C3" s="36" t="s">
        <v>74</v>
      </c>
      <c r="D3" s="36" t="s">
        <v>19</v>
      </c>
      <c r="E3" s="36" t="s">
        <v>1741</v>
      </c>
      <c r="F3" s="36" t="s">
        <v>10</v>
      </c>
      <c r="G3" s="36" t="s">
        <v>1744</v>
      </c>
      <c r="H3" s="36" t="s">
        <v>1842</v>
      </c>
      <c r="I3" s="36" t="s">
        <v>1753</v>
      </c>
      <c r="J3" s="36" t="s">
        <v>75</v>
      </c>
      <c r="K3" s="36" t="s">
        <v>44</v>
      </c>
      <c r="L3" s="36" t="s">
        <v>1820</v>
      </c>
      <c r="M3" s="36" t="s">
        <v>70</v>
      </c>
      <c r="N3" s="36" t="s">
        <v>1781</v>
      </c>
      <c r="O3" s="36" t="s">
        <v>25</v>
      </c>
      <c r="P3" s="36" t="s">
        <v>1844</v>
      </c>
      <c r="Q3" s="36" t="s">
        <v>57</v>
      </c>
      <c r="R3" s="36" t="s">
        <v>62</v>
      </c>
      <c r="S3" s="36" t="s">
        <v>1755</v>
      </c>
      <c r="T3" s="36" t="s">
        <v>1835</v>
      </c>
      <c r="U3" s="36" t="s">
        <v>1851</v>
      </c>
      <c r="V3" s="36" t="s">
        <v>1845</v>
      </c>
      <c r="W3" s="37" t="s">
        <v>1795</v>
      </c>
      <c r="X3" s="38" t="s">
        <v>1788</v>
      </c>
      <c r="Y3" s="36" t="s">
        <v>12</v>
      </c>
      <c r="Z3" s="36" t="s">
        <v>4</v>
      </c>
      <c r="AA3" s="36" t="s">
        <v>45</v>
      </c>
      <c r="AB3" s="36" t="s">
        <v>49</v>
      </c>
      <c r="AC3" s="36" t="s">
        <v>39</v>
      </c>
      <c r="AD3" s="36" t="s">
        <v>72</v>
      </c>
      <c r="AE3" s="36" t="s">
        <v>7</v>
      </c>
      <c r="AF3" s="36" t="s">
        <v>20</v>
      </c>
      <c r="AG3" s="39" t="s">
        <v>1742</v>
      </c>
      <c r="AH3" s="39" t="s">
        <v>1806</v>
      </c>
      <c r="AI3" s="39" t="s">
        <v>1772</v>
      </c>
      <c r="AJ3" s="39" t="s">
        <v>1750</v>
      </c>
      <c r="AK3" s="39" t="s">
        <v>1836</v>
      </c>
      <c r="AL3" s="39" t="s">
        <v>1809</v>
      </c>
      <c r="AM3" s="39" t="s">
        <v>1773</v>
      </c>
      <c r="AN3" s="39" t="s">
        <v>1752</v>
      </c>
      <c r="AO3" s="39" t="s">
        <v>1855</v>
      </c>
      <c r="AP3" s="39" t="s">
        <v>1812</v>
      </c>
      <c r="AQ3" s="39" t="s">
        <v>1831</v>
      </c>
      <c r="AR3" s="39" t="s">
        <v>1849</v>
      </c>
      <c r="AS3" s="39" t="s">
        <v>1761</v>
      </c>
      <c r="AT3" s="39" t="s">
        <v>1775</v>
      </c>
      <c r="AU3" s="39" t="s">
        <v>1852</v>
      </c>
      <c r="AV3" s="40" t="s">
        <v>65</v>
      </c>
      <c r="AW3" s="41" t="s">
        <v>1826</v>
      </c>
      <c r="AX3" s="40" t="s">
        <v>3</v>
      </c>
      <c r="AY3" s="40" t="s">
        <v>11</v>
      </c>
      <c r="AZ3" s="40" t="s">
        <v>47</v>
      </c>
      <c r="BA3" s="42" t="s">
        <v>1813</v>
      </c>
      <c r="BB3" s="40" t="s">
        <v>1760</v>
      </c>
      <c r="BC3" s="43" t="s">
        <v>1801</v>
      </c>
      <c r="BD3" s="44" t="s">
        <v>1811</v>
      </c>
      <c r="BE3" s="44" t="s">
        <v>1785</v>
      </c>
      <c r="BF3" s="43" t="s">
        <v>1792</v>
      </c>
      <c r="BG3" s="44" t="s">
        <v>1807</v>
      </c>
      <c r="BH3" s="44" t="s">
        <v>1779</v>
      </c>
      <c r="BI3" s="44" t="s">
        <v>21</v>
      </c>
      <c r="BJ3" s="44" t="s">
        <v>1748</v>
      </c>
      <c r="BK3" s="44" t="s">
        <v>1740</v>
      </c>
      <c r="BL3" s="44" t="s">
        <v>31</v>
      </c>
      <c r="BM3" s="44" t="s">
        <v>1745</v>
      </c>
      <c r="BN3" s="44" t="s">
        <v>36</v>
      </c>
      <c r="BO3" s="44" t="s">
        <v>73</v>
      </c>
      <c r="BP3" s="44" t="s">
        <v>51</v>
      </c>
      <c r="BQ3" s="44" t="s">
        <v>54</v>
      </c>
      <c r="BR3" s="44" t="s">
        <v>5</v>
      </c>
      <c r="BS3" s="44" t="s">
        <v>13</v>
      </c>
      <c r="BT3" s="44" t="s">
        <v>26</v>
      </c>
      <c r="BU3" s="44" t="s">
        <v>1815</v>
      </c>
      <c r="BV3" s="44" t="s">
        <v>27</v>
      </c>
      <c r="BW3" s="44" t="s">
        <v>1774</v>
      </c>
      <c r="BX3" s="44" t="s">
        <v>1827</v>
      </c>
      <c r="BY3" s="44" t="s">
        <v>1762</v>
      </c>
      <c r="BZ3" s="44" t="s">
        <v>1840</v>
      </c>
      <c r="CA3" s="44" t="s">
        <v>1856</v>
      </c>
      <c r="CB3" s="43" t="s">
        <v>1816</v>
      </c>
      <c r="CC3" s="44" t="s">
        <v>52</v>
      </c>
      <c r="CD3" s="44" t="s">
        <v>1802</v>
      </c>
      <c r="CE3" s="44" t="s">
        <v>67</v>
      </c>
      <c r="CF3" s="45" t="s">
        <v>1771</v>
      </c>
      <c r="CG3" s="46" t="s">
        <v>61</v>
      </c>
      <c r="CH3" s="46" t="s">
        <v>29</v>
      </c>
      <c r="CI3" s="46" t="s">
        <v>46</v>
      </c>
      <c r="CJ3" s="46" t="s">
        <v>50</v>
      </c>
      <c r="CK3" s="47" t="s">
        <v>1754</v>
      </c>
      <c r="CL3" s="48" t="s">
        <v>30</v>
      </c>
      <c r="CM3" s="48" t="s">
        <v>24</v>
      </c>
      <c r="CN3" s="48" t="s">
        <v>37</v>
      </c>
      <c r="CO3" s="48" t="s">
        <v>1766</v>
      </c>
      <c r="CP3" s="49" t="s">
        <v>34</v>
      </c>
      <c r="CQ3" s="50" t="s">
        <v>1770</v>
      </c>
      <c r="CR3" s="50" t="s">
        <v>1767</v>
      </c>
      <c r="CS3" s="50" t="s">
        <v>1821</v>
      </c>
      <c r="CT3" s="49" t="s">
        <v>35</v>
      </c>
      <c r="CU3" s="50" t="s">
        <v>1828</v>
      </c>
      <c r="CV3" s="49" t="s">
        <v>18</v>
      </c>
      <c r="CW3" s="49" t="s">
        <v>40</v>
      </c>
      <c r="CX3" s="49" t="s">
        <v>66</v>
      </c>
      <c r="CY3" s="51" t="s">
        <v>8</v>
      </c>
      <c r="CZ3" s="51" t="s">
        <v>16</v>
      </c>
      <c r="DA3" s="51" t="s">
        <v>22</v>
      </c>
      <c r="DB3" s="51" t="s">
        <v>17</v>
      </c>
      <c r="DC3" s="51" t="s">
        <v>43</v>
      </c>
      <c r="DD3" s="51" t="s">
        <v>1756</v>
      </c>
      <c r="DE3" s="51" t="s">
        <v>1843</v>
      </c>
      <c r="DF3" s="52" t="s">
        <v>1847</v>
      </c>
      <c r="DG3" s="52" t="s">
        <v>1854</v>
      </c>
      <c r="DH3" s="52" t="s">
        <v>1817</v>
      </c>
      <c r="DI3" s="53" t="s">
        <v>1768</v>
      </c>
      <c r="DJ3" s="51" t="s">
        <v>55</v>
      </c>
      <c r="DK3" s="52" t="s">
        <v>1751</v>
      </c>
      <c r="DL3" s="52" t="s">
        <v>1825</v>
      </c>
      <c r="DM3" s="51" t="s">
        <v>9</v>
      </c>
      <c r="DN3" s="53" t="s">
        <v>1793</v>
      </c>
      <c r="DO3" s="51" t="s">
        <v>42</v>
      </c>
      <c r="DP3" s="53" t="s">
        <v>1839</v>
      </c>
      <c r="DQ3" s="51" t="s">
        <v>33</v>
      </c>
      <c r="DR3" s="51" t="s">
        <v>15</v>
      </c>
      <c r="DS3" s="51" t="s">
        <v>1808</v>
      </c>
      <c r="DT3" s="51" t="s">
        <v>1784</v>
      </c>
      <c r="DU3" s="51" t="s">
        <v>1794</v>
      </c>
      <c r="DV3" s="51" t="s">
        <v>1804</v>
      </c>
      <c r="DW3" s="51" t="s">
        <v>1830</v>
      </c>
      <c r="DX3" s="51" t="s">
        <v>1814</v>
      </c>
      <c r="DY3" s="53" t="s">
        <v>1834</v>
      </c>
      <c r="DZ3" s="51" t="s">
        <v>59</v>
      </c>
      <c r="EA3" s="53" t="s">
        <v>1822</v>
      </c>
      <c r="EB3" s="51" t="s">
        <v>63</v>
      </c>
      <c r="EC3" s="51" t="s">
        <v>1777</v>
      </c>
      <c r="ED3" s="51" t="s">
        <v>1747</v>
      </c>
      <c r="EE3" s="53" t="s">
        <v>1769</v>
      </c>
      <c r="EF3" s="51" t="s">
        <v>28</v>
      </c>
      <c r="EG3" s="51" t="s">
        <v>48</v>
      </c>
      <c r="EH3" s="51" t="s">
        <v>60</v>
      </c>
      <c r="EI3" s="51" t="s">
        <v>1850</v>
      </c>
      <c r="EJ3" s="51" t="s">
        <v>1853</v>
      </c>
      <c r="EK3" s="51" t="s">
        <v>38</v>
      </c>
      <c r="EL3" s="51" t="s">
        <v>1797</v>
      </c>
      <c r="EM3" s="51" t="s">
        <v>1786</v>
      </c>
      <c r="EN3" s="54" t="s">
        <v>14</v>
      </c>
      <c r="EO3" s="55" t="s">
        <v>1764</v>
      </c>
      <c r="EP3" s="56" t="s">
        <v>1819</v>
      </c>
      <c r="EQ3" s="57" t="s">
        <v>1846</v>
      </c>
      <c r="ER3" s="57" t="s">
        <v>1829</v>
      </c>
      <c r="ES3" s="55" t="s">
        <v>1787</v>
      </c>
      <c r="ET3" s="55" t="s">
        <v>1798</v>
      </c>
      <c r="EU3" s="55" t="s">
        <v>1782</v>
      </c>
      <c r="EV3" s="54" t="s">
        <v>71</v>
      </c>
      <c r="EW3" s="54" t="s">
        <v>41</v>
      </c>
      <c r="EX3" s="54" t="s">
        <v>58</v>
      </c>
      <c r="EY3" s="57" t="s">
        <v>1796</v>
      </c>
      <c r="EZ3" s="57" t="s">
        <v>1841</v>
      </c>
      <c r="FA3" s="54" t="s">
        <v>6</v>
      </c>
      <c r="FB3" s="56" t="s">
        <v>1746</v>
      </c>
      <c r="FC3" s="57" t="s">
        <v>1780</v>
      </c>
      <c r="FD3" s="54" t="s">
        <v>23</v>
      </c>
      <c r="FE3" s="55" t="s">
        <v>1824</v>
      </c>
      <c r="FF3" s="57" t="s">
        <v>1803</v>
      </c>
      <c r="FG3" s="55" t="s">
        <v>1790</v>
      </c>
      <c r="FH3" s="54" t="s">
        <v>56</v>
      </c>
      <c r="FI3" s="57" t="s">
        <v>1837</v>
      </c>
      <c r="FJ3" s="54" t="s">
        <v>1776</v>
      </c>
      <c r="FK3" s="54" t="s">
        <v>69</v>
      </c>
      <c r="FL3" s="54" t="s">
        <v>53</v>
      </c>
      <c r="FM3" s="54" t="s">
        <v>1832</v>
      </c>
      <c r="FN3" s="58" t="s">
        <v>1799</v>
      </c>
      <c r="FO3" s="59" t="s">
        <v>68</v>
      </c>
      <c r="FP3" s="60" t="s">
        <v>1758</v>
      </c>
      <c r="FQ3" s="58" t="s">
        <v>1805</v>
      </c>
      <c r="FR3" s="60" t="s">
        <v>1800</v>
      </c>
      <c r="FS3" s="58" t="s">
        <v>1749</v>
      </c>
      <c r="FT3" s="60" t="s">
        <v>1848</v>
      </c>
      <c r="FU3" s="58" t="s">
        <v>1838</v>
      </c>
      <c r="FV3" s="60" t="s">
        <v>1833</v>
      </c>
      <c r="FW3" s="58" t="s">
        <v>1818</v>
      </c>
      <c r="FX3" s="60" t="s">
        <v>1759</v>
      </c>
      <c r="FY3" s="58" t="s">
        <v>1789</v>
      </c>
      <c r="FZ3" s="59" t="s">
        <v>32</v>
      </c>
      <c r="GA3" s="60" t="s">
        <v>1763</v>
      </c>
      <c r="GB3" s="58" t="s">
        <v>1823</v>
      </c>
      <c r="GC3" s="60" t="s">
        <v>1810</v>
      </c>
      <c r="GD3" s="58" t="s">
        <v>1757</v>
      </c>
      <c r="GE3" s="60" t="s">
        <v>1765</v>
      </c>
      <c r="GF3" s="58" t="s">
        <v>1778</v>
      </c>
      <c r="GG3" s="59" t="s">
        <v>1791</v>
      </c>
      <c r="GH3" s="59" t="s">
        <v>1783</v>
      </c>
      <c r="GI3" s="59" t="s">
        <v>64</v>
      </c>
    </row>
    <row r="4" ht="16.8" spans="1:191">
      <c r="A4" s="2" t="s">
        <v>1</v>
      </c>
      <c r="B4" s="61" t="s">
        <v>2019</v>
      </c>
      <c r="C4" s="2" t="s">
        <v>339</v>
      </c>
      <c r="D4" s="2" t="s">
        <v>91</v>
      </c>
      <c r="G4" s="2" t="s">
        <v>2020</v>
      </c>
      <c r="J4" s="1" t="s">
        <v>775</v>
      </c>
      <c r="AV4" s="2" t="s">
        <v>185</v>
      </c>
      <c r="AY4" s="2" t="s">
        <v>463</v>
      </c>
      <c r="CY4" s="2" t="s">
        <v>733</v>
      </c>
    </row>
    <row r="5" ht="16.8" spans="1:191">
      <c r="A5" s="2" t="s">
        <v>1</v>
      </c>
      <c r="B5" s="61" t="s">
        <v>2021</v>
      </c>
      <c r="C5" s="2" t="s">
        <v>339</v>
      </c>
      <c r="D5" s="2" t="s">
        <v>91</v>
      </c>
      <c r="E5" s="61" t="s">
        <v>2022</v>
      </c>
      <c r="F5" s="2" t="s">
        <v>282</v>
      </c>
      <c r="G5" s="2" t="s">
        <v>2023</v>
      </c>
      <c r="J5" s="1" t="s">
        <v>775</v>
      </c>
      <c r="K5" s="2" t="s">
        <v>525</v>
      </c>
      <c r="W5" s="3">
        <v>67.99</v>
      </c>
      <c r="X5" s="4">
        <v>2</v>
      </c>
      <c r="Y5" s="2" t="s">
        <v>144</v>
      </c>
      <c r="Z5" s="2" t="s">
        <v>77</v>
      </c>
      <c r="AA5" s="2" t="s">
        <v>112</v>
      </c>
      <c r="AB5" s="2" t="s">
        <v>222</v>
      </c>
      <c r="AC5" s="2">
        <v>36</v>
      </c>
      <c r="AE5" s="2" t="s">
        <v>139</v>
      </c>
      <c r="AF5" s="2" t="s">
        <v>139</v>
      </c>
      <c r="AV5" s="2" t="s">
        <v>233</v>
      </c>
      <c r="AW5" s="61" t="s">
        <v>2019</v>
      </c>
      <c r="AX5" s="2" t="s">
        <v>136</v>
      </c>
      <c r="AY5" s="2" t="s">
        <v>463</v>
      </c>
      <c r="BC5" s="6" t="s">
        <v>2024</v>
      </c>
      <c r="BD5" s="2" t="s">
        <v>2025</v>
      </c>
      <c r="BE5" s="2" t="s">
        <v>2026</v>
      </c>
      <c r="BF5" s="6" t="s">
        <v>2027</v>
      </c>
      <c r="BG5" s="2" t="s">
        <v>2028</v>
      </c>
      <c r="BH5" s="2" t="s">
        <v>2029</v>
      </c>
      <c r="BI5" s="62" t="str">
        <f>VLOOKUP(MID(B5,8,2),[2]Sheet1!$A:$B,2,0)</f>
        <v>Verde</v>
      </c>
      <c r="BJ5" s="62" t="str">
        <f>VLOOKUP(MID(B5,8,2),[2]Sheet1!$A:$C,3,0)</f>
        <v>Verde Azulado</v>
      </c>
      <c r="BK5" s="62">
        <f>VLOOKUP(MID(B5,10,2),[2]Sheet1!$F:$G,2,0)</f>
        <v>36</v>
      </c>
      <c r="BM5" s="2" t="s">
        <v>2030</v>
      </c>
      <c r="BN5" s="2" t="s">
        <v>259</v>
      </c>
      <c r="BO5" s="2" t="s">
        <v>338</v>
      </c>
      <c r="BP5" s="2" t="s">
        <v>268</v>
      </c>
      <c r="BS5" s="63" t="s">
        <v>2031</v>
      </c>
      <c r="CB5" s="6" t="s">
        <v>2032</v>
      </c>
      <c r="CE5" s="2" t="s">
        <v>276</v>
      </c>
      <c r="CG5" s="2" t="s">
        <v>181</v>
      </c>
      <c r="CM5" s="62">
        <f>BK5</f>
        <v>36</v>
      </c>
      <c r="CN5" s="2" t="s">
        <v>164</v>
      </c>
      <c r="CP5" s="2" t="s">
        <v>161</v>
      </c>
      <c r="CY5" s="2" t="s">
        <v>733</v>
      </c>
      <c r="CZ5" s="2" t="s">
        <v>138</v>
      </c>
      <c r="DA5" s="2" t="s">
        <v>138</v>
      </c>
      <c r="ED5" s="2" t="s">
        <v>2033</v>
      </c>
      <c r="EH5" s="2" t="s">
        <v>228</v>
      </c>
      <c r="FB5" s="64">
        <v>72.99</v>
      </c>
    </row>
    <row r="6" ht="16.8" spans="1:191">
      <c r="A6" s="2" t="s">
        <v>1</v>
      </c>
      <c r="B6" s="61" t="s">
        <v>2034</v>
      </c>
      <c r="C6" s="2" t="s">
        <v>339</v>
      </c>
      <c r="D6" s="2" t="s">
        <v>91</v>
      </c>
      <c r="E6" s="61" t="s">
        <v>2035</v>
      </c>
      <c r="F6" s="2" t="s">
        <v>282</v>
      </c>
      <c r="G6" s="2" t="s">
        <v>2036</v>
      </c>
      <c r="J6" s="1" t="s">
        <v>775</v>
      </c>
      <c r="K6" s="2" t="s">
        <v>525</v>
      </c>
      <c r="W6" s="3">
        <v>67.99</v>
      </c>
      <c r="X6" s="4">
        <v>2</v>
      </c>
      <c r="Y6" s="2" t="s">
        <v>144</v>
      </c>
      <c r="Z6" s="2" t="s">
        <v>77</v>
      </c>
      <c r="AA6" s="2" t="s">
        <v>112</v>
      </c>
      <c r="AB6" s="2" t="s">
        <v>222</v>
      </c>
      <c r="AC6" s="2">
        <v>38</v>
      </c>
      <c r="AE6" s="2" t="s">
        <v>139</v>
      </c>
      <c r="AF6" s="2" t="s">
        <v>139</v>
      </c>
      <c r="AV6" s="2" t="s">
        <v>233</v>
      </c>
      <c r="AW6" s="61" t="s">
        <v>2019</v>
      </c>
      <c r="AX6" s="2" t="s">
        <v>136</v>
      </c>
      <c r="AY6" s="2" t="s">
        <v>463</v>
      </c>
      <c r="BC6" s="6" t="s">
        <v>2024</v>
      </c>
      <c r="BD6" s="2" t="s">
        <v>2025</v>
      </c>
      <c r="BE6" s="2" t="s">
        <v>2026</v>
      </c>
      <c r="BF6" s="6" t="s">
        <v>2027</v>
      </c>
      <c r="BG6" s="2" t="s">
        <v>2028</v>
      </c>
      <c r="BH6" s="2" t="s">
        <v>2029</v>
      </c>
      <c r="BI6" s="62" t="str">
        <f>VLOOKUP(MID(B6,8,2),[2]Sheet1!$A:$B,2,0)</f>
        <v>Verde</v>
      </c>
      <c r="BJ6" s="62" t="str">
        <f>VLOOKUP(MID(B6,8,2),[2]Sheet1!$A:$C,3,0)</f>
        <v>Verde Azulado</v>
      </c>
      <c r="BK6" s="62">
        <f>VLOOKUP(MID(B6,10,2),[2]Sheet1!$F:$G,2,0)</f>
        <v>38</v>
      </c>
      <c r="BM6" s="2" t="s">
        <v>2030</v>
      </c>
      <c r="BN6" s="2" t="s">
        <v>259</v>
      </c>
      <c r="BO6" s="2" t="s">
        <v>338</v>
      </c>
      <c r="BP6" s="2" t="s">
        <v>268</v>
      </c>
      <c r="BS6" s="63" t="s">
        <v>2031</v>
      </c>
      <c r="CB6" s="6" t="s">
        <v>2032</v>
      </c>
      <c r="CE6" s="2" t="s">
        <v>276</v>
      </c>
      <c r="CG6" s="2" t="s">
        <v>181</v>
      </c>
      <c r="CM6" s="62">
        <f>BK6</f>
        <v>38</v>
      </c>
      <c r="CN6" s="2" t="s">
        <v>164</v>
      </c>
      <c r="CP6" s="2" t="s">
        <v>161</v>
      </c>
      <c r="CY6" s="2" t="s">
        <v>733</v>
      </c>
      <c r="CZ6" s="2" t="s">
        <v>138</v>
      </c>
      <c r="DA6" s="2" t="s">
        <v>138</v>
      </c>
      <c r="ED6" s="2" t="s">
        <v>2033</v>
      </c>
      <c r="EH6" s="2" t="s">
        <v>228</v>
      </c>
      <c r="FB6" s="64">
        <v>72.99</v>
      </c>
    </row>
    <row r="7" ht="16.8" spans="1:191">
      <c r="B7" s="61"/>
      <c r="C7" s="2"/>
      <c r="D7" s="2"/>
      <c r="E7" s="61"/>
      <c r="F7" s="2"/>
      <c r="G7" s="2"/>
      <c r="J7" s="1"/>
      <c r="K7" s="2"/>
      <c r="AW7" s="61"/>
      <c r="AX7" s="2"/>
      <c r="AY7" s="2"/>
      <c r="BI7" s="62"/>
      <c r="BJ7" s="62"/>
      <c r="BK7" s="62"/>
      <c r="BS7" s="63"/>
      <c r="CM7" s="62"/>
      <c r="CN7" s="2"/>
      <c r="FB7" s="64"/>
    </row>
    <row r="8" ht="16.8" spans="1:191">
      <c r="B8" s="61"/>
      <c r="C8" s="2"/>
      <c r="D8" s="2"/>
      <c r="E8" s="61"/>
      <c r="F8" s="2"/>
      <c r="G8" s="2"/>
      <c r="J8" s="1"/>
      <c r="K8" s="2"/>
      <c r="AW8" s="61"/>
      <c r="AX8" s="2"/>
      <c r="AY8" s="2"/>
      <c r="BI8" s="62"/>
      <c r="BJ8" s="62"/>
      <c r="BK8" s="62"/>
      <c r="BS8" s="63"/>
      <c r="CM8" s="62"/>
      <c r="CN8" s="2"/>
      <c r="FB8" s="64"/>
    </row>
    <row r="9" ht="16.8" spans="1:191">
      <c r="B9" s="61"/>
      <c r="C9" s="2"/>
      <c r="D9" s="2"/>
      <c r="E9" s="61"/>
      <c r="F9" s="2"/>
      <c r="G9" s="2"/>
      <c r="J9" s="1"/>
      <c r="K9" s="2"/>
      <c r="AW9" s="61"/>
      <c r="AX9" s="2"/>
      <c r="AY9" s="2"/>
      <c r="BI9" s="62"/>
      <c r="BJ9" s="62"/>
      <c r="BK9" s="62"/>
      <c r="BS9" s="63"/>
      <c r="CM9" s="62"/>
      <c r="CN9" s="2"/>
      <c r="FB9" s="64"/>
    </row>
    <row r="10" ht="16.8" spans="1:191">
      <c r="B10" s="61"/>
      <c r="C10" s="2"/>
      <c r="D10" s="2"/>
      <c r="E10" s="61"/>
      <c r="F10" s="2"/>
      <c r="G10" s="2"/>
      <c r="J10" s="1"/>
      <c r="K10" s="2"/>
      <c r="AW10" s="61"/>
      <c r="AX10" s="2"/>
      <c r="AY10" s="2"/>
      <c r="BI10" s="62"/>
      <c r="BJ10" s="62"/>
      <c r="BK10" s="62"/>
      <c r="BS10" s="63"/>
      <c r="CM10" s="62"/>
      <c r="CN10" s="2"/>
      <c r="FB10" s="64"/>
    </row>
    <row r="11" ht="16.8" spans="1:191">
      <c r="B11" s="61"/>
      <c r="C11" s="2"/>
      <c r="D11" s="2"/>
      <c r="E11" s="61"/>
      <c r="F11" s="2"/>
      <c r="G11" s="2"/>
      <c r="J11" s="1"/>
      <c r="K11" s="2"/>
      <c r="AW11" s="61"/>
      <c r="AX11" s="2"/>
      <c r="AY11" s="2"/>
      <c r="BI11" s="62"/>
      <c r="BJ11" s="62"/>
      <c r="BK11" s="62"/>
      <c r="BS11" s="63"/>
      <c r="CM11" s="62"/>
      <c r="CN11" s="2"/>
      <c r="FB11" s="64"/>
    </row>
    <row r="12" ht="16.8" spans="1:191">
      <c r="B12" s="61"/>
      <c r="C12" s="2"/>
      <c r="D12" s="2"/>
      <c r="E12" s="61"/>
      <c r="F12" s="2"/>
      <c r="G12" s="2"/>
      <c r="J12" s="1"/>
      <c r="K12" s="2"/>
      <c r="AW12" s="61"/>
      <c r="AX12" s="2"/>
      <c r="AY12" s="2"/>
      <c r="BI12" s="62"/>
      <c r="BJ12" s="62"/>
      <c r="BK12" s="62"/>
      <c r="BS12" s="63"/>
      <c r="CM12" s="62"/>
      <c r="CN12" s="2"/>
      <c r="FB12" s="64"/>
    </row>
    <row r="13" ht="16.8" spans="1:191">
      <c r="B13" s="61"/>
      <c r="C13" s="2"/>
      <c r="D13" s="2"/>
      <c r="E13" s="61"/>
      <c r="F13" s="2"/>
      <c r="G13" s="2"/>
      <c r="J13" s="1"/>
      <c r="K13" s="2"/>
      <c r="AW13" s="61"/>
      <c r="AX13" s="2"/>
      <c r="AY13" s="2"/>
      <c r="BI13" s="62"/>
      <c r="BJ13" s="62"/>
      <c r="BK13" s="62"/>
      <c r="BS13" s="63"/>
      <c r="CM13" s="62"/>
      <c r="CN13" s="2"/>
      <c r="FB13" s="64"/>
    </row>
    <row r="14" ht="16.8" spans="1:191">
      <c r="B14" s="61"/>
      <c r="C14" s="2"/>
      <c r="D14" s="2"/>
      <c r="E14" s="61"/>
      <c r="F14" s="2"/>
      <c r="G14" s="2"/>
      <c r="J14" s="1"/>
      <c r="K14" s="2"/>
      <c r="AW14" s="61"/>
      <c r="AX14" s="2"/>
      <c r="AY14" s="2"/>
      <c r="BI14" s="62"/>
      <c r="BJ14" s="62"/>
      <c r="BK14" s="62"/>
      <c r="BS14" s="63"/>
      <c r="CM14" s="62"/>
      <c r="CN14" s="2"/>
      <c r="FB14" s="64"/>
    </row>
    <row r="15" ht="16.8" spans="1:191">
      <c r="B15" s="61"/>
      <c r="C15" s="2"/>
      <c r="D15" s="2"/>
      <c r="E15" s="61"/>
      <c r="F15" s="2"/>
      <c r="G15" s="2"/>
      <c r="J15" s="1"/>
      <c r="K15" s="2"/>
      <c r="AW15" s="61"/>
      <c r="AX15" s="2"/>
      <c r="AY15" s="2"/>
      <c r="BI15" s="62"/>
      <c r="BJ15" s="62"/>
      <c r="BK15" s="62"/>
      <c r="BS15" s="63"/>
      <c r="CM15" s="62"/>
      <c r="CN15" s="2"/>
      <c r="FB15" s="64"/>
    </row>
    <row r="16" ht="16.8" spans="1:191">
      <c r="B16" s="61"/>
      <c r="C16" s="2"/>
      <c r="D16" s="2"/>
      <c r="E16" s="61"/>
      <c r="F16" s="2"/>
      <c r="G16" s="2"/>
      <c r="J16" s="1"/>
      <c r="K16" s="2"/>
      <c r="AW16" s="61"/>
      <c r="AX16" s="2"/>
      <c r="AY16" s="2"/>
      <c r="BI16" s="62"/>
      <c r="BJ16" s="62"/>
      <c r="BK16" s="62"/>
      <c r="BS16" s="63"/>
      <c r="CM16" s="62"/>
      <c r="CN16" s="2"/>
      <c r="FB16" s="64"/>
    </row>
    <row r="17" ht="16.8" spans="2:158">
      <c r="B17" s="61"/>
      <c r="C17" s="2"/>
      <c r="D17" s="2"/>
      <c r="E17" s="61"/>
      <c r="F17" s="2"/>
      <c r="G17" s="2"/>
      <c r="J17" s="1"/>
      <c r="K17" s="2"/>
      <c r="AW17" s="61"/>
      <c r="AX17" s="2"/>
      <c r="AY17" s="2"/>
      <c r="BI17" s="62"/>
      <c r="BJ17" s="62"/>
      <c r="BK17" s="62"/>
      <c r="BS17" s="63"/>
      <c r="CM17" s="62"/>
      <c r="CN17" s="2"/>
      <c r="FB17" s="64"/>
    </row>
    <row r="18" ht="16.8" spans="2:158">
      <c r="B18" s="61"/>
      <c r="C18" s="2"/>
      <c r="D18" s="2"/>
      <c r="E18" s="61"/>
      <c r="F18" s="2"/>
      <c r="G18" s="2"/>
      <c r="J18" s="1"/>
      <c r="K18" s="2"/>
      <c r="AW18" s="61"/>
      <c r="AX18" s="2"/>
      <c r="AY18" s="2"/>
      <c r="BI18" s="62"/>
      <c r="BJ18" s="62"/>
      <c r="BK18" s="62"/>
      <c r="BS18" s="63"/>
      <c r="CM18" s="62"/>
      <c r="CN18" s="2"/>
      <c r="FB18" s="64"/>
    </row>
    <row r="19" ht="16.8" spans="2:158">
      <c r="B19" s="61"/>
      <c r="C19" s="2"/>
      <c r="D19" s="2"/>
      <c r="E19" s="61"/>
      <c r="F19" s="2"/>
      <c r="G19" s="2"/>
      <c r="J19" s="1"/>
      <c r="K19" s="2"/>
      <c r="AW19" s="61"/>
      <c r="AX19" s="2"/>
      <c r="AY19" s="2"/>
      <c r="BI19" s="62"/>
      <c r="BJ19" s="62"/>
      <c r="BK19" s="62"/>
      <c r="BS19" s="63"/>
      <c r="CM19" s="62"/>
      <c r="CN19" s="2"/>
      <c r="FB19" s="64"/>
    </row>
    <row r="20" ht="16.8" spans="2:158">
      <c r="B20" s="61"/>
      <c r="C20" s="2"/>
      <c r="D20" s="2"/>
      <c r="E20" s="61"/>
      <c r="F20" s="2"/>
      <c r="G20" s="2"/>
      <c r="J20" s="1"/>
      <c r="K20" s="2"/>
      <c r="AW20" s="61"/>
      <c r="AX20" s="2"/>
      <c r="AY20" s="2"/>
      <c r="BI20" s="62"/>
      <c r="BJ20" s="62"/>
      <c r="BK20" s="62"/>
      <c r="BS20" s="63"/>
      <c r="CM20" s="62"/>
      <c r="CN20" s="2"/>
      <c r="FB20" s="64"/>
    </row>
    <row r="21" ht="16.8" spans="2:158">
      <c r="B21" s="61"/>
      <c r="C21" s="2"/>
      <c r="D21" s="2"/>
      <c r="E21" s="61"/>
      <c r="F21" s="2"/>
      <c r="G21" s="2"/>
      <c r="J21" s="1"/>
      <c r="K21" s="2"/>
      <c r="AW21" s="61"/>
      <c r="AX21" s="2"/>
      <c r="AY21" s="2"/>
      <c r="BI21" s="62"/>
      <c r="BJ21" s="62"/>
      <c r="BK21" s="62"/>
      <c r="BS21" s="63"/>
      <c r="CM21" s="62"/>
      <c r="CN21" s="2"/>
      <c r="FB21" s="64"/>
    </row>
    <row r="22" ht="16.8" spans="2:158">
      <c r="B22" s="61"/>
      <c r="C22" s="2"/>
      <c r="D22" s="2"/>
      <c r="E22" s="61"/>
      <c r="F22" s="2"/>
      <c r="G22" s="2"/>
      <c r="J22" s="1"/>
      <c r="K22" s="2"/>
      <c r="AW22" s="61"/>
      <c r="AX22" s="2"/>
      <c r="AY22" s="2"/>
      <c r="BI22" s="62"/>
      <c r="BJ22" s="62"/>
      <c r="BK22" s="62"/>
      <c r="BS22" s="63"/>
      <c r="CM22" s="62"/>
      <c r="CN22" s="2"/>
      <c r="FB22" s="64"/>
    </row>
    <row r="23" ht="16.8" spans="2:158">
      <c r="B23" s="61"/>
      <c r="C23" s="2"/>
      <c r="D23" s="2"/>
      <c r="E23" s="61"/>
      <c r="F23" s="2"/>
      <c r="G23" s="2"/>
      <c r="J23" s="1"/>
      <c r="K23" s="2"/>
      <c r="AW23" s="61"/>
      <c r="AX23" s="2"/>
      <c r="AY23" s="2"/>
      <c r="BI23" s="62"/>
      <c r="BJ23" s="62"/>
      <c r="BK23" s="62"/>
      <c r="BS23" s="63"/>
      <c r="CM23" s="62"/>
      <c r="CN23" s="2"/>
      <c r="FB23" s="64"/>
    </row>
    <row r="24" ht="16.8" spans="2:158">
      <c r="B24" s="61"/>
      <c r="C24" s="2"/>
      <c r="D24" s="2"/>
      <c r="E24" s="61"/>
      <c r="F24" s="2"/>
      <c r="G24" s="2"/>
      <c r="J24" s="1"/>
      <c r="K24" s="2"/>
      <c r="AW24" s="61"/>
      <c r="AX24" s="2"/>
      <c r="AY24" s="2"/>
      <c r="BI24" s="62"/>
      <c r="BJ24" s="62"/>
      <c r="BK24" s="62"/>
      <c r="BS24" s="63"/>
      <c r="CM24" s="62"/>
      <c r="CN24" s="2"/>
      <c r="FB24" s="64"/>
    </row>
    <row r="25" ht="16.8" spans="2:158">
      <c r="B25" s="61"/>
      <c r="C25" s="2"/>
      <c r="D25" s="2"/>
      <c r="E25" s="61"/>
      <c r="F25" s="2"/>
      <c r="G25" s="2"/>
      <c r="J25" s="1"/>
      <c r="K25" s="2"/>
      <c r="AW25" s="61"/>
      <c r="AX25" s="2"/>
      <c r="AY25" s="2"/>
      <c r="BI25" s="62"/>
      <c r="BJ25" s="62"/>
      <c r="BK25" s="62"/>
      <c r="BS25" s="63"/>
      <c r="CM25" s="62"/>
      <c r="CN25" s="2"/>
      <c r="FB25" s="64"/>
    </row>
    <row r="26" ht="16.8" spans="2:158">
      <c r="B26" s="61"/>
      <c r="C26" s="2"/>
      <c r="D26" s="2"/>
      <c r="E26" s="61"/>
      <c r="F26" s="2"/>
      <c r="G26" s="2"/>
      <c r="J26" s="1"/>
      <c r="K26" s="2"/>
      <c r="AW26" s="61"/>
      <c r="AX26" s="2"/>
      <c r="AY26" s="2"/>
      <c r="BI26" s="62"/>
      <c r="BJ26" s="62"/>
      <c r="BK26" s="62"/>
      <c r="BS26" s="63"/>
      <c r="CM26" s="62"/>
      <c r="CN26" s="2"/>
      <c r="FB26" s="64"/>
    </row>
    <row r="27" ht="16.8" spans="2:158">
      <c r="B27" s="61"/>
      <c r="C27" s="2"/>
      <c r="D27" s="2"/>
      <c r="E27" s="61"/>
      <c r="F27" s="2"/>
      <c r="G27" s="2"/>
      <c r="J27" s="1"/>
      <c r="K27" s="2"/>
      <c r="AW27" s="61"/>
      <c r="AX27" s="2"/>
      <c r="AY27" s="2"/>
      <c r="BI27" s="62"/>
      <c r="BJ27" s="62"/>
      <c r="BK27" s="62"/>
      <c r="BS27" s="63"/>
      <c r="CM27" s="62"/>
      <c r="CN27" s="2"/>
      <c r="FB27" s="64"/>
    </row>
    <row r="28" ht="16.8" spans="2:158">
      <c r="B28" s="61"/>
      <c r="C28" s="2"/>
      <c r="D28" s="2"/>
      <c r="E28" s="61"/>
      <c r="F28" s="2"/>
      <c r="G28" s="2"/>
      <c r="J28" s="1"/>
      <c r="K28" s="2"/>
      <c r="AW28" s="61"/>
      <c r="AX28" s="2"/>
      <c r="AY28" s="2"/>
      <c r="BI28" s="62"/>
      <c r="BJ28" s="62"/>
      <c r="BK28" s="62"/>
      <c r="BS28" s="63"/>
      <c r="CM28" s="62"/>
      <c r="CN28" s="2"/>
      <c r="FB28" s="64"/>
    </row>
    <row r="29" ht="16.8" spans="2:158">
      <c r="B29" s="61"/>
      <c r="C29" s="2"/>
      <c r="D29" s="2"/>
      <c r="E29" s="61"/>
      <c r="F29" s="2"/>
      <c r="G29" s="2"/>
      <c r="J29" s="1"/>
      <c r="K29" s="2"/>
      <c r="AW29" s="61"/>
      <c r="AX29" s="2"/>
      <c r="AY29" s="2"/>
      <c r="BI29" s="62"/>
      <c r="BJ29" s="62"/>
      <c r="BK29" s="62"/>
      <c r="BS29" s="63"/>
      <c r="CM29" s="62"/>
      <c r="CN29" s="2"/>
      <c r="FB29" s="64"/>
    </row>
    <row r="30" ht="16.8" spans="2:158">
      <c r="B30" s="61"/>
      <c r="C30" s="2"/>
      <c r="D30" s="2"/>
      <c r="E30" s="61"/>
      <c r="F30" s="2"/>
      <c r="G30" s="2"/>
      <c r="J30" s="1"/>
      <c r="K30" s="2"/>
      <c r="AW30" s="61"/>
      <c r="AX30" s="2"/>
      <c r="AY30" s="2"/>
      <c r="BI30" s="62"/>
      <c r="BJ30" s="62"/>
      <c r="BK30" s="62"/>
      <c r="BS30" s="63"/>
      <c r="CM30" s="62"/>
      <c r="CN30" s="2"/>
      <c r="FB30" s="64"/>
    </row>
    <row r="31" ht="16.8" spans="2:158">
      <c r="B31" s="61"/>
      <c r="C31" s="2"/>
      <c r="D31" s="2"/>
      <c r="E31" s="61"/>
      <c r="F31" s="2"/>
      <c r="G31" s="2"/>
      <c r="J31" s="1"/>
      <c r="K31" s="2"/>
      <c r="AW31" s="61"/>
      <c r="AX31" s="2"/>
      <c r="AY31" s="2"/>
      <c r="BI31" s="62"/>
      <c r="BJ31" s="62"/>
      <c r="BK31" s="62"/>
      <c r="BS31" s="63"/>
      <c r="CM31" s="62"/>
      <c r="CN31" s="2"/>
      <c r="FB31" s="64"/>
    </row>
    <row r="32" ht="16.8" spans="2:158">
      <c r="B32" s="61"/>
      <c r="C32" s="2"/>
      <c r="D32" s="2"/>
      <c r="E32" s="61"/>
      <c r="F32" s="2"/>
      <c r="G32" s="2"/>
      <c r="J32" s="1"/>
      <c r="K32" s="2"/>
      <c r="AW32" s="61"/>
      <c r="AX32" s="2"/>
      <c r="AY32" s="2"/>
      <c r="BI32" s="62"/>
      <c r="BJ32" s="62"/>
      <c r="BK32" s="62"/>
      <c r="BS32" s="63"/>
      <c r="CM32" s="62"/>
      <c r="CN32" s="2"/>
      <c r="FB32" s="64"/>
    </row>
    <row r="33" ht="16.8" spans="2:158">
      <c r="B33" s="61"/>
      <c r="C33" s="2"/>
      <c r="D33" s="2"/>
      <c r="E33" s="61"/>
      <c r="F33" s="2"/>
      <c r="G33" s="2"/>
      <c r="J33" s="1"/>
      <c r="K33" s="2"/>
      <c r="AW33" s="61"/>
      <c r="AX33" s="2"/>
      <c r="AY33" s="2"/>
      <c r="BI33" s="62"/>
      <c r="BJ33" s="62"/>
      <c r="BK33" s="62"/>
      <c r="BS33" s="63"/>
      <c r="CM33" s="62"/>
      <c r="CN33" s="2"/>
      <c r="FB33" s="64"/>
    </row>
    <row r="34" ht="16.8" spans="2:158">
      <c r="B34" s="61"/>
      <c r="C34" s="2"/>
      <c r="D34" s="2"/>
      <c r="E34" s="61"/>
      <c r="F34" s="2"/>
      <c r="G34" s="2"/>
      <c r="J34" s="1"/>
      <c r="K34" s="2"/>
      <c r="AW34" s="61"/>
      <c r="AX34" s="2"/>
      <c r="AY34" s="2"/>
      <c r="BI34" s="62"/>
      <c r="BJ34" s="62"/>
      <c r="BK34" s="62"/>
      <c r="BS34" s="63"/>
      <c r="CM34" s="62"/>
      <c r="CN34" s="2"/>
      <c r="FB34" s="64"/>
    </row>
    <row r="35" ht="16.8" spans="2:158">
      <c r="B35" s="61"/>
      <c r="C35" s="2"/>
      <c r="D35" s="2"/>
      <c r="E35" s="61"/>
      <c r="F35" s="2"/>
      <c r="G35" s="2"/>
      <c r="J35" s="1"/>
      <c r="K35" s="2"/>
      <c r="AW35" s="61"/>
      <c r="AX35" s="2"/>
      <c r="AY35" s="2"/>
      <c r="BI35" s="62"/>
      <c r="BJ35" s="62"/>
      <c r="BK35" s="62"/>
      <c r="BS35" s="63"/>
      <c r="CM35" s="62"/>
      <c r="CN35" s="2"/>
      <c r="FB35" s="64"/>
    </row>
    <row r="36" ht="16.8" spans="2:158">
      <c r="B36" s="61"/>
      <c r="C36" s="2"/>
      <c r="D36" s="2"/>
      <c r="E36" s="61"/>
      <c r="F36" s="2"/>
      <c r="G36" s="2"/>
      <c r="J36" s="1"/>
      <c r="K36" s="2"/>
      <c r="AW36" s="61"/>
      <c r="AX36" s="2"/>
      <c r="AY36" s="2"/>
      <c r="BI36" s="62"/>
      <c r="BJ36" s="62"/>
      <c r="BK36" s="62"/>
      <c r="BS36" s="63"/>
      <c r="CM36" s="62"/>
      <c r="CN36" s="2"/>
      <c r="FB36" s="64"/>
    </row>
    <row r="37" ht="16.8" spans="2:158">
      <c r="B37" s="61"/>
      <c r="C37" s="2"/>
      <c r="D37" s="2"/>
      <c r="E37" s="61"/>
      <c r="F37" s="2"/>
      <c r="G37" s="2"/>
      <c r="J37" s="1"/>
      <c r="K37" s="2"/>
      <c r="AW37" s="61"/>
      <c r="AX37" s="2"/>
      <c r="AY37" s="2"/>
      <c r="BI37" s="62"/>
      <c r="BJ37" s="62"/>
      <c r="BK37" s="62"/>
      <c r="BS37" s="63"/>
      <c r="CM37" s="62"/>
      <c r="CN37" s="2"/>
      <c r="FB37" s="64"/>
    </row>
    <row r="38" ht="16.8" spans="2:158">
      <c r="B38" s="61"/>
      <c r="C38" s="2"/>
      <c r="D38" s="2"/>
      <c r="E38" s="61"/>
      <c r="F38" s="2"/>
      <c r="G38" s="2"/>
      <c r="J38" s="1"/>
      <c r="K38" s="2"/>
      <c r="AW38" s="61"/>
      <c r="AX38" s="2"/>
      <c r="AY38" s="2"/>
      <c r="BI38" s="62"/>
      <c r="BJ38" s="62"/>
      <c r="BK38" s="62"/>
      <c r="BS38" s="63"/>
      <c r="CM38" s="62"/>
      <c r="CN38" s="2"/>
      <c r="FB38" s="64"/>
    </row>
    <row r="39" ht="16.8" spans="2:158">
      <c r="B39" s="61"/>
      <c r="C39" s="2"/>
      <c r="D39" s="2"/>
      <c r="E39" s="61"/>
      <c r="F39" s="2"/>
      <c r="G39" s="2"/>
      <c r="J39" s="1"/>
      <c r="K39" s="2"/>
      <c r="AW39" s="61"/>
      <c r="AX39" s="2"/>
      <c r="AY39" s="2"/>
      <c r="BI39" s="62"/>
      <c r="BJ39" s="62"/>
      <c r="BK39" s="62"/>
      <c r="BS39" s="63"/>
      <c r="CM39" s="62"/>
      <c r="CN39" s="2"/>
      <c r="FB39" s="64"/>
    </row>
    <row r="40" ht="16.8" spans="2:158">
      <c r="B40" s="61"/>
      <c r="C40" s="2"/>
      <c r="D40" s="2"/>
      <c r="E40" s="61"/>
      <c r="F40" s="2"/>
      <c r="G40" s="2"/>
      <c r="J40" s="1"/>
      <c r="K40" s="2"/>
      <c r="AW40" s="61"/>
      <c r="AX40" s="2"/>
      <c r="AY40" s="2"/>
      <c r="BI40" s="62"/>
      <c r="BJ40" s="62"/>
      <c r="BK40" s="62"/>
      <c r="BS40" s="63"/>
      <c r="CM40" s="62"/>
      <c r="CN40" s="2"/>
      <c r="FB40" s="64"/>
    </row>
  </sheetData>
  <conditionalFormatting sqref="B4">
    <cfRule type="expression" dxfId="0" priority="10"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fRule type="expression" dxfId="1" priority="9" stopIfTrue="1">
      <formula>IF(VLOOKUP($B$3,preferredAttributePTDMap,MATCH($A4,attributeMapFeedProductType,0)+1,FALSE)&gt;0,1,0)</formula>
    </cfRule>
    <cfRule type="expression" dxfId="2" priority="8" stopIfTrue="1">
      <formula>IF(VLOOKUP($B$3,optionalAttributePTDMap,MATCH($A4,attributeMapFeedProductType,0)+1,FALSE)&gt;0,1,0)</formula>
    </cfRule>
    <cfRule type="expression" dxfId="3" priority="7" stopIfTrue="1">
      <formula>IF(VLOOKUP($B$3,requiredAttributePTDMap,MATCH($A4,attributeMapFeedProductType,0)+1,FALSE)&gt;0,1,0)</formula>
    </cfRule>
    <cfRule type="expression" dxfId="4" priority="6" stopIfTrue="1">
      <formula>IF(LEN(B4)&gt;0,1,0)</formula>
    </cfRule>
  </conditionalFormatting>
  <conditionalFormatting sqref="B5:B11">
    <cfRule type="expression" dxfId="4" priority="51" stopIfTrue="1">
      <formula>IF(LEN(B5)&gt;0,1,0)</formula>
    </cfRule>
    <cfRule type="expression" dxfId="3" priority="52" stopIfTrue="1">
      <formula>IF(VLOOKUP($B$3,requiredAttributePTDMap,MATCH($A5,attributeMapFeedProductType,0)+1,FALSE)&gt;0,1,0)</formula>
    </cfRule>
    <cfRule type="expression" dxfId="2" priority="53" stopIfTrue="1">
      <formula>IF(VLOOKUP($B$3,optionalAttributePTDMap,MATCH($A5,attributeMapFeedProductType,0)+1,FALSE)&gt;0,1,0)</formula>
    </cfRule>
    <cfRule type="expression" dxfId="1" priority="54" stopIfTrue="1">
      <formula>IF(VLOOKUP($B$3,preferredAttributePTDMap,MATCH($A5,attributeMapFeedProductType,0)+1,FALSE)&gt;0,1,0)</formula>
    </cfRule>
    <cfRule type="expression" dxfId="0" priority="55"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B12:B1048576">
    <cfRule type="expression" dxfId="4" priority="57" stopIfTrue="1">
      <formula>IF(LEN(B12)&gt;0,1,0)</formula>
    </cfRule>
    <cfRule type="expression" dxfId="3" priority="58" stopIfTrue="1">
      <formula>IF(VLOOKUP($B$3,requiredAttributePTDMap,MATCH($A12,attributeMapFeedProductType,0)+1,FALSE)&gt;0,1,0)</formula>
    </cfRule>
    <cfRule type="expression" dxfId="2" priority="59" stopIfTrue="1">
      <formula>IF(VLOOKUP($B$3,optionalAttributePTDMap,MATCH($A12,attributeMapFeedProductType,0)+1,FALSE)&gt;0,1,0)</formula>
    </cfRule>
    <cfRule type="expression" dxfId="1" priority="60" stopIfTrue="1">
      <formula>IF(VLOOKUP($B$3,preferredAttributePTDMap,MATCH($A12,attributeMapFeedProductType,0)+1,FALSE)&gt;0,1,0)</formula>
    </cfRule>
    <cfRule type="expression" dxfId="0" priority="61" stopIfTrue="1">
      <formula>AND(IF(IFERROR(VLOOKUP($B$3,requiredAttributePTDMap,MATCH($A12,attributeMapFeedProductType,0)+1,FALSE),0)&gt;0,0,1),IF(IFERROR(VLOOKUP($B$3,optionalAttributePTDMap,MATCH($A12,attributeMapFeedProductType,0)+1,FALSE),0)&gt;0,0,1),IF(IFERROR(VLOOKUP($B$3,preferredAttributePTDMap,MATCH($A12,attributeMapFeedProductType,0)+1,FALSE),0)&gt;0,0,1),IF(IFERROR(MATCH($A12,attributeMapFeedProductType,0),0)&gt;0,1,0))</formula>
    </cfRule>
  </conditionalFormatting>
  <conditionalFormatting sqref="C4:C1048576">
    <cfRule type="expression" dxfId="4" priority="62" stopIfTrue="1">
      <formula>IF(LEN(C4)&gt;0,1,0)</formula>
    </cfRule>
    <cfRule type="expression" dxfId="3" priority="63" stopIfTrue="1">
      <formula>IF(VLOOKUP($C$3,requiredAttributePTDMap,MATCH($A4,attributeMapFeedProductType,0)+1,FALSE)&gt;0,1,0)</formula>
    </cfRule>
    <cfRule type="expression" dxfId="2" priority="64" stopIfTrue="1">
      <formula>IF(VLOOKUP($C$3,optionalAttributePTDMap,MATCH($A4,attributeMapFeedProductType,0)+1,FALSE)&gt;0,1,0)</formula>
    </cfRule>
    <cfRule type="expression" dxfId="1" priority="65" stopIfTrue="1">
      <formula>IF(VLOOKUP($C$3,preferredAttributePTDMap,MATCH($A4,attributeMapFeedProductType,0)+1,FALSE)&gt;0,1,0)</formula>
    </cfRule>
    <cfRule type="expression" dxfId="0" priority="66"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048576">
    <cfRule type="expression" dxfId="4" priority="67" stopIfTrue="1">
      <formula>IF(LEN(D4)&gt;0,1,0)</formula>
    </cfRule>
    <cfRule type="expression" dxfId="3" priority="68" stopIfTrue="1">
      <formula>IF(VLOOKUP($D$3,requiredAttributePTDMap,MATCH($A4,attributeMapFeedProductType,0)+1,FALSE)&gt;0,1,0)</formula>
    </cfRule>
    <cfRule type="expression" dxfId="2" priority="69" stopIfTrue="1">
      <formula>IF(VLOOKUP($D$3,optionalAttributePTDMap,MATCH($A4,attributeMapFeedProductType,0)+1,FALSE)&gt;0,1,0)</formula>
    </cfRule>
    <cfRule type="expression" dxfId="1" priority="70" stopIfTrue="1">
      <formula>IF(VLOOKUP($D$3,preferredAttributePTDMap,MATCH($A4,attributeMapFeedProductType,0)+1,FALSE)&gt;0,1,0)</formula>
    </cfRule>
    <cfRule type="expression" dxfId="0" priority="71"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1048576">
    <cfRule type="expression" dxfId="4" priority="72" stopIfTrue="1">
      <formula>IF(LEN(E4)&gt;0,1,0)</formula>
    </cfRule>
    <cfRule type="expression" dxfId="3" priority="73" stopIfTrue="1">
      <formula>IF(VLOOKUP($E$3,requiredAttributePTDMap,MATCH($A4,attributeMapFeedProductType,0)+1,FALSE)&gt;0,1,0)</formula>
    </cfRule>
    <cfRule type="expression" dxfId="2" priority="74" stopIfTrue="1">
      <formula>IF(VLOOKUP($E$3,optionalAttributePTDMap,MATCH($A4,attributeMapFeedProductType,0)+1,FALSE)&gt;0,1,0)</formula>
    </cfRule>
    <cfRule type="expression" dxfId="1" priority="75" stopIfTrue="1">
      <formula>IF(VLOOKUP($E$3,preferredAttributePTDMap,MATCH($A4,attributeMapFeedProductType,0)+1,FALSE)&gt;0,1,0)</formula>
    </cfRule>
    <cfRule type="expression" dxfId="0" priority="76"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1048576">
    <cfRule type="expression" dxfId="4" priority="77" stopIfTrue="1">
      <formula>IF(LEN(F4)&gt;0,1,0)</formula>
    </cfRule>
    <cfRule type="expression" dxfId="3" priority="78" stopIfTrue="1">
      <formula>IF(VLOOKUP($F$3,requiredAttributePTDMap,MATCH($A4,attributeMapFeedProductType,0)+1,FALSE)&gt;0,1,0)</formula>
    </cfRule>
    <cfRule type="expression" dxfId="2" priority="79" stopIfTrue="1">
      <formula>IF(VLOOKUP($F$3,optionalAttributePTDMap,MATCH($A4,attributeMapFeedProductType,0)+1,FALSE)&gt;0,1,0)</formula>
    </cfRule>
    <cfRule type="expression" dxfId="1" priority="80" stopIfTrue="1">
      <formula>IF(VLOOKUP($F$3,preferredAttributePTDMap,MATCH($A4,attributeMapFeedProductType,0)+1,FALSE)&gt;0,1,0)</formula>
    </cfRule>
    <cfRule type="expression" dxfId="0" priority="81"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dxfId="4" priority="82" stopIfTrue="1">
      <formula>IF(LEN(G4)&gt;0,1,0)</formula>
    </cfRule>
    <cfRule type="expression" dxfId="3" priority="83" stopIfTrue="1">
      <formula>IF(VLOOKUP($G$3,requiredAttributePTDMap,MATCH($A4,attributeMapFeedProductType,0)+1,FALSE)&gt;0,1,0)</formula>
    </cfRule>
    <cfRule type="expression" dxfId="2" priority="84" stopIfTrue="1">
      <formula>IF(VLOOKUP($G$3,optionalAttributePTDMap,MATCH($A4,attributeMapFeedProductType,0)+1,FALSE)&gt;0,1,0)</formula>
    </cfRule>
    <cfRule type="expression" dxfId="1" priority="85" stopIfTrue="1">
      <formula>IF(VLOOKUP($G$3,preferredAttributePTDMap,MATCH($A4,attributeMapFeedProductType,0)+1,FALSE)&gt;0,1,0)</formula>
    </cfRule>
    <cfRule type="expression" dxfId="0" priority="86"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H1048576">
    <cfRule type="expression" dxfId="4" priority="87" stopIfTrue="1">
      <formula>IF(LEN(H4)&gt;0,1,0)</formula>
    </cfRule>
    <cfRule type="expression" dxfId="3" priority="88" stopIfTrue="1">
      <formula>IF(VLOOKUP($H$3,requiredAttributePTDMap,MATCH($A4,attributeMapFeedProductType,0)+1,FALSE)&gt;0,1,0)</formula>
    </cfRule>
    <cfRule type="expression" dxfId="2" priority="89" stopIfTrue="1">
      <formula>IF(VLOOKUP($H$3,optionalAttributePTDMap,MATCH($A4,attributeMapFeedProductType,0)+1,FALSE)&gt;0,1,0)</formula>
    </cfRule>
    <cfRule type="expression" dxfId="1" priority="90" stopIfTrue="1">
      <formula>IF(VLOOKUP($H$3,preferredAttributePTDMap,MATCH($A4,attributeMapFeedProductType,0)+1,FALSE)&gt;0,1,0)</formula>
    </cfRule>
    <cfRule type="expression" dxfId="0" priority="91"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I1048576">
    <cfRule type="expression" dxfId="4" priority="92" stopIfTrue="1">
      <formula>IF(LEN(I4)&gt;0,1,0)</formula>
    </cfRule>
    <cfRule type="expression" dxfId="3" priority="93" stopIfTrue="1">
      <formula>IF(VLOOKUP($I$3,requiredAttributePTDMap,MATCH($A4,attributeMapFeedProductType,0)+1,FALSE)&gt;0,1,0)</formula>
    </cfRule>
    <cfRule type="expression" dxfId="2" priority="94" stopIfTrue="1">
      <formula>IF(VLOOKUP($I$3,optionalAttributePTDMap,MATCH($A4,attributeMapFeedProductType,0)+1,FALSE)&gt;0,1,0)</formula>
    </cfRule>
    <cfRule type="expression" dxfId="1" priority="95" stopIfTrue="1">
      <formula>IF(VLOOKUP($I$3,preferredAttributePTDMap,MATCH($A4,attributeMapFeedProductType,0)+1,FALSE)&gt;0,1,0)</formula>
    </cfRule>
    <cfRule type="expression" dxfId="0" priority="96"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5:J40">
    <cfRule type="expression" dxfId="4" priority="26" stopIfTrue="1">
      <formula>IF(LEN(J5)&gt;0,1,0)</formula>
    </cfRule>
    <cfRule type="expression" dxfId="3" priority="27" stopIfTrue="1">
      <formula>IF(VLOOKUP($J$3,requiredAttributePTDMap,MATCH($A5,attributeMapFeedProductType,0)+1,FALSE)&gt;0,1,0)</formula>
    </cfRule>
    <cfRule type="expression" dxfId="2" priority="28" stopIfTrue="1">
      <formula>IF(VLOOKUP($J$3,optionalAttributePTDMap,MATCH($A5,attributeMapFeedProductType,0)+1,FALSE)&gt;0,1,0)</formula>
    </cfRule>
    <cfRule type="expression" dxfId="1" priority="29" stopIfTrue="1">
      <formula>IF(VLOOKUP($J$3,preferredAttributePTDMap,MATCH($A5,attributeMapFeedProductType,0)+1,FALSE)&gt;0,1,0)</formula>
    </cfRule>
    <cfRule type="expression" dxfId="0" priority="30"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J41:J1048576">
    <cfRule type="expression" dxfId="4" priority="97" stopIfTrue="1">
      <formula>IF(LEN(J41)&gt;0,1,0)</formula>
    </cfRule>
    <cfRule type="expression" dxfId="3" priority="98" stopIfTrue="1">
      <formula>IF(VLOOKUP($J$3,requiredAttributePTDMap,MATCH($A41,attributeMapFeedProductType,0)+1,FALSE)&gt;0,1,0)</formula>
    </cfRule>
    <cfRule type="expression" dxfId="2" priority="99" stopIfTrue="1">
      <formula>IF(VLOOKUP($J$3,optionalAttributePTDMap,MATCH($A41,attributeMapFeedProductType,0)+1,FALSE)&gt;0,1,0)</formula>
    </cfRule>
    <cfRule type="expression" dxfId="1" priority="100" stopIfTrue="1">
      <formula>IF(VLOOKUP($J$3,preferredAttributePTDMap,MATCH($A41,attributeMapFeedProductType,0)+1,FALSE)&gt;0,1,0)</formula>
    </cfRule>
    <cfRule type="expression" dxfId="0" priority="101" stopIfTrue="1">
      <formula>AND(IF(IFERROR(VLOOKUP($J$3,requiredAttributePTDMap,MATCH($A41,attributeMapFeedProductType,0)+1,FALSE),0)&gt;0,0,1),IF(IFERROR(VLOOKUP($J$3,optionalAttributePTDMap,MATCH($A41,attributeMapFeedProductType,0)+1,FALSE),0)&gt;0,0,1),IF(IFERROR(VLOOKUP($J$3,preferredAttributePTDMap,MATCH($A41,attributeMapFeedProductType,0)+1,FALSE),0)&gt;0,0,1),IF(IFERROR(MATCH($A41,attributeMapFeedProductType,0),0)&gt;0,1,0))</formula>
    </cfRule>
  </conditionalFormatting>
  <conditionalFormatting sqref="K4:K1048576">
    <cfRule type="expression" dxfId="4" priority="102" stopIfTrue="1">
      <formula>IF(LEN(K4)&gt;0,1,0)</formula>
    </cfRule>
    <cfRule type="expression" dxfId="3" priority="103" stopIfTrue="1">
      <formula>IF(VLOOKUP($K$3,requiredAttributePTDMap,MATCH($A4,attributeMapFeedProductType,0)+1,FALSE)&gt;0,1,0)</formula>
    </cfRule>
    <cfRule type="expression" dxfId="2" priority="104" stopIfTrue="1">
      <formula>IF(VLOOKUP($K$3,optionalAttributePTDMap,MATCH($A4,attributeMapFeedProductType,0)+1,FALSE)&gt;0,1,0)</formula>
    </cfRule>
    <cfRule type="expression" dxfId="1" priority="105" stopIfTrue="1">
      <formula>IF(VLOOKUP($K$3,preferredAttributePTDMap,MATCH($A4,attributeMapFeedProductType,0)+1,FALSE)&gt;0,1,0)</formula>
    </cfRule>
    <cfRule type="expression" dxfId="0" priority="106"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1048576">
    <cfRule type="expression" dxfId="4" priority="107" stopIfTrue="1">
      <formula>IF(LEN(L4)&gt;0,1,0)</formula>
    </cfRule>
    <cfRule type="expression" dxfId="3" priority="108" stopIfTrue="1">
      <formula>IF(VLOOKUP($L$3,requiredAttributePTDMap,MATCH($A4,attributeMapFeedProductType,0)+1,FALSE)&gt;0,1,0)</formula>
    </cfRule>
    <cfRule type="expression" dxfId="2" priority="109" stopIfTrue="1">
      <formula>IF(VLOOKUP($L$3,optionalAttributePTDMap,MATCH($A4,attributeMapFeedProductType,0)+1,FALSE)&gt;0,1,0)</formula>
    </cfRule>
    <cfRule type="expression" dxfId="1" priority="110" stopIfTrue="1">
      <formula>IF(VLOOKUP($L$3,preferredAttributePTDMap,MATCH($A4,attributeMapFeedProductType,0)+1,FALSE)&gt;0,1,0)</formula>
    </cfRule>
    <cfRule type="expression" dxfId="0" priority="111"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1048576">
    <cfRule type="expression" dxfId="4" priority="112" stopIfTrue="1">
      <formula>IF(LEN(M4)&gt;0,1,0)</formula>
    </cfRule>
    <cfRule type="expression" dxfId="3" priority="113" stopIfTrue="1">
      <formula>IF(VLOOKUP($M$3,requiredAttributePTDMap,MATCH($A4,attributeMapFeedProductType,0)+1,FALSE)&gt;0,1,0)</formula>
    </cfRule>
    <cfRule type="expression" dxfId="2" priority="114" stopIfTrue="1">
      <formula>IF(VLOOKUP($M$3,optionalAttributePTDMap,MATCH($A4,attributeMapFeedProductType,0)+1,FALSE)&gt;0,1,0)</formula>
    </cfRule>
    <cfRule type="expression" dxfId="1" priority="115" stopIfTrue="1">
      <formula>IF(VLOOKUP($M$3,preferredAttributePTDMap,MATCH($A4,attributeMapFeedProductType,0)+1,FALSE)&gt;0,1,0)</formula>
    </cfRule>
    <cfRule type="expression" dxfId="0" priority="116"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048576">
    <cfRule type="expression" dxfId="4" priority="117" stopIfTrue="1">
      <formula>IF(LEN(N4)&gt;0,1,0)</formula>
    </cfRule>
    <cfRule type="expression" dxfId="3" priority="118" stopIfTrue="1">
      <formula>IF(VLOOKUP($N$3,requiredAttributePTDMap,MATCH($A4,attributeMapFeedProductType,0)+1,FALSE)&gt;0,1,0)</formula>
    </cfRule>
    <cfRule type="expression" dxfId="2" priority="119" stopIfTrue="1">
      <formula>IF(VLOOKUP($N$3,optionalAttributePTDMap,MATCH($A4,attributeMapFeedProductType,0)+1,FALSE)&gt;0,1,0)</formula>
    </cfRule>
    <cfRule type="expression" dxfId="1" priority="120" stopIfTrue="1">
      <formula>IF(VLOOKUP($N$3,preferredAttributePTDMap,MATCH($A4,attributeMapFeedProductType,0)+1,FALSE)&gt;0,1,0)</formula>
    </cfRule>
    <cfRule type="expression" dxfId="0" priority="121"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dxfId="4" priority="122" stopIfTrue="1">
      <formula>IF(LEN(O4)&gt;0,1,0)</formula>
    </cfRule>
    <cfRule type="expression" dxfId="3" priority="123" stopIfTrue="1">
      <formula>IF(VLOOKUP($O$3,requiredAttributePTDMap,MATCH($A4,attributeMapFeedProductType,0)+1,FALSE)&gt;0,1,0)</formula>
    </cfRule>
    <cfRule type="expression" dxfId="2" priority="124" stopIfTrue="1">
      <formula>IF(VLOOKUP($O$3,optionalAttributePTDMap,MATCH($A4,attributeMapFeedProductType,0)+1,FALSE)&gt;0,1,0)</formula>
    </cfRule>
    <cfRule type="expression" dxfId="1" priority="125" stopIfTrue="1">
      <formula>IF(VLOOKUP($O$3,preferredAttributePTDMap,MATCH($A4,attributeMapFeedProductType,0)+1,FALSE)&gt;0,1,0)</formula>
    </cfRule>
    <cfRule type="expression" dxfId="0" priority="126"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048576">
    <cfRule type="expression" dxfId="4" priority="127" stopIfTrue="1">
      <formula>IF(LEN(P4)&gt;0,1,0)</formula>
    </cfRule>
    <cfRule type="expression" dxfId="3" priority="128" stopIfTrue="1">
      <formula>IF(VLOOKUP($P$3,requiredAttributePTDMap,MATCH($A4,attributeMapFeedProductType,0)+1,FALSE)&gt;0,1,0)</formula>
    </cfRule>
    <cfRule type="expression" dxfId="2" priority="129" stopIfTrue="1">
      <formula>IF(VLOOKUP($P$3,optionalAttributePTDMap,MATCH($A4,attributeMapFeedProductType,0)+1,FALSE)&gt;0,1,0)</formula>
    </cfRule>
    <cfRule type="expression" dxfId="1" priority="130" stopIfTrue="1">
      <formula>IF(VLOOKUP($P$3,preferredAttributePTDMap,MATCH($A4,attributeMapFeedProductType,0)+1,FALSE)&gt;0,1,0)</formula>
    </cfRule>
    <cfRule type="expression" dxfId="0" priority="131"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048576">
    <cfRule type="expression" dxfId="4" priority="132" stopIfTrue="1">
      <formula>IF(LEN(Q4)&gt;0,1,0)</formula>
    </cfRule>
    <cfRule type="expression" dxfId="3" priority="133" stopIfTrue="1">
      <formula>IF(VLOOKUP($Q$3,requiredAttributePTDMap,MATCH($A4,attributeMapFeedProductType,0)+1,FALSE)&gt;0,1,0)</formula>
    </cfRule>
    <cfRule type="expression" dxfId="2" priority="134" stopIfTrue="1">
      <formula>IF(VLOOKUP($Q$3,optionalAttributePTDMap,MATCH($A4,attributeMapFeedProductType,0)+1,FALSE)&gt;0,1,0)</formula>
    </cfRule>
    <cfRule type="expression" dxfId="1" priority="135" stopIfTrue="1">
      <formula>IF(VLOOKUP($Q$3,preferredAttributePTDMap,MATCH($A4,attributeMapFeedProductType,0)+1,FALSE)&gt;0,1,0)</formula>
    </cfRule>
    <cfRule type="expression" dxfId="0" priority="136"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048576">
    <cfRule type="expression" dxfId="4" priority="137" stopIfTrue="1">
      <formula>IF(LEN(R4)&gt;0,1,0)</formula>
    </cfRule>
    <cfRule type="expression" dxfId="3" priority="138" stopIfTrue="1">
      <formula>IF(VLOOKUP($R$3,requiredAttributePTDMap,MATCH($A4,attributeMapFeedProductType,0)+1,FALSE)&gt;0,1,0)</formula>
    </cfRule>
    <cfRule type="expression" dxfId="2" priority="139" stopIfTrue="1">
      <formula>IF(VLOOKUP($R$3,optionalAttributePTDMap,MATCH($A4,attributeMapFeedProductType,0)+1,FALSE)&gt;0,1,0)</formula>
    </cfRule>
    <cfRule type="expression" dxfId="1" priority="140" stopIfTrue="1">
      <formula>IF(VLOOKUP($R$3,preferredAttributePTDMap,MATCH($A4,attributeMapFeedProductType,0)+1,FALSE)&gt;0,1,0)</formula>
    </cfRule>
    <cfRule type="expression" dxfId="0" priority="141"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048576">
    <cfRule type="expression" dxfId="4" priority="142" stopIfTrue="1">
      <formula>IF(LEN(S4)&gt;0,1,0)</formula>
    </cfRule>
    <cfRule type="expression" dxfId="3" priority="143" stopIfTrue="1">
      <formula>IF(VLOOKUP($S$3,requiredAttributePTDMap,MATCH($A4,attributeMapFeedProductType,0)+1,FALSE)&gt;0,1,0)</formula>
    </cfRule>
    <cfRule type="expression" dxfId="2" priority="144" stopIfTrue="1">
      <formula>IF(VLOOKUP($S$3,optionalAttributePTDMap,MATCH($A4,attributeMapFeedProductType,0)+1,FALSE)&gt;0,1,0)</formula>
    </cfRule>
    <cfRule type="expression" dxfId="1" priority="145" stopIfTrue="1">
      <formula>IF(VLOOKUP($S$3,preferredAttributePTDMap,MATCH($A4,attributeMapFeedProductType,0)+1,FALSE)&gt;0,1,0)</formula>
    </cfRule>
    <cfRule type="expression" dxfId="0" priority="146"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048576">
    <cfRule type="expression" dxfId="4" priority="147" stopIfTrue="1">
      <formula>IF(LEN(T4)&gt;0,1,0)</formula>
    </cfRule>
    <cfRule type="expression" dxfId="3" priority="148" stopIfTrue="1">
      <formula>IF(VLOOKUP($T$3,requiredAttributePTDMap,MATCH($A4,attributeMapFeedProductType,0)+1,FALSE)&gt;0,1,0)</formula>
    </cfRule>
    <cfRule type="expression" dxfId="2" priority="149" stopIfTrue="1">
      <formula>IF(VLOOKUP($T$3,optionalAttributePTDMap,MATCH($A4,attributeMapFeedProductType,0)+1,FALSE)&gt;0,1,0)</formula>
    </cfRule>
    <cfRule type="expression" dxfId="1" priority="150" stopIfTrue="1">
      <formula>IF(VLOOKUP($T$3,preferredAttributePTDMap,MATCH($A4,attributeMapFeedProductType,0)+1,FALSE)&gt;0,1,0)</formula>
    </cfRule>
    <cfRule type="expression" dxfId="0" priority="151"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048576">
    <cfRule type="expression" dxfId="4" priority="152" stopIfTrue="1">
      <formula>IF(LEN(U4)&gt;0,1,0)</formula>
    </cfRule>
    <cfRule type="expression" dxfId="3" priority="153" stopIfTrue="1">
      <formula>IF(VLOOKUP($U$3,requiredAttributePTDMap,MATCH($A4,attributeMapFeedProductType,0)+1,FALSE)&gt;0,1,0)</formula>
    </cfRule>
    <cfRule type="expression" dxfId="2" priority="154" stopIfTrue="1">
      <formula>IF(VLOOKUP($U$3,optionalAttributePTDMap,MATCH($A4,attributeMapFeedProductType,0)+1,FALSE)&gt;0,1,0)</formula>
    </cfRule>
    <cfRule type="expression" dxfId="1" priority="155" stopIfTrue="1">
      <formula>IF(VLOOKUP($U$3,preferredAttributePTDMap,MATCH($A4,attributeMapFeedProductType,0)+1,FALSE)&gt;0,1,0)</formula>
    </cfRule>
    <cfRule type="expression" dxfId="0" priority="156"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1048576">
    <cfRule type="expression" dxfId="4" priority="157" stopIfTrue="1">
      <formula>IF(LEN(V4)&gt;0,1,0)</formula>
    </cfRule>
    <cfRule type="expression" dxfId="3" priority="158" stopIfTrue="1">
      <formula>IF(VLOOKUP($V$3,requiredAttributePTDMap,MATCH($A4,attributeMapFeedProductType,0)+1,FALSE)&gt;0,1,0)</formula>
    </cfRule>
    <cfRule type="expression" dxfId="2" priority="159" stopIfTrue="1">
      <formula>IF(VLOOKUP($V$3,optionalAttributePTDMap,MATCH($A4,attributeMapFeedProductType,0)+1,FALSE)&gt;0,1,0)</formula>
    </cfRule>
    <cfRule type="expression" dxfId="1" priority="160" stopIfTrue="1">
      <formula>IF(VLOOKUP($V$3,preferredAttributePTDMap,MATCH($A4,attributeMapFeedProductType,0)+1,FALSE)&gt;0,1,0)</formula>
    </cfRule>
    <cfRule type="expression" dxfId="0" priority="161"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1048576">
    <cfRule type="expression" dxfId="4" priority="162" stopIfTrue="1">
      <formula>IF(LEN(W4)&gt;0,1,0)</formula>
    </cfRule>
    <cfRule type="expression" dxfId="3" priority="163" stopIfTrue="1">
      <formula>IF(VLOOKUP($W$3,requiredAttributePTDMap,MATCH($A4,attributeMapFeedProductType,0)+1,FALSE)&gt;0,1,0)</formula>
    </cfRule>
    <cfRule type="expression" dxfId="2" priority="164" stopIfTrue="1">
      <formula>IF(VLOOKUP($W$3,optionalAttributePTDMap,MATCH($A4,attributeMapFeedProductType,0)+1,FALSE)&gt;0,1,0)</formula>
    </cfRule>
    <cfRule type="expression" dxfId="1" priority="165" stopIfTrue="1">
      <formula>IF(VLOOKUP($W$3,preferredAttributePTDMap,MATCH($A4,attributeMapFeedProductType,0)+1,FALSE)&gt;0,1,0)</formula>
    </cfRule>
    <cfRule type="expression" dxfId="0" priority="166"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048576">
    <cfRule type="expression" dxfId="4" priority="167" stopIfTrue="1">
      <formula>IF(LEN(X4)&gt;0,1,0)</formula>
    </cfRule>
    <cfRule type="expression" dxfId="3" priority="168" stopIfTrue="1">
      <formula>IF(VLOOKUP($X$3,requiredAttributePTDMap,MATCH($A4,attributeMapFeedProductType,0)+1,FALSE)&gt;0,1,0)</formula>
    </cfRule>
    <cfRule type="expression" dxfId="2" priority="169" stopIfTrue="1">
      <formula>IF(VLOOKUP($X$3,optionalAttributePTDMap,MATCH($A4,attributeMapFeedProductType,0)+1,FALSE)&gt;0,1,0)</formula>
    </cfRule>
    <cfRule type="expression" dxfId="1" priority="170" stopIfTrue="1">
      <formula>IF(VLOOKUP($X$3,preferredAttributePTDMap,MATCH($A4,attributeMapFeedProductType,0)+1,FALSE)&gt;0,1,0)</formula>
    </cfRule>
    <cfRule type="expression" dxfId="0" priority="171"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Y1048576">
    <cfRule type="expression" dxfId="4" priority="172" stopIfTrue="1">
      <formula>IF(LEN(Y4)&gt;0,1,0)</formula>
    </cfRule>
    <cfRule type="expression" dxfId="3" priority="173" stopIfTrue="1">
      <formula>IF(VLOOKUP($Y$3,requiredAttributePTDMap,MATCH($A4,attributeMapFeedProductType,0)+1,FALSE)&gt;0,1,0)</formula>
    </cfRule>
    <cfRule type="expression" dxfId="2" priority="174" stopIfTrue="1">
      <formula>IF(VLOOKUP($Y$3,optionalAttributePTDMap,MATCH($A4,attributeMapFeedProductType,0)+1,FALSE)&gt;0,1,0)</formula>
    </cfRule>
    <cfRule type="expression" dxfId="1" priority="175" stopIfTrue="1">
      <formula>IF(VLOOKUP($Y$3,preferredAttributePTDMap,MATCH($A4,attributeMapFeedProductType,0)+1,FALSE)&gt;0,1,0)</formula>
    </cfRule>
    <cfRule type="expression" dxfId="0" priority="176"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1048576">
    <cfRule type="expression" dxfId="4" priority="177" stopIfTrue="1">
      <formula>IF(LEN(Z4)&gt;0,1,0)</formula>
    </cfRule>
    <cfRule type="expression" dxfId="3" priority="178" stopIfTrue="1">
      <formula>IF(VLOOKUP($Z$3,requiredAttributePTDMap,MATCH($A4,attributeMapFeedProductType,0)+1,FALSE)&gt;0,1,0)</formula>
    </cfRule>
    <cfRule type="expression" dxfId="2" priority="179" stopIfTrue="1">
      <formula>IF(VLOOKUP($Z$3,optionalAttributePTDMap,MATCH($A4,attributeMapFeedProductType,0)+1,FALSE)&gt;0,1,0)</formula>
    </cfRule>
    <cfRule type="expression" dxfId="1" priority="180" stopIfTrue="1">
      <formula>IF(VLOOKUP($Z$3,preferredAttributePTDMap,MATCH($A4,attributeMapFeedProductType,0)+1,FALSE)&gt;0,1,0)</formula>
    </cfRule>
    <cfRule type="expression" dxfId="0" priority="181"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dxfId="4" priority="182" stopIfTrue="1">
      <formula>IF(LEN(AA4)&gt;0,1,0)</formula>
    </cfRule>
    <cfRule type="expression" dxfId="3" priority="183" stopIfTrue="1">
      <formula>IF(VLOOKUP($AA$3,requiredAttributePTDMap,MATCH($A4,attributeMapFeedProductType,0)+1,FALSE)&gt;0,1,0)</formula>
    </cfRule>
    <cfRule type="expression" dxfId="2" priority="184" stopIfTrue="1">
      <formula>IF(VLOOKUP($AA$3,optionalAttributePTDMap,MATCH($A4,attributeMapFeedProductType,0)+1,FALSE)&gt;0,1,0)</formula>
    </cfRule>
    <cfRule type="expression" dxfId="1" priority="185" stopIfTrue="1">
      <formula>IF(VLOOKUP($AA$3,preferredAttributePTDMap,MATCH($A4,attributeMapFeedProductType,0)+1,FALSE)&gt;0,1,0)</formula>
    </cfRule>
    <cfRule type="expression" dxfId="0" priority="186"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048576">
    <cfRule type="expression" dxfId="4" priority="187" stopIfTrue="1">
      <formula>IF(LEN(AB4)&gt;0,1,0)</formula>
    </cfRule>
    <cfRule type="expression" dxfId="3" priority="188" stopIfTrue="1">
      <formula>IF(VLOOKUP($AB$3,requiredAttributePTDMap,MATCH($A4,attributeMapFeedProductType,0)+1,FALSE)&gt;0,1,0)</formula>
    </cfRule>
    <cfRule type="expression" dxfId="2" priority="189" stopIfTrue="1">
      <formula>IF(VLOOKUP($AB$3,optionalAttributePTDMap,MATCH($A4,attributeMapFeedProductType,0)+1,FALSE)&gt;0,1,0)</formula>
    </cfRule>
    <cfRule type="expression" dxfId="1" priority="190" stopIfTrue="1">
      <formula>IF(VLOOKUP($AB$3,preferredAttributePTDMap,MATCH($A4,attributeMapFeedProductType,0)+1,FALSE)&gt;0,1,0)</formula>
    </cfRule>
    <cfRule type="expression" dxfId="0" priority="191"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AC1048576">
    <cfRule type="expression" dxfId="4" priority="192" stopIfTrue="1">
      <formula>IF(LEN(AC4)&gt;0,1,0)</formula>
    </cfRule>
    <cfRule type="expression" dxfId="3" priority="193" stopIfTrue="1">
      <formula>IF(VLOOKUP($AC$3,requiredAttributePTDMap,MATCH($A4,attributeMapFeedProductType,0)+1,FALSE)&gt;0,1,0)</formula>
    </cfRule>
    <cfRule type="expression" dxfId="2" priority="194" stopIfTrue="1">
      <formula>IF(VLOOKUP($AC$3,optionalAttributePTDMap,MATCH($A4,attributeMapFeedProductType,0)+1,FALSE)&gt;0,1,0)</formula>
    </cfRule>
    <cfRule type="expression" dxfId="1" priority="195" stopIfTrue="1">
      <formula>IF(VLOOKUP($AC$3,preferredAttributePTDMap,MATCH($A4,attributeMapFeedProductType,0)+1,FALSE)&gt;0,1,0)</formula>
    </cfRule>
    <cfRule type="expression" dxfId="0" priority="196"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048576">
    <cfRule type="expression" dxfId="4" priority="197" stopIfTrue="1">
      <formula>IF(LEN(AD4)&gt;0,1,0)</formula>
    </cfRule>
    <cfRule type="expression" dxfId="3" priority="198" stopIfTrue="1">
      <formula>IF(VLOOKUP($AD$3,requiredAttributePTDMap,MATCH($A4,attributeMapFeedProductType,0)+1,FALSE)&gt;0,1,0)</formula>
    </cfRule>
    <cfRule type="expression" dxfId="2" priority="199" stopIfTrue="1">
      <formula>IF(VLOOKUP($AD$3,optionalAttributePTDMap,MATCH($A4,attributeMapFeedProductType,0)+1,FALSE)&gt;0,1,0)</formula>
    </cfRule>
    <cfRule type="expression" dxfId="1" priority="200" stopIfTrue="1">
      <formula>IF(VLOOKUP($AD$3,preferredAttributePTDMap,MATCH($A4,attributeMapFeedProductType,0)+1,FALSE)&gt;0,1,0)</formula>
    </cfRule>
    <cfRule type="expression" dxfId="0" priority="201"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dxfId="4" priority="202" stopIfTrue="1">
      <formula>IF(LEN(AE4)&gt;0,1,0)</formula>
    </cfRule>
    <cfRule type="expression" dxfId="3" priority="203" stopIfTrue="1">
      <formula>IF(VLOOKUP($AE$3,requiredAttributePTDMap,MATCH($A4,attributeMapFeedProductType,0)+1,FALSE)&gt;0,1,0)</formula>
    </cfRule>
    <cfRule type="expression" dxfId="2" priority="204" stopIfTrue="1">
      <formula>IF(VLOOKUP($AE$3,optionalAttributePTDMap,MATCH($A4,attributeMapFeedProductType,0)+1,FALSE)&gt;0,1,0)</formula>
    </cfRule>
    <cfRule type="expression" dxfId="1" priority="205" stopIfTrue="1">
      <formula>IF(VLOOKUP($AE$3,preferredAttributePTDMap,MATCH($A4,attributeMapFeedProductType,0)+1,FALSE)&gt;0,1,0)</formula>
    </cfRule>
    <cfRule type="expression" dxfId="0" priority="206"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dxfId="4" priority="207" stopIfTrue="1">
      <formula>IF(LEN(AF4)&gt;0,1,0)</formula>
    </cfRule>
    <cfRule type="expression" dxfId="3" priority="208" stopIfTrue="1">
      <formula>IF(VLOOKUP($AF$3,requiredAttributePTDMap,MATCH($A4,attributeMapFeedProductType,0)+1,FALSE)&gt;0,1,0)</formula>
    </cfRule>
    <cfRule type="expression" dxfId="2" priority="209" stopIfTrue="1">
      <formula>IF(VLOOKUP($AF$3,optionalAttributePTDMap,MATCH($A4,attributeMapFeedProductType,0)+1,FALSE)&gt;0,1,0)</formula>
    </cfRule>
    <cfRule type="expression" dxfId="1" priority="210" stopIfTrue="1">
      <formula>IF(VLOOKUP($AF$3,preferredAttributePTDMap,MATCH($A4,attributeMapFeedProductType,0)+1,FALSE)&gt;0,1,0)</formula>
    </cfRule>
    <cfRule type="expression" dxfId="0" priority="211"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dxfId="4" priority="212" stopIfTrue="1">
      <formula>IF(LEN(AG4)&gt;0,1,0)</formula>
    </cfRule>
    <cfRule type="expression" dxfId="3" priority="213" stopIfTrue="1">
      <formula>IF(VLOOKUP($AG$3,requiredAttributePTDMap,MATCH($A4,attributeMapFeedProductType,0)+1,FALSE)&gt;0,1,0)</formula>
    </cfRule>
    <cfRule type="expression" dxfId="2" priority="214" stopIfTrue="1">
      <formula>IF(VLOOKUP($AG$3,optionalAttributePTDMap,MATCH($A4,attributeMapFeedProductType,0)+1,FALSE)&gt;0,1,0)</formula>
    </cfRule>
    <cfRule type="expression" dxfId="1" priority="215" stopIfTrue="1">
      <formula>IF(VLOOKUP($AG$3,preferredAttributePTDMap,MATCH($A4,attributeMapFeedProductType,0)+1,FALSE)&gt;0,1,0)</formula>
    </cfRule>
    <cfRule type="expression" dxfId="0" priority="216"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dxfId="4" priority="217" stopIfTrue="1">
      <formula>IF(LEN(AH4)&gt;0,1,0)</formula>
    </cfRule>
    <cfRule type="expression" dxfId="3" priority="218" stopIfTrue="1">
      <formula>IF(VLOOKUP($AH$3,requiredAttributePTDMap,MATCH($A4,attributeMapFeedProductType,0)+1,FALSE)&gt;0,1,0)</formula>
    </cfRule>
    <cfRule type="expression" dxfId="2" priority="219" stopIfTrue="1">
      <formula>IF(VLOOKUP($AH$3,optionalAttributePTDMap,MATCH($A4,attributeMapFeedProductType,0)+1,FALSE)&gt;0,1,0)</formula>
    </cfRule>
    <cfRule type="expression" dxfId="1" priority="220" stopIfTrue="1">
      <formula>IF(VLOOKUP($AH$3,preferredAttributePTDMap,MATCH($A4,attributeMapFeedProductType,0)+1,FALSE)&gt;0,1,0)</formula>
    </cfRule>
    <cfRule type="expression" dxfId="0" priority="221"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dxfId="4" priority="222" stopIfTrue="1">
      <formula>IF(LEN(AI4)&gt;0,1,0)</formula>
    </cfRule>
    <cfRule type="expression" dxfId="3" priority="223" stopIfTrue="1">
      <formula>IF(VLOOKUP($AI$3,requiredAttributePTDMap,MATCH($A4,attributeMapFeedProductType,0)+1,FALSE)&gt;0,1,0)</formula>
    </cfRule>
    <cfRule type="expression" dxfId="2" priority="224" stopIfTrue="1">
      <formula>IF(VLOOKUP($AI$3,optionalAttributePTDMap,MATCH($A4,attributeMapFeedProductType,0)+1,FALSE)&gt;0,1,0)</formula>
    </cfRule>
    <cfRule type="expression" dxfId="1" priority="225" stopIfTrue="1">
      <formula>IF(VLOOKUP($AI$3,preferredAttributePTDMap,MATCH($A4,attributeMapFeedProductType,0)+1,FALSE)&gt;0,1,0)</formula>
    </cfRule>
    <cfRule type="expression" dxfId="0" priority="226"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dxfId="4" priority="227" stopIfTrue="1">
      <formula>IF(LEN(AJ4)&gt;0,1,0)</formula>
    </cfRule>
    <cfRule type="expression" dxfId="3" priority="228" stopIfTrue="1">
      <formula>IF(VLOOKUP($AJ$3,requiredAttributePTDMap,MATCH($A4,attributeMapFeedProductType,0)+1,FALSE)&gt;0,1,0)</formula>
    </cfRule>
    <cfRule type="expression" dxfId="2" priority="229" stopIfTrue="1">
      <formula>IF(VLOOKUP($AJ$3,optionalAttributePTDMap,MATCH($A4,attributeMapFeedProductType,0)+1,FALSE)&gt;0,1,0)</formula>
    </cfRule>
    <cfRule type="expression" dxfId="1" priority="230" stopIfTrue="1">
      <formula>IF(VLOOKUP($AJ$3,preferredAttributePTDMap,MATCH($A4,attributeMapFeedProductType,0)+1,FALSE)&gt;0,1,0)</formula>
    </cfRule>
    <cfRule type="expression" dxfId="0" priority="231"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048576">
    <cfRule type="expression" dxfId="4" priority="232" stopIfTrue="1">
      <formula>IF(LEN(AK4)&gt;0,1,0)</formula>
    </cfRule>
    <cfRule type="expression" dxfId="3" priority="233" stopIfTrue="1">
      <formula>IF(VLOOKUP($AK$3,requiredAttributePTDMap,MATCH($A4,attributeMapFeedProductType,0)+1,FALSE)&gt;0,1,0)</formula>
    </cfRule>
    <cfRule type="expression" dxfId="2" priority="234" stopIfTrue="1">
      <formula>IF(VLOOKUP($AK$3,optionalAttributePTDMap,MATCH($A4,attributeMapFeedProductType,0)+1,FALSE)&gt;0,1,0)</formula>
    </cfRule>
    <cfRule type="expression" dxfId="1" priority="235" stopIfTrue="1">
      <formula>IF(VLOOKUP($AK$3,preferredAttributePTDMap,MATCH($A4,attributeMapFeedProductType,0)+1,FALSE)&gt;0,1,0)</formula>
    </cfRule>
    <cfRule type="expression" dxfId="0" priority="236"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dxfId="4" priority="237" stopIfTrue="1">
      <formula>IF(LEN(AL4)&gt;0,1,0)</formula>
    </cfRule>
    <cfRule type="expression" dxfId="3" priority="238" stopIfTrue="1">
      <formula>IF(VLOOKUP($AL$3,requiredAttributePTDMap,MATCH($A4,attributeMapFeedProductType,0)+1,FALSE)&gt;0,1,0)</formula>
    </cfRule>
    <cfRule type="expression" dxfId="2" priority="239" stopIfTrue="1">
      <formula>IF(VLOOKUP($AL$3,optionalAttributePTDMap,MATCH($A4,attributeMapFeedProductType,0)+1,FALSE)&gt;0,1,0)</formula>
    </cfRule>
    <cfRule type="expression" dxfId="1" priority="240" stopIfTrue="1">
      <formula>IF(VLOOKUP($AL$3,preferredAttributePTDMap,MATCH($A4,attributeMapFeedProductType,0)+1,FALSE)&gt;0,1,0)</formula>
    </cfRule>
    <cfRule type="expression" dxfId="0" priority="241"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dxfId="4" priority="242" stopIfTrue="1">
      <formula>IF(LEN(AM4)&gt;0,1,0)</formula>
    </cfRule>
    <cfRule type="expression" dxfId="3" priority="243" stopIfTrue="1">
      <formula>IF(VLOOKUP($AM$3,requiredAttributePTDMap,MATCH($A4,attributeMapFeedProductType,0)+1,FALSE)&gt;0,1,0)</formula>
    </cfRule>
    <cfRule type="expression" dxfId="2" priority="244" stopIfTrue="1">
      <formula>IF(VLOOKUP($AM$3,optionalAttributePTDMap,MATCH($A4,attributeMapFeedProductType,0)+1,FALSE)&gt;0,1,0)</formula>
    </cfRule>
    <cfRule type="expression" dxfId="1" priority="245" stopIfTrue="1">
      <formula>IF(VLOOKUP($AM$3,preferredAttributePTDMap,MATCH($A4,attributeMapFeedProductType,0)+1,FALSE)&gt;0,1,0)</formula>
    </cfRule>
    <cfRule type="expression" dxfId="0" priority="246"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48576">
    <cfRule type="expression" dxfId="4" priority="247" stopIfTrue="1">
      <formula>IF(LEN(AN4)&gt;0,1,0)</formula>
    </cfRule>
    <cfRule type="expression" dxfId="3" priority="248" stopIfTrue="1">
      <formula>IF(VLOOKUP($AN$3,requiredAttributePTDMap,MATCH($A4,attributeMapFeedProductType,0)+1,FALSE)&gt;0,1,0)</formula>
    </cfRule>
    <cfRule type="expression" dxfId="2" priority="249" stopIfTrue="1">
      <formula>IF(VLOOKUP($AN$3,optionalAttributePTDMap,MATCH($A4,attributeMapFeedProductType,0)+1,FALSE)&gt;0,1,0)</formula>
    </cfRule>
    <cfRule type="expression" dxfId="1" priority="250" stopIfTrue="1">
      <formula>IF(VLOOKUP($AN$3,preferredAttributePTDMap,MATCH($A4,attributeMapFeedProductType,0)+1,FALSE)&gt;0,1,0)</formula>
    </cfRule>
    <cfRule type="expression" dxfId="0" priority="251"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dxfId="4" priority="252" stopIfTrue="1">
      <formula>IF(LEN(AO4)&gt;0,1,0)</formula>
    </cfRule>
    <cfRule type="expression" dxfId="3" priority="253" stopIfTrue="1">
      <formula>IF(VLOOKUP($AO$3,requiredAttributePTDMap,MATCH($A4,attributeMapFeedProductType,0)+1,FALSE)&gt;0,1,0)</formula>
    </cfRule>
    <cfRule type="expression" dxfId="2" priority="254" stopIfTrue="1">
      <formula>IF(VLOOKUP($AO$3,optionalAttributePTDMap,MATCH($A4,attributeMapFeedProductType,0)+1,FALSE)&gt;0,1,0)</formula>
    </cfRule>
    <cfRule type="expression" dxfId="1" priority="255" stopIfTrue="1">
      <formula>IF(VLOOKUP($AO$3,preferredAttributePTDMap,MATCH($A4,attributeMapFeedProductType,0)+1,FALSE)&gt;0,1,0)</formula>
    </cfRule>
    <cfRule type="expression" dxfId="0" priority="256"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dxfId="4" priority="257" stopIfTrue="1">
      <formula>IF(LEN(AP4)&gt;0,1,0)</formula>
    </cfRule>
    <cfRule type="expression" dxfId="3" priority="258" stopIfTrue="1">
      <formula>IF(VLOOKUP($AP$3,requiredAttributePTDMap,MATCH($A4,attributeMapFeedProductType,0)+1,FALSE)&gt;0,1,0)</formula>
    </cfRule>
    <cfRule type="expression" dxfId="2" priority="259" stopIfTrue="1">
      <formula>IF(VLOOKUP($AP$3,optionalAttributePTDMap,MATCH($A4,attributeMapFeedProductType,0)+1,FALSE)&gt;0,1,0)</formula>
    </cfRule>
    <cfRule type="expression" dxfId="1" priority="260" stopIfTrue="1">
      <formula>IF(VLOOKUP($AP$3,preferredAttributePTDMap,MATCH($A4,attributeMapFeedProductType,0)+1,FALSE)&gt;0,1,0)</formula>
    </cfRule>
    <cfRule type="expression" dxfId="0" priority="261"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dxfId="4" priority="262" stopIfTrue="1">
      <formula>IF(LEN(AQ4)&gt;0,1,0)</formula>
    </cfRule>
    <cfRule type="expression" dxfId="3" priority="263" stopIfTrue="1">
      <formula>IF(VLOOKUP($AQ$3,requiredAttributePTDMap,MATCH($A4,attributeMapFeedProductType,0)+1,FALSE)&gt;0,1,0)</formula>
    </cfRule>
    <cfRule type="expression" dxfId="2" priority="264" stopIfTrue="1">
      <formula>IF(VLOOKUP($AQ$3,optionalAttributePTDMap,MATCH($A4,attributeMapFeedProductType,0)+1,FALSE)&gt;0,1,0)</formula>
    </cfRule>
    <cfRule type="expression" dxfId="1" priority="265" stopIfTrue="1">
      <formula>IF(VLOOKUP($AQ$3,preferredAttributePTDMap,MATCH($A4,attributeMapFeedProductType,0)+1,FALSE)&gt;0,1,0)</formula>
    </cfRule>
    <cfRule type="expression" dxfId="0" priority="266"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dxfId="4" priority="267" stopIfTrue="1">
      <formula>IF(LEN(AR4)&gt;0,1,0)</formula>
    </cfRule>
    <cfRule type="expression" dxfId="3" priority="268" stopIfTrue="1">
      <formula>IF(VLOOKUP($AR$3,requiredAttributePTDMap,MATCH($A4,attributeMapFeedProductType,0)+1,FALSE)&gt;0,1,0)</formula>
    </cfRule>
    <cfRule type="expression" dxfId="2" priority="269" stopIfTrue="1">
      <formula>IF(VLOOKUP($AR$3,optionalAttributePTDMap,MATCH($A4,attributeMapFeedProductType,0)+1,FALSE)&gt;0,1,0)</formula>
    </cfRule>
    <cfRule type="expression" dxfId="1" priority="270" stopIfTrue="1">
      <formula>IF(VLOOKUP($AR$3,preferredAttributePTDMap,MATCH($A4,attributeMapFeedProductType,0)+1,FALSE)&gt;0,1,0)</formula>
    </cfRule>
    <cfRule type="expression" dxfId="0" priority="271"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dxfId="4" priority="272" stopIfTrue="1">
      <formula>IF(LEN(AS4)&gt;0,1,0)</formula>
    </cfRule>
    <cfRule type="expression" dxfId="3" priority="273" stopIfTrue="1">
      <formula>IF(VLOOKUP($AS$3,requiredAttributePTDMap,MATCH($A4,attributeMapFeedProductType,0)+1,FALSE)&gt;0,1,0)</formula>
    </cfRule>
    <cfRule type="expression" dxfId="2" priority="274" stopIfTrue="1">
      <formula>IF(VLOOKUP($AS$3,optionalAttributePTDMap,MATCH($A4,attributeMapFeedProductType,0)+1,FALSE)&gt;0,1,0)</formula>
    </cfRule>
    <cfRule type="expression" dxfId="1" priority="275" stopIfTrue="1">
      <formula>IF(VLOOKUP($AS$3,preferredAttributePTDMap,MATCH($A4,attributeMapFeedProductType,0)+1,FALSE)&gt;0,1,0)</formula>
    </cfRule>
    <cfRule type="expression" dxfId="0" priority="276"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dxfId="4" priority="277" stopIfTrue="1">
      <formula>IF(LEN(AT4)&gt;0,1,0)</formula>
    </cfRule>
    <cfRule type="expression" dxfId="3" priority="278" stopIfTrue="1">
      <formula>IF(VLOOKUP($AT$3,requiredAttributePTDMap,MATCH($A4,attributeMapFeedProductType,0)+1,FALSE)&gt;0,1,0)</formula>
    </cfRule>
    <cfRule type="expression" dxfId="2" priority="279" stopIfTrue="1">
      <formula>IF(VLOOKUP($AT$3,optionalAttributePTDMap,MATCH($A4,attributeMapFeedProductType,0)+1,FALSE)&gt;0,1,0)</formula>
    </cfRule>
    <cfRule type="expression" dxfId="1" priority="280" stopIfTrue="1">
      <formula>IF(VLOOKUP($AT$3,preferredAttributePTDMap,MATCH($A4,attributeMapFeedProductType,0)+1,FALSE)&gt;0,1,0)</formula>
    </cfRule>
    <cfRule type="expression" dxfId="0" priority="281"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dxfId="4" priority="282" stopIfTrue="1">
      <formula>IF(LEN(AU4)&gt;0,1,0)</formula>
    </cfRule>
    <cfRule type="expression" dxfId="3" priority="283" stopIfTrue="1">
      <formula>IF(VLOOKUP($AU$3,requiredAttributePTDMap,MATCH($A4,attributeMapFeedProductType,0)+1,FALSE)&gt;0,1,0)</formula>
    </cfRule>
    <cfRule type="expression" dxfId="2" priority="284" stopIfTrue="1">
      <formula>IF(VLOOKUP($AU$3,optionalAttributePTDMap,MATCH($A4,attributeMapFeedProductType,0)+1,FALSE)&gt;0,1,0)</formula>
    </cfRule>
    <cfRule type="expression" dxfId="1" priority="285" stopIfTrue="1">
      <formula>IF(VLOOKUP($AU$3,preferredAttributePTDMap,MATCH($A4,attributeMapFeedProductType,0)+1,FALSE)&gt;0,1,0)</formula>
    </cfRule>
    <cfRule type="expression" dxfId="0" priority="286"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dxfId="4" priority="287" stopIfTrue="1">
      <formula>IF(LEN(AV4)&gt;0,1,0)</formula>
    </cfRule>
    <cfRule type="expression" dxfId="3" priority="288" stopIfTrue="1">
      <formula>IF(VLOOKUP($AV$3,requiredAttributePTDMap,MATCH($A4,attributeMapFeedProductType,0)+1,FALSE)&gt;0,1,0)</formula>
    </cfRule>
    <cfRule type="expression" dxfId="2" priority="289" stopIfTrue="1">
      <formula>IF(VLOOKUP($AV$3,optionalAttributePTDMap,MATCH($A4,attributeMapFeedProductType,0)+1,FALSE)&gt;0,1,0)</formula>
    </cfRule>
    <cfRule type="expression" dxfId="1" priority="290" stopIfTrue="1">
      <formula>IF(VLOOKUP($AV$3,preferredAttributePTDMap,MATCH($A4,attributeMapFeedProductType,0)+1,FALSE)&gt;0,1,0)</formula>
    </cfRule>
    <cfRule type="expression" dxfId="0" priority="291"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5:AW40">
    <cfRule type="expression" dxfId="0" priority="5"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1" priority="4" stopIfTrue="1">
      <formula>IF(VLOOKUP($B$3,preferredAttributePTDMap,MATCH($A5,attributeMapFeedProductType,0)+1,FALSE)&gt;0,1,0)</formula>
    </cfRule>
    <cfRule type="expression" dxfId="2" priority="3" stopIfTrue="1">
      <formula>IF(VLOOKUP($B$3,optionalAttributePTDMap,MATCH($A5,attributeMapFeedProductType,0)+1,FALSE)&gt;0,1,0)</formula>
    </cfRule>
    <cfRule type="expression" dxfId="3" priority="2" stopIfTrue="1">
      <formula>IF(VLOOKUP($B$3,requiredAttributePTDMap,MATCH($A5,attributeMapFeedProductType,0)+1,FALSE)&gt;0,1,0)</formula>
    </cfRule>
    <cfRule type="expression" dxfId="4" priority="1" stopIfTrue="1">
      <formula>IF(LEN(AW5)&gt;0,1,0)</formula>
    </cfRule>
  </conditionalFormatting>
  <conditionalFormatting sqref="AX4:AX1048576">
    <cfRule type="expression" dxfId="4" priority="297" stopIfTrue="1">
      <formula>IF(LEN(AX4)&gt;0,1,0)</formula>
    </cfRule>
    <cfRule type="expression" dxfId="3" priority="298" stopIfTrue="1">
      <formula>IF(VLOOKUP($AX$3,requiredAttributePTDMap,MATCH($A4,attributeMapFeedProductType,0)+1,FALSE)&gt;0,1,0)</formula>
    </cfRule>
    <cfRule type="expression" dxfId="2" priority="299" stopIfTrue="1">
      <formula>IF(VLOOKUP($AX$3,optionalAttributePTDMap,MATCH($A4,attributeMapFeedProductType,0)+1,FALSE)&gt;0,1,0)</formula>
    </cfRule>
    <cfRule type="expression" dxfId="1" priority="300" stopIfTrue="1">
      <formula>IF(VLOOKUP($AX$3,preferredAttributePTDMap,MATCH($A4,attributeMapFeedProductType,0)+1,FALSE)&gt;0,1,0)</formula>
    </cfRule>
    <cfRule type="expression" dxfId="0" priority="301"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dxfId="4" priority="302" stopIfTrue="1">
      <formula>IF(LEN(AY4)&gt;0,1,0)</formula>
    </cfRule>
    <cfRule type="expression" dxfId="3" priority="303" stopIfTrue="1">
      <formula>IF(VLOOKUP($AY$3,requiredAttributePTDMap,MATCH($A4,attributeMapFeedProductType,0)+1,FALSE)&gt;0,1,0)</formula>
    </cfRule>
    <cfRule type="expression" dxfId="2" priority="304" stopIfTrue="1">
      <formula>IF(VLOOKUP($AY$3,optionalAttributePTDMap,MATCH($A4,attributeMapFeedProductType,0)+1,FALSE)&gt;0,1,0)</formula>
    </cfRule>
    <cfRule type="expression" dxfId="1" priority="305" stopIfTrue="1">
      <formula>IF(VLOOKUP($AY$3,preferredAttributePTDMap,MATCH($A4,attributeMapFeedProductType,0)+1,FALSE)&gt;0,1,0)</formula>
    </cfRule>
    <cfRule type="expression" dxfId="0" priority="306"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dxfId="4" priority="307" stopIfTrue="1">
      <formula>IF(LEN(AZ4)&gt;0,1,0)</formula>
    </cfRule>
    <cfRule type="expression" dxfId="3" priority="308" stopIfTrue="1">
      <formula>IF(VLOOKUP($AZ$3,requiredAttributePTDMap,MATCH($A4,attributeMapFeedProductType,0)+1,FALSE)&gt;0,1,0)</formula>
    </cfRule>
    <cfRule type="expression" dxfId="2" priority="309" stopIfTrue="1">
      <formula>IF(VLOOKUP($AZ$3,optionalAttributePTDMap,MATCH($A4,attributeMapFeedProductType,0)+1,FALSE)&gt;0,1,0)</formula>
    </cfRule>
    <cfRule type="expression" dxfId="1" priority="310" stopIfTrue="1">
      <formula>IF(VLOOKUP($AZ$3,preferredAttributePTDMap,MATCH($A4,attributeMapFeedProductType,0)+1,FALSE)&gt;0,1,0)</formula>
    </cfRule>
    <cfRule type="expression" dxfId="0" priority="311"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dxfId="4" priority="312" stopIfTrue="1">
      <formula>IF(LEN(BA4)&gt;0,1,0)</formula>
    </cfRule>
    <cfRule type="expression" dxfId="3" priority="313" stopIfTrue="1">
      <formula>IF(VLOOKUP($BA$3,requiredAttributePTDMap,MATCH($A4,attributeMapFeedProductType,0)+1,FALSE)&gt;0,1,0)</formula>
    </cfRule>
    <cfRule type="expression" dxfId="2" priority="314" stopIfTrue="1">
      <formula>IF(VLOOKUP($BA$3,optionalAttributePTDMap,MATCH($A4,attributeMapFeedProductType,0)+1,FALSE)&gt;0,1,0)</formula>
    </cfRule>
    <cfRule type="expression" dxfId="1" priority="315" stopIfTrue="1">
      <formula>IF(VLOOKUP($BA$3,preferredAttributePTDMap,MATCH($A4,attributeMapFeedProductType,0)+1,FALSE)&gt;0,1,0)</formula>
    </cfRule>
    <cfRule type="expression" dxfId="0" priority="316"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dxfId="4" priority="317" stopIfTrue="1">
      <formula>IF(LEN(BB4)&gt;0,1,0)</formula>
    </cfRule>
    <cfRule type="expression" dxfId="3" priority="318" stopIfTrue="1">
      <formula>IF(VLOOKUP($BB$3,requiredAttributePTDMap,MATCH($A4,attributeMapFeedProductType,0)+1,FALSE)&gt;0,1,0)</formula>
    </cfRule>
    <cfRule type="expression" dxfId="2" priority="319" stopIfTrue="1">
      <formula>IF(VLOOKUP($BB$3,optionalAttributePTDMap,MATCH($A4,attributeMapFeedProductType,0)+1,FALSE)&gt;0,1,0)</formula>
    </cfRule>
    <cfRule type="expression" dxfId="1" priority="320" stopIfTrue="1">
      <formula>IF(VLOOKUP($BB$3,preferredAttributePTDMap,MATCH($A4,attributeMapFeedProductType,0)+1,FALSE)&gt;0,1,0)</formula>
    </cfRule>
    <cfRule type="expression" dxfId="0" priority="321"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dxfId="4" priority="322" stopIfTrue="1">
      <formula>IF(LEN(BC4)&gt;0,1,0)</formula>
    </cfRule>
    <cfRule type="expression" dxfId="3" priority="323" stopIfTrue="1">
      <formula>IF(VLOOKUP($BC$3,requiredAttributePTDMap,MATCH($A4,attributeMapFeedProductType,0)+1,FALSE)&gt;0,1,0)</formula>
    </cfRule>
    <cfRule type="expression" dxfId="2" priority="324" stopIfTrue="1">
      <formula>IF(VLOOKUP($BC$3,optionalAttributePTDMap,MATCH($A4,attributeMapFeedProductType,0)+1,FALSE)&gt;0,1,0)</formula>
    </cfRule>
    <cfRule type="expression" dxfId="1" priority="325" stopIfTrue="1">
      <formula>IF(VLOOKUP($BC$3,preferredAttributePTDMap,MATCH($A4,attributeMapFeedProductType,0)+1,FALSE)&gt;0,1,0)</formula>
    </cfRule>
    <cfRule type="expression" dxfId="0" priority="326"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cfRule type="expression" dxfId="4" priority="327" stopIfTrue="1">
      <formula>IF(LEN(BD4)&gt;0,1,0)</formula>
    </cfRule>
    <cfRule type="expression" dxfId="3" priority="328" stopIfTrue="1">
      <formula>IF(VLOOKUP($BD$3,requiredAttributePTDMap,MATCH($A4,attributeMapFeedProductType,0)+1,FALSE)&gt;0,1,0)</formula>
    </cfRule>
    <cfRule type="expression" dxfId="2" priority="329" stopIfTrue="1">
      <formula>IF(VLOOKUP($BD$3,optionalAttributePTDMap,MATCH($A4,attributeMapFeedProductType,0)+1,FALSE)&gt;0,1,0)</formula>
    </cfRule>
    <cfRule type="expression" dxfId="1" priority="330" stopIfTrue="1">
      <formula>IF(VLOOKUP($BD$3,preferredAttributePTDMap,MATCH($A4,attributeMapFeedProductType,0)+1,FALSE)&gt;0,1,0)</formula>
    </cfRule>
    <cfRule type="expression" dxfId="0" priority="331"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BE1048576">
    <cfRule type="expression" dxfId="4" priority="332" stopIfTrue="1">
      <formula>IF(LEN(BE4)&gt;0,1,0)</formula>
    </cfRule>
    <cfRule type="expression" dxfId="3" priority="333" stopIfTrue="1">
      <formula>IF(VLOOKUP($BE$3,requiredAttributePTDMap,MATCH($A4,attributeMapFeedProductType,0)+1,FALSE)&gt;0,1,0)</formula>
    </cfRule>
    <cfRule type="expression" dxfId="2" priority="334" stopIfTrue="1">
      <formula>IF(VLOOKUP($BE$3,optionalAttributePTDMap,MATCH($A4,attributeMapFeedProductType,0)+1,FALSE)&gt;0,1,0)</formula>
    </cfRule>
    <cfRule type="expression" dxfId="1" priority="335" stopIfTrue="1">
      <formula>IF(VLOOKUP($BE$3,preferredAttributePTDMap,MATCH($A4,attributeMapFeedProductType,0)+1,FALSE)&gt;0,1,0)</formula>
    </cfRule>
    <cfRule type="expression" dxfId="0" priority="336"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dxfId="4" priority="337" stopIfTrue="1">
      <formula>IF(LEN(BF4)&gt;0,1,0)</formula>
    </cfRule>
    <cfRule type="expression" dxfId="3" priority="338" stopIfTrue="1">
      <formula>IF(VLOOKUP($BF$3,requiredAttributePTDMap,MATCH($A4,attributeMapFeedProductType,0)+1,FALSE)&gt;0,1,0)</formula>
    </cfRule>
    <cfRule type="expression" dxfId="2" priority="339" stopIfTrue="1">
      <formula>IF(VLOOKUP($BF$3,optionalAttributePTDMap,MATCH($A4,attributeMapFeedProductType,0)+1,FALSE)&gt;0,1,0)</formula>
    </cfRule>
    <cfRule type="expression" dxfId="1" priority="340" stopIfTrue="1">
      <formula>IF(VLOOKUP($BF$3,preferredAttributePTDMap,MATCH($A4,attributeMapFeedProductType,0)+1,FALSE)&gt;0,1,0)</formula>
    </cfRule>
    <cfRule type="expression" dxfId="0" priority="341"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dxfId="4" priority="342" stopIfTrue="1">
      <formula>IF(LEN(BG4)&gt;0,1,0)</formula>
    </cfRule>
    <cfRule type="expression" dxfId="3" priority="343" stopIfTrue="1">
      <formula>IF(VLOOKUP($BG$3,requiredAttributePTDMap,MATCH($A4,attributeMapFeedProductType,0)+1,FALSE)&gt;0,1,0)</formula>
    </cfRule>
    <cfRule type="expression" dxfId="2" priority="344" stopIfTrue="1">
      <formula>IF(VLOOKUP($BG$3,optionalAttributePTDMap,MATCH($A4,attributeMapFeedProductType,0)+1,FALSE)&gt;0,1,0)</formula>
    </cfRule>
    <cfRule type="expression" dxfId="1" priority="345" stopIfTrue="1">
      <formula>IF(VLOOKUP($BG$3,preferredAttributePTDMap,MATCH($A4,attributeMapFeedProductType,0)+1,FALSE)&gt;0,1,0)</formula>
    </cfRule>
    <cfRule type="expression" dxfId="0" priority="346"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dxfId="4" priority="347" stopIfTrue="1">
      <formula>IF(LEN(BH4)&gt;0,1,0)</formula>
    </cfRule>
    <cfRule type="expression" dxfId="3" priority="348" stopIfTrue="1">
      <formula>IF(VLOOKUP($BH$3,requiredAttributePTDMap,MATCH($A4,attributeMapFeedProductType,0)+1,FALSE)&gt;0,1,0)</formula>
    </cfRule>
    <cfRule type="expression" dxfId="2" priority="349" stopIfTrue="1">
      <formula>IF(VLOOKUP($BH$3,optionalAttributePTDMap,MATCH($A4,attributeMapFeedProductType,0)+1,FALSE)&gt;0,1,0)</formula>
    </cfRule>
    <cfRule type="expression" dxfId="1" priority="350" stopIfTrue="1">
      <formula>IF(VLOOKUP($BH$3,preferredAttributePTDMap,MATCH($A4,attributeMapFeedProductType,0)+1,FALSE)&gt;0,1,0)</formula>
    </cfRule>
    <cfRule type="expression" dxfId="0" priority="351"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dxfId="4" priority="352" stopIfTrue="1">
      <formula>IF(LEN(BI4)&gt;0,1,0)</formula>
    </cfRule>
    <cfRule type="expression" dxfId="3" priority="353" stopIfTrue="1">
      <formula>IF(VLOOKUP($BI$3,requiredAttributePTDMap,MATCH($A4,attributeMapFeedProductType,0)+1,FALSE)&gt;0,1,0)</formula>
    </cfRule>
    <cfRule type="expression" dxfId="2" priority="354" stopIfTrue="1">
      <formula>IF(VLOOKUP($BI$3,optionalAttributePTDMap,MATCH($A4,attributeMapFeedProductType,0)+1,FALSE)&gt;0,1,0)</formula>
    </cfRule>
    <cfRule type="expression" dxfId="1" priority="355" stopIfTrue="1">
      <formula>IF(VLOOKUP($BI$3,preferredAttributePTDMap,MATCH($A4,attributeMapFeedProductType,0)+1,FALSE)&gt;0,1,0)</formula>
    </cfRule>
    <cfRule type="expression" dxfId="0" priority="356"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5:BJ40">
    <cfRule type="expression" dxfId="4" priority="36" stopIfTrue="1">
      <formula>IF(LEN(BJ5)&gt;0,1,0)</formula>
    </cfRule>
    <cfRule type="expression" dxfId="3" priority="37" stopIfTrue="1">
      <formula>IF(VLOOKUP($BI$3,requiredAttributePTDMap,MATCH($A5,attributeMapFeedProductType,0)+1,FALSE)&gt;0,1,0)</formula>
    </cfRule>
    <cfRule type="expression" dxfId="2" priority="38" stopIfTrue="1">
      <formula>IF(VLOOKUP($BI$3,optionalAttributePTDMap,MATCH($A5,attributeMapFeedProductType,0)+1,FALSE)&gt;0,1,0)</formula>
    </cfRule>
    <cfRule type="expression" dxfId="1" priority="39" stopIfTrue="1">
      <formula>IF(VLOOKUP($BI$3,preferredAttributePTDMap,MATCH($A5,attributeMapFeedProductType,0)+1,FALSE)&gt;0,1,0)</formula>
    </cfRule>
    <cfRule type="expression" dxfId="0" priority="40"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K4:BK1048576">
    <cfRule type="expression" dxfId="4" priority="362" stopIfTrue="1">
      <formula>IF(LEN(BK4)&gt;0,1,0)</formula>
    </cfRule>
    <cfRule type="expression" dxfId="3" priority="363" stopIfTrue="1">
      <formula>IF(VLOOKUP($BK$3,requiredAttributePTDMap,MATCH($A4,attributeMapFeedProductType,0)+1,FALSE)&gt;0,1,0)</formula>
    </cfRule>
    <cfRule type="expression" dxfId="2" priority="364" stopIfTrue="1">
      <formula>IF(VLOOKUP($BK$3,optionalAttributePTDMap,MATCH($A4,attributeMapFeedProductType,0)+1,FALSE)&gt;0,1,0)</formula>
    </cfRule>
    <cfRule type="expression" dxfId="1" priority="365" stopIfTrue="1">
      <formula>IF(VLOOKUP($BK$3,preferredAttributePTDMap,MATCH($A4,attributeMapFeedProductType,0)+1,FALSE)&gt;0,1,0)</formula>
    </cfRule>
    <cfRule type="expression" dxfId="0" priority="366"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dxfId="4" priority="367" stopIfTrue="1">
      <formula>IF(LEN(BL4)&gt;0,1,0)</formula>
    </cfRule>
    <cfRule type="expression" dxfId="3" priority="368" stopIfTrue="1">
      <formula>IF(VLOOKUP($BL$3,requiredAttributePTDMap,MATCH($A4,attributeMapFeedProductType,0)+1,FALSE)&gt;0,1,0)</formula>
    </cfRule>
    <cfRule type="expression" dxfId="2" priority="369" stopIfTrue="1">
      <formula>IF(VLOOKUP($BL$3,optionalAttributePTDMap,MATCH($A4,attributeMapFeedProductType,0)+1,FALSE)&gt;0,1,0)</formula>
    </cfRule>
    <cfRule type="expression" dxfId="1" priority="370" stopIfTrue="1">
      <formula>IF(VLOOKUP($BL$3,preferredAttributePTDMap,MATCH($A4,attributeMapFeedProductType,0)+1,FALSE)&gt;0,1,0)</formula>
    </cfRule>
    <cfRule type="expression" dxfId="0" priority="371"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dxfId="4" priority="372" stopIfTrue="1">
      <formula>IF(LEN(BM4)&gt;0,1,0)</formula>
    </cfRule>
    <cfRule type="expression" dxfId="3" priority="373" stopIfTrue="1">
      <formula>IF(VLOOKUP($BM$3,requiredAttributePTDMap,MATCH($A4,attributeMapFeedProductType,0)+1,FALSE)&gt;0,1,0)</formula>
    </cfRule>
    <cfRule type="expression" dxfId="2" priority="374" stopIfTrue="1">
      <formula>IF(VLOOKUP($BM$3,optionalAttributePTDMap,MATCH($A4,attributeMapFeedProductType,0)+1,FALSE)&gt;0,1,0)</formula>
    </cfRule>
    <cfRule type="expression" dxfId="1" priority="375" stopIfTrue="1">
      <formula>IF(VLOOKUP($BM$3,preferredAttributePTDMap,MATCH($A4,attributeMapFeedProductType,0)+1,FALSE)&gt;0,1,0)</formula>
    </cfRule>
    <cfRule type="expression" dxfId="0" priority="376"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dxfId="4" priority="377" stopIfTrue="1">
      <formula>IF(LEN(BN4)&gt;0,1,0)</formula>
    </cfRule>
    <cfRule type="expression" dxfId="3" priority="378" stopIfTrue="1">
      <formula>IF(VLOOKUP($BN$3,requiredAttributePTDMap,MATCH($A4,attributeMapFeedProductType,0)+1,FALSE)&gt;0,1,0)</formula>
    </cfRule>
    <cfRule type="expression" dxfId="2" priority="379" stopIfTrue="1">
      <formula>IF(VLOOKUP($BN$3,optionalAttributePTDMap,MATCH($A4,attributeMapFeedProductType,0)+1,FALSE)&gt;0,1,0)</formula>
    </cfRule>
    <cfRule type="expression" dxfId="1" priority="380" stopIfTrue="1">
      <formula>IF(VLOOKUP($BN$3,preferredAttributePTDMap,MATCH($A4,attributeMapFeedProductType,0)+1,FALSE)&gt;0,1,0)</formula>
    </cfRule>
    <cfRule type="expression" dxfId="0" priority="381"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dxfId="4" priority="382" stopIfTrue="1">
      <formula>IF(LEN(BO4)&gt;0,1,0)</formula>
    </cfRule>
    <cfRule type="expression" dxfId="3" priority="383" stopIfTrue="1">
      <formula>IF(VLOOKUP($BO$3,requiredAttributePTDMap,MATCH($A4,attributeMapFeedProductType,0)+1,FALSE)&gt;0,1,0)</formula>
    </cfRule>
    <cfRule type="expression" dxfId="2" priority="384" stopIfTrue="1">
      <formula>IF(VLOOKUP($BO$3,optionalAttributePTDMap,MATCH($A4,attributeMapFeedProductType,0)+1,FALSE)&gt;0,1,0)</formula>
    </cfRule>
    <cfRule type="expression" dxfId="1" priority="385" stopIfTrue="1">
      <formula>IF(VLOOKUP($BO$3,preferredAttributePTDMap,MATCH($A4,attributeMapFeedProductType,0)+1,FALSE)&gt;0,1,0)</formula>
    </cfRule>
    <cfRule type="expression" dxfId="0" priority="386"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dxfId="4" priority="387" stopIfTrue="1">
      <formula>IF(LEN(BP4)&gt;0,1,0)</formula>
    </cfRule>
    <cfRule type="expression" dxfId="3" priority="388" stopIfTrue="1">
      <formula>IF(VLOOKUP($BP$3,requiredAttributePTDMap,MATCH($A4,attributeMapFeedProductType,0)+1,FALSE)&gt;0,1,0)</formula>
    </cfRule>
    <cfRule type="expression" dxfId="2" priority="389" stopIfTrue="1">
      <formula>IF(VLOOKUP($BP$3,optionalAttributePTDMap,MATCH($A4,attributeMapFeedProductType,0)+1,FALSE)&gt;0,1,0)</formula>
    </cfRule>
    <cfRule type="expression" dxfId="1" priority="390" stopIfTrue="1">
      <formula>IF(VLOOKUP($BP$3,preferredAttributePTDMap,MATCH($A4,attributeMapFeedProductType,0)+1,FALSE)&gt;0,1,0)</formula>
    </cfRule>
    <cfRule type="expression" dxfId="0" priority="391"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dxfId="4" priority="392" stopIfTrue="1">
      <formula>IF(LEN(BQ4)&gt;0,1,0)</formula>
    </cfRule>
    <cfRule type="expression" dxfId="3" priority="393" stopIfTrue="1">
      <formula>IF(VLOOKUP($BQ$3,requiredAttributePTDMap,MATCH($A4,attributeMapFeedProductType,0)+1,FALSE)&gt;0,1,0)</formula>
    </cfRule>
    <cfRule type="expression" dxfId="2" priority="394" stopIfTrue="1">
      <formula>IF(VLOOKUP($BQ$3,optionalAttributePTDMap,MATCH($A4,attributeMapFeedProductType,0)+1,FALSE)&gt;0,1,0)</formula>
    </cfRule>
    <cfRule type="expression" dxfId="1" priority="395" stopIfTrue="1">
      <formula>IF(VLOOKUP($BQ$3,preferredAttributePTDMap,MATCH($A4,attributeMapFeedProductType,0)+1,FALSE)&gt;0,1,0)</formula>
    </cfRule>
    <cfRule type="expression" dxfId="0" priority="396"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dxfId="4" priority="397" stopIfTrue="1">
      <formula>IF(LEN(BR4)&gt;0,1,0)</formula>
    </cfRule>
    <cfRule type="expression" dxfId="3" priority="398" stopIfTrue="1">
      <formula>IF(VLOOKUP($BR$3,requiredAttributePTDMap,MATCH($A4,attributeMapFeedProductType,0)+1,FALSE)&gt;0,1,0)</formula>
    </cfRule>
    <cfRule type="expression" dxfId="2" priority="399" stopIfTrue="1">
      <formula>IF(VLOOKUP($BR$3,optionalAttributePTDMap,MATCH($A4,attributeMapFeedProductType,0)+1,FALSE)&gt;0,1,0)</formula>
    </cfRule>
    <cfRule type="expression" dxfId="1" priority="400" stopIfTrue="1">
      <formula>IF(VLOOKUP($BR$3,preferredAttributePTDMap,MATCH($A4,attributeMapFeedProductType,0)+1,FALSE)&gt;0,1,0)</formula>
    </cfRule>
    <cfRule type="expression" dxfId="0" priority="401"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5:BS40">
    <cfRule type="expression" dxfId="4" priority="31" stopIfTrue="1">
      <formula>IF(LEN(BS5)&gt;0,1,0)</formula>
    </cfRule>
    <cfRule type="expression" dxfId="3" priority="32" stopIfTrue="1">
      <formula>IF(VLOOKUP($BT$3,requiredAttributePTDMap,MATCH($A5,attributeMapFeedProductType,0)+1,FALSE)&gt;0,1,0)</formula>
    </cfRule>
    <cfRule type="expression" dxfId="2" priority="33" stopIfTrue="1">
      <formula>IF(VLOOKUP($BT$3,optionalAttributePTDMap,MATCH($A5,attributeMapFeedProductType,0)+1,FALSE)&gt;0,1,0)</formula>
    </cfRule>
    <cfRule type="expression" dxfId="1" priority="34" stopIfTrue="1">
      <formula>IF(VLOOKUP($BT$3,preferredAttributePTDMap,MATCH($A5,attributeMapFeedProductType,0)+1,FALSE)&gt;0,1,0)</formula>
    </cfRule>
    <cfRule type="expression" dxfId="0" priority="35"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T4:BT1048576">
    <cfRule type="expression" dxfId="4" priority="407" stopIfTrue="1">
      <formula>IF(LEN(BT4)&gt;0,1,0)</formula>
    </cfRule>
    <cfRule type="expression" dxfId="3" priority="408" stopIfTrue="1">
      <formula>IF(VLOOKUP($BT$3,requiredAttributePTDMap,MATCH($A4,attributeMapFeedProductType,0)+1,FALSE)&gt;0,1,0)</formula>
    </cfRule>
    <cfRule type="expression" dxfId="2" priority="409" stopIfTrue="1">
      <formula>IF(VLOOKUP($BT$3,optionalAttributePTDMap,MATCH($A4,attributeMapFeedProductType,0)+1,FALSE)&gt;0,1,0)</formula>
    </cfRule>
    <cfRule type="expression" dxfId="1" priority="410" stopIfTrue="1">
      <formula>IF(VLOOKUP($BT$3,preferredAttributePTDMap,MATCH($A4,attributeMapFeedProductType,0)+1,FALSE)&gt;0,1,0)</formula>
    </cfRule>
    <cfRule type="expression" dxfId="0" priority="411"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dxfId="4" priority="412" stopIfTrue="1">
      <formula>IF(LEN(BU4)&gt;0,1,0)</formula>
    </cfRule>
    <cfRule type="expression" dxfId="3" priority="413" stopIfTrue="1">
      <formula>IF(VLOOKUP($BU$3,requiredAttributePTDMap,MATCH($A4,attributeMapFeedProductType,0)+1,FALSE)&gt;0,1,0)</formula>
    </cfRule>
    <cfRule type="expression" dxfId="2" priority="414" stopIfTrue="1">
      <formula>IF(VLOOKUP($BU$3,optionalAttributePTDMap,MATCH($A4,attributeMapFeedProductType,0)+1,FALSE)&gt;0,1,0)</formula>
    </cfRule>
    <cfRule type="expression" dxfId="1" priority="415" stopIfTrue="1">
      <formula>IF(VLOOKUP($BU$3,preferredAttributePTDMap,MATCH($A4,attributeMapFeedProductType,0)+1,FALSE)&gt;0,1,0)</formula>
    </cfRule>
    <cfRule type="expression" dxfId="0" priority="416"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dxfId="4" priority="417" stopIfTrue="1">
      <formula>IF(LEN(BV4)&gt;0,1,0)</formula>
    </cfRule>
    <cfRule type="expression" dxfId="3" priority="418" stopIfTrue="1">
      <formula>IF(VLOOKUP($BV$3,requiredAttributePTDMap,MATCH($A4,attributeMapFeedProductType,0)+1,FALSE)&gt;0,1,0)</formula>
    </cfRule>
    <cfRule type="expression" dxfId="2" priority="419" stopIfTrue="1">
      <formula>IF(VLOOKUP($BV$3,optionalAttributePTDMap,MATCH($A4,attributeMapFeedProductType,0)+1,FALSE)&gt;0,1,0)</formula>
    </cfRule>
    <cfRule type="expression" dxfId="1" priority="420" stopIfTrue="1">
      <formula>IF(VLOOKUP($BV$3,preferredAttributePTDMap,MATCH($A4,attributeMapFeedProductType,0)+1,FALSE)&gt;0,1,0)</formula>
    </cfRule>
    <cfRule type="expression" dxfId="0" priority="421"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dxfId="4" priority="422" stopIfTrue="1">
      <formula>IF(LEN(BW4)&gt;0,1,0)</formula>
    </cfRule>
    <cfRule type="expression" dxfId="3" priority="423" stopIfTrue="1">
      <formula>IF(VLOOKUP($BW$3,requiredAttributePTDMap,MATCH($A4,attributeMapFeedProductType,0)+1,FALSE)&gt;0,1,0)</formula>
    </cfRule>
    <cfRule type="expression" dxfId="2" priority="424" stopIfTrue="1">
      <formula>IF(VLOOKUP($BW$3,optionalAttributePTDMap,MATCH($A4,attributeMapFeedProductType,0)+1,FALSE)&gt;0,1,0)</formula>
    </cfRule>
    <cfRule type="expression" dxfId="1" priority="425" stopIfTrue="1">
      <formula>IF(VLOOKUP($BW$3,preferredAttributePTDMap,MATCH($A4,attributeMapFeedProductType,0)+1,FALSE)&gt;0,1,0)</formula>
    </cfRule>
    <cfRule type="expression" dxfId="0" priority="426"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dxfId="4" priority="427" stopIfTrue="1">
      <formula>IF(LEN(BX4)&gt;0,1,0)</formula>
    </cfRule>
    <cfRule type="expression" dxfId="3" priority="428" stopIfTrue="1">
      <formula>IF(VLOOKUP($BX$3,requiredAttributePTDMap,MATCH($A4,attributeMapFeedProductType,0)+1,FALSE)&gt;0,1,0)</formula>
    </cfRule>
    <cfRule type="expression" dxfId="2" priority="429" stopIfTrue="1">
      <formula>IF(VLOOKUP($BX$3,optionalAttributePTDMap,MATCH($A4,attributeMapFeedProductType,0)+1,FALSE)&gt;0,1,0)</formula>
    </cfRule>
    <cfRule type="expression" dxfId="1" priority="430" stopIfTrue="1">
      <formula>IF(VLOOKUP($BX$3,preferredAttributePTDMap,MATCH($A4,attributeMapFeedProductType,0)+1,FALSE)&gt;0,1,0)</formula>
    </cfRule>
    <cfRule type="expression" dxfId="0" priority="431"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dxfId="4" priority="432" stopIfTrue="1">
      <formula>IF(LEN(BY4)&gt;0,1,0)</formula>
    </cfRule>
    <cfRule type="expression" dxfId="3" priority="433" stopIfTrue="1">
      <formula>IF(VLOOKUP($BY$3,requiredAttributePTDMap,MATCH($A4,attributeMapFeedProductType,0)+1,FALSE)&gt;0,1,0)</formula>
    </cfRule>
    <cfRule type="expression" dxfId="2" priority="434" stopIfTrue="1">
      <formula>IF(VLOOKUP($BY$3,optionalAttributePTDMap,MATCH($A4,attributeMapFeedProductType,0)+1,FALSE)&gt;0,1,0)</formula>
    </cfRule>
    <cfRule type="expression" dxfId="1" priority="435" stopIfTrue="1">
      <formula>IF(VLOOKUP($BY$3,preferredAttributePTDMap,MATCH($A4,attributeMapFeedProductType,0)+1,FALSE)&gt;0,1,0)</formula>
    </cfRule>
    <cfRule type="expression" dxfId="0" priority="436"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dxfId="4" priority="437" stopIfTrue="1">
      <formula>IF(LEN(BZ4)&gt;0,1,0)</formula>
    </cfRule>
    <cfRule type="expression" dxfId="3" priority="438" stopIfTrue="1">
      <formula>IF(VLOOKUP($BZ$3,requiredAttributePTDMap,MATCH($A4,attributeMapFeedProductType,0)+1,FALSE)&gt;0,1,0)</formula>
    </cfRule>
    <cfRule type="expression" dxfId="2" priority="439" stopIfTrue="1">
      <formula>IF(VLOOKUP($BZ$3,optionalAttributePTDMap,MATCH($A4,attributeMapFeedProductType,0)+1,FALSE)&gt;0,1,0)</formula>
    </cfRule>
    <cfRule type="expression" dxfId="1" priority="440" stopIfTrue="1">
      <formula>IF(VLOOKUP($BZ$3,preferredAttributePTDMap,MATCH($A4,attributeMapFeedProductType,0)+1,FALSE)&gt;0,1,0)</formula>
    </cfRule>
    <cfRule type="expression" dxfId="0" priority="441"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dxfId="4" priority="442" stopIfTrue="1">
      <formula>IF(LEN(CA4)&gt;0,1,0)</formula>
    </cfRule>
    <cfRule type="expression" dxfId="3" priority="443" stopIfTrue="1">
      <formula>IF(VLOOKUP($CA$3,requiredAttributePTDMap,MATCH($A4,attributeMapFeedProductType,0)+1,FALSE)&gt;0,1,0)</formula>
    </cfRule>
    <cfRule type="expression" dxfId="2" priority="444" stopIfTrue="1">
      <formula>IF(VLOOKUP($CA$3,optionalAttributePTDMap,MATCH($A4,attributeMapFeedProductType,0)+1,FALSE)&gt;0,1,0)</formula>
    </cfRule>
    <cfRule type="expression" dxfId="1" priority="445" stopIfTrue="1">
      <formula>IF(VLOOKUP($CA$3,preferredAttributePTDMap,MATCH($A4,attributeMapFeedProductType,0)+1,FALSE)&gt;0,1,0)</formula>
    </cfRule>
    <cfRule type="expression" dxfId="0" priority="446"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dxfId="4" priority="447" stopIfTrue="1">
      <formula>IF(LEN(CB4)&gt;0,1,0)</formula>
    </cfRule>
    <cfRule type="expression" dxfId="3" priority="448" stopIfTrue="1">
      <formula>IF(VLOOKUP($CB$3,requiredAttributePTDMap,MATCH($A4,attributeMapFeedProductType,0)+1,FALSE)&gt;0,1,0)</formula>
    </cfRule>
    <cfRule type="expression" dxfId="2" priority="449" stopIfTrue="1">
      <formula>IF(VLOOKUP($CB$3,optionalAttributePTDMap,MATCH($A4,attributeMapFeedProductType,0)+1,FALSE)&gt;0,1,0)</formula>
    </cfRule>
    <cfRule type="expression" dxfId="1" priority="450" stopIfTrue="1">
      <formula>IF(VLOOKUP($CB$3,preferredAttributePTDMap,MATCH($A4,attributeMapFeedProductType,0)+1,FALSE)&gt;0,1,0)</formula>
    </cfRule>
    <cfRule type="expression" dxfId="0" priority="451"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dxfId="4" priority="452" stopIfTrue="1">
      <formula>IF(LEN(CC4)&gt;0,1,0)</formula>
    </cfRule>
    <cfRule type="expression" dxfId="3" priority="453" stopIfTrue="1">
      <formula>IF(VLOOKUP($CC$3,requiredAttributePTDMap,MATCH($A4,attributeMapFeedProductType,0)+1,FALSE)&gt;0,1,0)</formula>
    </cfRule>
    <cfRule type="expression" dxfId="2" priority="454" stopIfTrue="1">
      <formula>IF(VLOOKUP($CC$3,optionalAttributePTDMap,MATCH($A4,attributeMapFeedProductType,0)+1,FALSE)&gt;0,1,0)</formula>
    </cfRule>
    <cfRule type="expression" dxfId="1" priority="455" stopIfTrue="1">
      <formula>IF(VLOOKUP($CC$3,preferredAttributePTDMap,MATCH($A4,attributeMapFeedProductType,0)+1,FALSE)&gt;0,1,0)</formula>
    </cfRule>
    <cfRule type="expression" dxfId="0" priority="456"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dxfId="4" priority="457" stopIfTrue="1">
      <formula>IF(LEN(CD4)&gt;0,1,0)</formula>
    </cfRule>
    <cfRule type="expression" dxfId="3" priority="458" stopIfTrue="1">
      <formula>IF(VLOOKUP($CD$3,requiredAttributePTDMap,MATCH($A4,attributeMapFeedProductType,0)+1,FALSE)&gt;0,1,0)</formula>
    </cfRule>
    <cfRule type="expression" dxfId="2" priority="459" stopIfTrue="1">
      <formula>IF(VLOOKUP($CD$3,optionalAttributePTDMap,MATCH($A4,attributeMapFeedProductType,0)+1,FALSE)&gt;0,1,0)</formula>
    </cfRule>
    <cfRule type="expression" dxfId="1" priority="460" stopIfTrue="1">
      <formula>IF(VLOOKUP($CD$3,preferredAttributePTDMap,MATCH($A4,attributeMapFeedProductType,0)+1,FALSE)&gt;0,1,0)</formula>
    </cfRule>
    <cfRule type="expression" dxfId="0" priority="461"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dxfId="4" priority="462" stopIfTrue="1">
      <formula>IF(LEN(CE4)&gt;0,1,0)</formula>
    </cfRule>
    <cfRule type="expression" dxfId="3" priority="463" stopIfTrue="1">
      <formula>IF(VLOOKUP($CE$3,requiredAttributePTDMap,MATCH($A4,attributeMapFeedProductType,0)+1,FALSE)&gt;0,1,0)</formula>
    </cfRule>
    <cfRule type="expression" dxfId="2" priority="464" stopIfTrue="1">
      <formula>IF(VLOOKUP($CE$3,optionalAttributePTDMap,MATCH($A4,attributeMapFeedProductType,0)+1,FALSE)&gt;0,1,0)</formula>
    </cfRule>
    <cfRule type="expression" dxfId="1" priority="465" stopIfTrue="1">
      <formula>IF(VLOOKUP($CE$3,preferredAttributePTDMap,MATCH($A4,attributeMapFeedProductType,0)+1,FALSE)&gt;0,1,0)</formula>
    </cfRule>
    <cfRule type="expression" dxfId="0" priority="466"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dxfId="4" priority="467" stopIfTrue="1">
      <formula>IF(LEN(CF4)&gt;0,1,0)</formula>
    </cfRule>
    <cfRule type="expression" dxfId="3" priority="468" stopIfTrue="1">
      <formula>IF(VLOOKUP($CF$3,requiredAttributePTDMap,MATCH($A4,attributeMapFeedProductType,0)+1,FALSE)&gt;0,1,0)</formula>
    </cfRule>
    <cfRule type="expression" dxfId="2" priority="469" stopIfTrue="1">
      <formula>IF(VLOOKUP($CF$3,optionalAttributePTDMap,MATCH($A4,attributeMapFeedProductType,0)+1,FALSE)&gt;0,1,0)</formula>
    </cfRule>
    <cfRule type="expression" dxfId="1" priority="470" stopIfTrue="1">
      <formula>IF(VLOOKUP($CF$3,preferredAttributePTDMap,MATCH($A4,attributeMapFeedProductType,0)+1,FALSE)&gt;0,1,0)</formula>
    </cfRule>
    <cfRule type="expression" dxfId="0" priority="471"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dxfId="4" priority="472" stopIfTrue="1">
      <formula>IF(LEN(CG4)&gt;0,1,0)</formula>
    </cfRule>
    <cfRule type="expression" dxfId="3" priority="473" stopIfTrue="1">
      <formula>IF(VLOOKUP($CG$3,requiredAttributePTDMap,MATCH($A4,attributeMapFeedProductType,0)+1,FALSE)&gt;0,1,0)</formula>
    </cfRule>
    <cfRule type="expression" dxfId="2" priority="474" stopIfTrue="1">
      <formula>IF(VLOOKUP($CG$3,optionalAttributePTDMap,MATCH($A4,attributeMapFeedProductType,0)+1,FALSE)&gt;0,1,0)</formula>
    </cfRule>
    <cfRule type="expression" dxfId="1" priority="475" stopIfTrue="1">
      <formula>IF(VLOOKUP($CG$3,preferredAttributePTDMap,MATCH($A4,attributeMapFeedProductType,0)+1,FALSE)&gt;0,1,0)</formula>
    </cfRule>
    <cfRule type="expression" dxfId="0" priority="476"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dxfId="4" priority="477" stopIfTrue="1">
      <formula>IF(LEN(CH4)&gt;0,1,0)</formula>
    </cfRule>
    <cfRule type="expression" dxfId="3" priority="478" stopIfTrue="1">
      <formula>IF(VLOOKUP($CH$3,requiredAttributePTDMap,MATCH($A4,attributeMapFeedProductType,0)+1,FALSE)&gt;0,1,0)</formula>
    </cfRule>
    <cfRule type="expression" dxfId="2" priority="479" stopIfTrue="1">
      <formula>IF(VLOOKUP($CH$3,optionalAttributePTDMap,MATCH($A4,attributeMapFeedProductType,0)+1,FALSE)&gt;0,1,0)</formula>
    </cfRule>
    <cfRule type="expression" dxfId="1" priority="480" stopIfTrue="1">
      <formula>IF(VLOOKUP($CH$3,preferredAttributePTDMap,MATCH($A4,attributeMapFeedProductType,0)+1,FALSE)&gt;0,1,0)</formula>
    </cfRule>
    <cfRule type="expression" dxfId="0" priority="481"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dxfId="4" priority="482" stopIfTrue="1">
      <formula>IF(LEN(CI4)&gt;0,1,0)</formula>
    </cfRule>
    <cfRule type="expression" dxfId="3" priority="483" stopIfTrue="1">
      <formula>IF(VLOOKUP($CI$3,requiredAttributePTDMap,MATCH($A4,attributeMapFeedProductType,0)+1,FALSE)&gt;0,1,0)</formula>
    </cfRule>
    <cfRule type="expression" dxfId="2" priority="484" stopIfTrue="1">
      <formula>IF(VLOOKUP($CI$3,optionalAttributePTDMap,MATCH($A4,attributeMapFeedProductType,0)+1,FALSE)&gt;0,1,0)</formula>
    </cfRule>
    <cfRule type="expression" dxfId="1" priority="485" stopIfTrue="1">
      <formula>IF(VLOOKUP($CI$3,preferredAttributePTDMap,MATCH($A4,attributeMapFeedProductType,0)+1,FALSE)&gt;0,1,0)</formula>
    </cfRule>
    <cfRule type="expression" dxfId="0" priority="486"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dxfId="4" priority="487" stopIfTrue="1">
      <formula>IF(LEN(CJ4)&gt;0,1,0)</formula>
    </cfRule>
    <cfRule type="expression" dxfId="3" priority="488" stopIfTrue="1">
      <formula>IF(VLOOKUP($CJ$3,requiredAttributePTDMap,MATCH($A4,attributeMapFeedProductType,0)+1,FALSE)&gt;0,1,0)</formula>
    </cfRule>
    <cfRule type="expression" dxfId="2" priority="489" stopIfTrue="1">
      <formula>IF(VLOOKUP($CJ$3,optionalAttributePTDMap,MATCH($A4,attributeMapFeedProductType,0)+1,FALSE)&gt;0,1,0)</formula>
    </cfRule>
    <cfRule type="expression" dxfId="1" priority="490" stopIfTrue="1">
      <formula>IF(VLOOKUP($CJ$3,preferredAttributePTDMap,MATCH($A4,attributeMapFeedProductType,0)+1,FALSE)&gt;0,1,0)</formula>
    </cfRule>
    <cfRule type="expression" dxfId="0" priority="491"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dxfId="4" priority="492" stopIfTrue="1">
      <formula>IF(LEN(CK4)&gt;0,1,0)</formula>
    </cfRule>
    <cfRule type="expression" dxfId="3" priority="493" stopIfTrue="1">
      <formula>IF(VLOOKUP($CK$3,requiredAttributePTDMap,MATCH($A4,attributeMapFeedProductType,0)+1,FALSE)&gt;0,1,0)</formula>
    </cfRule>
    <cfRule type="expression" dxfId="2" priority="494" stopIfTrue="1">
      <formula>IF(VLOOKUP($CK$3,optionalAttributePTDMap,MATCH($A4,attributeMapFeedProductType,0)+1,FALSE)&gt;0,1,0)</formula>
    </cfRule>
    <cfRule type="expression" dxfId="1" priority="495" stopIfTrue="1">
      <formula>IF(VLOOKUP($CK$3,preferredAttributePTDMap,MATCH($A4,attributeMapFeedProductType,0)+1,FALSE)&gt;0,1,0)</formula>
    </cfRule>
    <cfRule type="expression" dxfId="0" priority="496"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dxfId="4" priority="497" stopIfTrue="1">
      <formula>IF(LEN(CL4)&gt;0,1,0)</formula>
    </cfRule>
    <cfRule type="expression" dxfId="3" priority="498" stopIfTrue="1">
      <formula>IF(VLOOKUP($CL$3,requiredAttributePTDMap,MATCH($A4,attributeMapFeedProductType,0)+1,FALSE)&gt;0,1,0)</formula>
    </cfRule>
    <cfRule type="expression" dxfId="2" priority="499" stopIfTrue="1">
      <formula>IF(VLOOKUP($CL$3,optionalAttributePTDMap,MATCH($A4,attributeMapFeedProductType,0)+1,FALSE)&gt;0,1,0)</formula>
    </cfRule>
    <cfRule type="expression" dxfId="1" priority="500" stopIfTrue="1">
      <formula>IF(VLOOKUP($CL$3,preferredAttributePTDMap,MATCH($A4,attributeMapFeedProductType,0)+1,FALSE)&gt;0,1,0)</formula>
    </cfRule>
    <cfRule type="expression" dxfId="0" priority="501"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dxfId="4" priority="502" stopIfTrue="1">
      <formula>IF(LEN(CM4)&gt;0,1,0)</formula>
    </cfRule>
    <cfRule type="expression" dxfId="3" priority="503" stopIfTrue="1">
      <formula>IF(VLOOKUP($CM$3,requiredAttributePTDMap,MATCH($A4,attributeMapFeedProductType,0)+1,FALSE)&gt;0,1,0)</formula>
    </cfRule>
    <cfRule type="expression" dxfId="2" priority="504" stopIfTrue="1">
      <formula>IF(VLOOKUP($CM$3,optionalAttributePTDMap,MATCH($A4,attributeMapFeedProductType,0)+1,FALSE)&gt;0,1,0)</formula>
    </cfRule>
    <cfRule type="expression" dxfId="1" priority="505" stopIfTrue="1">
      <formula>IF(VLOOKUP($CM$3,preferredAttributePTDMap,MATCH($A4,attributeMapFeedProductType,0)+1,FALSE)&gt;0,1,0)</formula>
    </cfRule>
    <cfRule type="expression" dxfId="0" priority="506"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dxfId="4" priority="507" stopIfTrue="1">
      <formula>IF(LEN(CN4)&gt;0,1,0)</formula>
    </cfRule>
    <cfRule type="expression" dxfId="3" priority="508" stopIfTrue="1">
      <formula>IF(VLOOKUP($CN$3,requiredAttributePTDMap,MATCH($A4,attributeMapFeedProductType,0)+1,FALSE)&gt;0,1,0)</formula>
    </cfRule>
    <cfRule type="expression" dxfId="2" priority="509" stopIfTrue="1">
      <formula>IF(VLOOKUP($CN$3,optionalAttributePTDMap,MATCH($A4,attributeMapFeedProductType,0)+1,FALSE)&gt;0,1,0)</formula>
    </cfRule>
    <cfRule type="expression" dxfId="1" priority="510" stopIfTrue="1">
      <formula>IF(VLOOKUP($CN$3,preferredAttributePTDMap,MATCH($A4,attributeMapFeedProductType,0)+1,FALSE)&gt;0,1,0)</formula>
    </cfRule>
    <cfRule type="expression" dxfId="0" priority="511"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dxfId="4" priority="512" stopIfTrue="1">
      <formula>IF(LEN(CO4)&gt;0,1,0)</formula>
    </cfRule>
    <cfRule type="expression" dxfId="3" priority="513" stopIfTrue="1">
      <formula>IF(VLOOKUP($CO$3,requiredAttributePTDMap,MATCH($A4,attributeMapFeedProductType,0)+1,FALSE)&gt;0,1,0)</formula>
    </cfRule>
    <cfRule type="expression" dxfId="2" priority="514" stopIfTrue="1">
      <formula>IF(VLOOKUP($CO$3,optionalAttributePTDMap,MATCH($A4,attributeMapFeedProductType,0)+1,FALSE)&gt;0,1,0)</formula>
    </cfRule>
    <cfRule type="expression" dxfId="1" priority="515" stopIfTrue="1">
      <formula>IF(VLOOKUP($CO$3,preferredAttributePTDMap,MATCH($A4,attributeMapFeedProductType,0)+1,FALSE)&gt;0,1,0)</formula>
    </cfRule>
    <cfRule type="expression" dxfId="0" priority="516"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dxfId="0" priority="56" stopIfTrue="1">
      <formula>IF($AV4&lt;&gt;"Parent",0,1)</formula>
    </cfRule>
    <cfRule type="expression" dxfId="4" priority="517" stopIfTrue="1">
      <formula>IF(LEN(CP4)&gt;0,1,0)</formula>
    </cfRule>
    <cfRule type="expression" dxfId="3" priority="518" stopIfTrue="1">
      <formula>IF(VLOOKUP($CP$3,requiredAttributePTDMap,MATCH($A4,attributeMapFeedProductType,0)+1,FALSE)&gt;0,1,0)</formula>
    </cfRule>
    <cfRule type="expression" dxfId="2" priority="519" stopIfTrue="1">
      <formula>IF(VLOOKUP($CP$3,optionalAttributePTDMap,MATCH($A4,attributeMapFeedProductType,0)+1,FALSE)&gt;0,1,0)</formula>
    </cfRule>
    <cfRule type="expression" dxfId="1" priority="520" stopIfTrue="1">
      <formula>IF(VLOOKUP($CP$3,preferredAttributePTDMap,MATCH($A4,attributeMapFeedProductType,0)+1,FALSE)&gt;0,1,0)</formula>
    </cfRule>
    <cfRule type="expression" dxfId="0" priority="521"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dxfId="4" priority="522" stopIfTrue="1">
      <formula>IF(LEN(CQ4)&gt;0,1,0)</formula>
    </cfRule>
    <cfRule type="expression" dxfId="3" priority="523" stopIfTrue="1">
      <formula>IF(VLOOKUP($CQ$3,requiredAttributePTDMap,MATCH($A4,attributeMapFeedProductType,0)+1,FALSE)&gt;0,1,0)</formula>
    </cfRule>
    <cfRule type="expression" dxfId="2" priority="524" stopIfTrue="1">
      <formula>IF(VLOOKUP($CQ$3,optionalAttributePTDMap,MATCH($A4,attributeMapFeedProductType,0)+1,FALSE)&gt;0,1,0)</formula>
    </cfRule>
    <cfRule type="expression" dxfId="1" priority="525" stopIfTrue="1">
      <formula>IF(VLOOKUP($CQ$3,preferredAttributePTDMap,MATCH($A4,attributeMapFeedProductType,0)+1,FALSE)&gt;0,1,0)</formula>
    </cfRule>
    <cfRule type="expression" dxfId="0" priority="526"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dxfId="4" priority="527" stopIfTrue="1">
      <formula>IF(LEN(CR4)&gt;0,1,0)</formula>
    </cfRule>
    <cfRule type="expression" dxfId="3" priority="528" stopIfTrue="1">
      <formula>IF(VLOOKUP($CR$3,requiredAttributePTDMap,MATCH($A4,attributeMapFeedProductType,0)+1,FALSE)&gt;0,1,0)</formula>
    </cfRule>
    <cfRule type="expression" dxfId="2" priority="529" stopIfTrue="1">
      <formula>IF(VLOOKUP($CR$3,optionalAttributePTDMap,MATCH($A4,attributeMapFeedProductType,0)+1,FALSE)&gt;0,1,0)</formula>
    </cfRule>
    <cfRule type="expression" dxfId="1" priority="530" stopIfTrue="1">
      <formula>IF(VLOOKUP($CR$3,preferredAttributePTDMap,MATCH($A4,attributeMapFeedProductType,0)+1,FALSE)&gt;0,1,0)</formula>
    </cfRule>
    <cfRule type="expression" dxfId="0" priority="531"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dxfId="4" priority="532" stopIfTrue="1">
      <formula>IF(LEN(CS4)&gt;0,1,0)</formula>
    </cfRule>
    <cfRule type="expression" dxfId="3" priority="533" stopIfTrue="1">
      <formula>IF(VLOOKUP($CS$3,requiredAttributePTDMap,MATCH($A4,attributeMapFeedProductType,0)+1,FALSE)&gt;0,1,0)</formula>
    </cfRule>
    <cfRule type="expression" dxfId="2" priority="534" stopIfTrue="1">
      <formula>IF(VLOOKUP($CS$3,optionalAttributePTDMap,MATCH($A4,attributeMapFeedProductType,0)+1,FALSE)&gt;0,1,0)</formula>
    </cfRule>
    <cfRule type="expression" dxfId="1" priority="535" stopIfTrue="1">
      <formula>IF(VLOOKUP($CS$3,preferredAttributePTDMap,MATCH($A4,attributeMapFeedProductType,0)+1,FALSE)&gt;0,1,0)</formula>
    </cfRule>
    <cfRule type="expression" dxfId="0" priority="536"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dxfId="4" priority="537" stopIfTrue="1">
      <formula>IF(LEN(CT4)&gt;0,1,0)</formula>
    </cfRule>
    <cfRule type="expression" dxfId="3" priority="538" stopIfTrue="1">
      <formula>IF(VLOOKUP($CT$3,requiredAttributePTDMap,MATCH($A4,attributeMapFeedProductType,0)+1,FALSE)&gt;0,1,0)</formula>
    </cfRule>
    <cfRule type="expression" dxfId="2" priority="539" stopIfTrue="1">
      <formula>IF(VLOOKUP($CT$3,optionalAttributePTDMap,MATCH($A4,attributeMapFeedProductType,0)+1,FALSE)&gt;0,1,0)</formula>
    </cfRule>
    <cfRule type="expression" dxfId="1" priority="540" stopIfTrue="1">
      <formula>IF(VLOOKUP($CT$3,preferredAttributePTDMap,MATCH($A4,attributeMapFeedProductType,0)+1,FALSE)&gt;0,1,0)</formula>
    </cfRule>
    <cfRule type="expression" dxfId="0" priority="541"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dxfId="4" priority="542" stopIfTrue="1">
      <formula>IF(LEN(CU4)&gt;0,1,0)</formula>
    </cfRule>
    <cfRule type="expression" dxfId="3" priority="543" stopIfTrue="1">
      <formula>IF(VLOOKUP($CU$3,requiredAttributePTDMap,MATCH($A4,attributeMapFeedProductType,0)+1,FALSE)&gt;0,1,0)</formula>
    </cfRule>
    <cfRule type="expression" dxfId="2" priority="544" stopIfTrue="1">
      <formula>IF(VLOOKUP($CU$3,optionalAttributePTDMap,MATCH($A4,attributeMapFeedProductType,0)+1,FALSE)&gt;0,1,0)</formula>
    </cfRule>
    <cfRule type="expression" dxfId="1" priority="545" stopIfTrue="1">
      <formula>IF(VLOOKUP($CU$3,preferredAttributePTDMap,MATCH($A4,attributeMapFeedProductType,0)+1,FALSE)&gt;0,1,0)</formula>
    </cfRule>
    <cfRule type="expression" dxfId="0" priority="546"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dxfId="4" priority="547" stopIfTrue="1">
      <formula>IF(LEN(CV4)&gt;0,1,0)</formula>
    </cfRule>
    <cfRule type="expression" dxfId="3" priority="548" stopIfTrue="1">
      <formula>IF(VLOOKUP($CV$3,requiredAttributePTDMap,MATCH($A4,attributeMapFeedProductType,0)+1,FALSE)&gt;0,1,0)</formula>
    </cfRule>
    <cfRule type="expression" dxfId="2" priority="549" stopIfTrue="1">
      <formula>IF(VLOOKUP($CV$3,optionalAttributePTDMap,MATCH($A4,attributeMapFeedProductType,0)+1,FALSE)&gt;0,1,0)</formula>
    </cfRule>
    <cfRule type="expression" dxfId="1" priority="550" stopIfTrue="1">
      <formula>IF(VLOOKUP($CV$3,preferredAttributePTDMap,MATCH($A4,attributeMapFeedProductType,0)+1,FALSE)&gt;0,1,0)</formula>
    </cfRule>
    <cfRule type="expression" dxfId="0" priority="551"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dxfId="4" priority="552" stopIfTrue="1">
      <formula>IF(LEN(CW4)&gt;0,1,0)</formula>
    </cfRule>
    <cfRule type="expression" dxfId="3" priority="553" stopIfTrue="1">
      <formula>IF(VLOOKUP($CW$3,requiredAttributePTDMap,MATCH($A4,attributeMapFeedProductType,0)+1,FALSE)&gt;0,1,0)</formula>
    </cfRule>
    <cfRule type="expression" dxfId="2" priority="554" stopIfTrue="1">
      <formula>IF(VLOOKUP($CW$3,optionalAttributePTDMap,MATCH($A4,attributeMapFeedProductType,0)+1,FALSE)&gt;0,1,0)</formula>
    </cfRule>
    <cfRule type="expression" dxfId="1" priority="555" stopIfTrue="1">
      <formula>IF(VLOOKUP($CW$3,preferredAttributePTDMap,MATCH($A4,attributeMapFeedProductType,0)+1,FALSE)&gt;0,1,0)</formula>
    </cfRule>
    <cfRule type="expression" dxfId="0" priority="556"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dxfId="4" priority="557" stopIfTrue="1">
      <formula>IF(LEN(CX4)&gt;0,1,0)</formula>
    </cfRule>
    <cfRule type="expression" dxfId="3" priority="558" stopIfTrue="1">
      <formula>IF(VLOOKUP($CX$3,requiredAttributePTDMap,MATCH($A4,attributeMapFeedProductType,0)+1,FALSE)&gt;0,1,0)</formula>
    </cfRule>
    <cfRule type="expression" dxfId="2" priority="559" stopIfTrue="1">
      <formula>IF(VLOOKUP($CX$3,optionalAttributePTDMap,MATCH($A4,attributeMapFeedProductType,0)+1,FALSE)&gt;0,1,0)</formula>
    </cfRule>
    <cfRule type="expression" dxfId="1" priority="560" stopIfTrue="1">
      <formula>IF(VLOOKUP($CX$3,preferredAttributePTDMap,MATCH($A4,attributeMapFeedProductType,0)+1,FALSE)&gt;0,1,0)</formula>
    </cfRule>
    <cfRule type="expression" dxfId="0" priority="561"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dxfId="4" priority="562" stopIfTrue="1">
      <formula>IF(LEN(CY4)&gt;0,1,0)</formula>
    </cfRule>
    <cfRule type="expression" dxfId="3" priority="563" stopIfTrue="1">
      <formula>IF(VLOOKUP($CY$3,requiredAttributePTDMap,MATCH($A4,attributeMapFeedProductType,0)+1,FALSE)&gt;0,1,0)</formula>
    </cfRule>
    <cfRule type="expression" dxfId="2" priority="564" stopIfTrue="1">
      <formula>IF(VLOOKUP($CY$3,optionalAttributePTDMap,MATCH($A4,attributeMapFeedProductType,0)+1,FALSE)&gt;0,1,0)</formula>
    </cfRule>
    <cfRule type="expression" dxfId="1" priority="565" stopIfTrue="1">
      <formula>IF(VLOOKUP($CY$3,preferredAttributePTDMap,MATCH($A4,attributeMapFeedProductType,0)+1,FALSE)&gt;0,1,0)</formula>
    </cfRule>
    <cfRule type="expression" dxfId="0" priority="566"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dxfId="0" priority="567" stopIfTrue="1">
      <formula>AND(AND((0)),1=1)</formula>
    </cfRule>
    <cfRule type="expression" dxfId="0" priority="568" stopIfTrue="1">
      <formula>AND(AND(OR(AND(OR(OR(NOT(CP4&lt;&gt;"DEFAULT"),CP4="")))),A4&lt;&gt;""))</formula>
    </cfRule>
    <cfRule type="expression" dxfId="4" priority="569" stopIfTrue="1">
      <formula>IF(LEN(CZ4)&gt;0,1,0)</formula>
    </cfRule>
    <cfRule type="expression" dxfId="3" priority="570" stopIfTrue="1">
      <formula>IF(VLOOKUP($CZ$3,requiredAttributePTDMap,MATCH($A4,attributeMapFeedProductType,0)+1,FALSE)&gt;0,1,0)</formula>
    </cfRule>
    <cfRule type="expression" dxfId="2" priority="571" stopIfTrue="1">
      <formula>IF(VLOOKUP($CZ$3,optionalAttributePTDMap,MATCH($A4,attributeMapFeedProductType,0)+1,FALSE)&gt;0,1,0)</formula>
    </cfRule>
    <cfRule type="expression" dxfId="1" priority="572" stopIfTrue="1">
      <formula>IF(VLOOKUP($CZ$3,preferredAttributePTDMap,MATCH($A4,attributeMapFeedProductType,0)+1,FALSE)&gt;0,1,0)</formula>
    </cfRule>
    <cfRule type="expression" dxfId="0" priority="573"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dxfId="0" priority="574" stopIfTrue="1">
      <formula>AND(AND((0)),1=1)</formula>
    </cfRule>
    <cfRule type="expression" dxfId="0" priority="575" stopIfTrue="1">
      <formula>AND(AND(OR(AND(AND(IF(COUNTIF(CONDITION_LIST_0,CZ4)&gt;0,FALSE,TRUE)))),A4&lt;&gt;""))</formula>
    </cfRule>
    <cfRule type="expression" dxfId="4" priority="576" stopIfTrue="1">
      <formula>IF(LEN(DA4)&gt;0,1,0)</formula>
    </cfRule>
    <cfRule type="expression" dxfId="3" priority="577" stopIfTrue="1">
      <formula>IF(VLOOKUP($DA$3,requiredAttributePTDMap,MATCH($A4,attributeMapFeedProductType,0)+1,FALSE)&gt;0,1,0)</formula>
    </cfRule>
    <cfRule type="expression" dxfId="2" priority="578" stopIfTrue="1">
      <formula>IF(VLOOKUP($DA$3,optionalAttributePTDMap,MATCH($A4,attributeMapFeedProductType,0)+1,FALSE)&gt;0,1,0)</formula>
    </cfRule>
    <cfRule type="expression" dxfId="1" priority="579" stopIfTrue="1">
      <formula>IF(VLOOKUP($DA$3,preferredAttributePTDMap,MATCH($A4,attributeMapFeedProductType,0)+1,FALSE)&gt;0,1,0)</formula>
    </cfRule>
    <cfRule type="expression" dxfId="0" priority="580"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dxfId="0" priority="581" stopIfTrue="1">
      <formula>AND(AND((0)),1=1)</formula>
    </cfRule>
    <cfRule type="expression" dxfId="0" priority="582" stopIfTrue="1">
      <formula>AND(AND(OR(AND(AND(IF(COUNTIF(CONDITION_LIST_0,DA4)&gt;0,FALSE,TRUE)))),A4&lt;&gt;""))</formula>
    </cfRule>
    <cfRule type="expression" dxfId="4" priority="583" stopIfTrue="1">
      <formula>IF(LEN(DB4)&gt;0,1,0)</formula>
    </cfRule>
    <cfRule type="expression" dxfId="3" priority="584" stopIfTrue="1">
      <formula>IF(VLOOKUP($DB$3,requiredAttributePTDMap,MATCH($A4,attributeMapFeedProductType,0)+1,FALSE)&gt;0,1,0)</formula>
    </cfRule>
    <cfRule type="expression" dxfId="2" priority="585" stopIfTrue="1">
      <formula>IF(VLOOKUP($DB$3,optionalAttributePTDMap,MATCH($A4,attributeMapFeedProductType,0)+1,FALSE)&gt;0,1,0)</formula>
    </cfRule>
    <cfRule type="expression" dxfId="1" priority="586" stopIfTrue="1">
      <formula>IF(VLOOKUP($DB$3,preferredAttributePTDMap,MATCH($A4,attributeMapFeedProductType,0)+1,FALSE)&gt;0,1,0)</formula>
    </cfRule>
    <cfRule type="expression" dxfId="0" priority="587"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dxfId="0" priority="588" stopIfTrue="1">
      <formula>AND(AND((0)),1=1)</formula>
    </cfRule>
    <cfRule type="expression" dxfId="0" priority="589" stopIfTrue="1">
      <formula>AND(AND(OR(AND(AND(IF(COUNTIF(CONDITION_LIST_1,DB4)&gt;0,FALSE,TRUE)))),A4&lt;&gt;""))</formula>
    </cfRule>
    <cfRule type="expression" dxfId="4" priority="590" stopIfTrue="1">
      <formula>IF(LEN(DC4)&gt;0,1,0)</formula>
    </cfRule>
    <cfRule type="expression" dxfId="3" priority="591" stopIfTrue="1">
      <formula>IF(VLOOKUP($DC$3,requiredAttributePTDMap,MATCH($A4,attributeMapFeedProductType,0)+1,FALSE)&gt;0,1,0)</formula>
    </cfRule>
    <cfRule type="expression" dxfId="2" priority="592" stopIfTrue="1">
      <formula>IF(VLOOKUP($DC$3,optionalAttributePTDMap,MATCH($A4,attributeMapFeedProductType,0)+1,FALSE)&gt;0,1,0)</formula>
    </cfRule>
    <cfRule type="expression" dxfId="1" priority="593" stopIfTrue="1">
      <formula>IF(VLOOKUP($DC$3,preferredAttributePTDMap,MATCH($A4,attributeMapFeedProductType,0)+1,FALSE)&gt;0,1,0)</formula>
    </cfRule>
    <cfRule type="expression" dxfId="0" priority="594"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dxfId="0" priority="595" stopIfTrue="1">
      <formula>AND(AND((0)),1=1)</formula>
    </cfRule>
    <cfRule type="expression" dxfId="0" priority="596" stopIfTrue="1">
      <formula>AND(AND(OR(AND(AND(IF(COUNTIF(CONDITION_LIST_1,DB4)&gt;0,FALSE,TRUE)))),A4&lt;&gt;""))</formula>
    </cfRule>
    <cfRule type="expression" dxfId="4" priority="597" stopIfTrue="1">
      <formula>IF(LEN(DD4)&gt;0,1,0)</formula>
    </cfRule>
    <cfRule type="expression" dxfId="3" priority="598" stopIfTrue="1">
      <formula>IF(VLOOKUP($DD$3,requiredAttributePTDMap,MATCH($A4,attributeMapFeedProductType,0)+1,FALSE)&gt;0,1,0)</formula>
    </cfRule>
    <cfRule type="expression" dxfId="2" priority="599" stopIfTrue="1">
      <formula>IF(VLOOKUP($DD$3,optionalAttributePTDMap,MATCH($A4,attributeMapFeedProductType,0)+1,FALSE)&gt;0,1,0)</formula>
    </cfRule>
    <cfRule type="expression" dxfId="1" priority="600" stopIfTrue="1">
      <formula>IF(VLOOKUP($DD$3,preferredAttributePTDMap,MATCH($A4,attributeMapFeedProductType,0)+1,FALSE)&gt;0,1,0)</formula>
    </cfRule>
    <cfRule type="expression" dxfId="0" priority="601"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dxfId="0" priority="602" stopIfTrue="1">
      <formula>AND(AND((0)),1=1)</formula>
    </cfRule>
    <cfRule type="expression" dxfId="0" priority="603" stopIfTrue="1">
      <formula>AND(AND(OR(AND(AND(IF(COUNTIF(CONDITION_LIST_1,DB4)&gt;0,FALSE,TRUE)))),A4&lt;&gt;""))</formula>
    </cfRule>
    <cfRule type="expression" dxfId="4" priority="604" stopIfTrue="1">
      <formula>IF(LEN(DE4)&gt;0,1,0)</formula>
    </cfRule>
    <cfRule type="expression" dxfId="3" priority="605" stopIfTrue="1">
      <formula>IF(VLOOKUP($DE$3,requiredAttributePTDMap,MATCH($A4,attributeMapFeedProductType,0)+1,FALSE)&gt;0,1,0)</formula>
    </cfRule>
    <cfRule type="expression" dxfId="2" priority="606" stopIfTrue="1">
      <formula>IF(VLOOKUP($DE$3,optionalAttributePTDMap,MATCH($A4,attributeMapFeedProductType,0)+1,FALSE)&gt;0,1,0)</formula>
    </cfRule>
    <cfRule type="expression" dxfId="1" priority="607" stopIfTrue="1">
      <formula>IF(VLOOKUP($DE$3,preferredAttributePTDMap,MATCH($A4,attributeMapFeedProductType,0)+1,FALSE)&gt;0,1,0)</formula>
    </cfRule>
    <cfRule type="expression" dxfId="0" priority="608"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048576">
    <cfRule type="expression" dxfId="0" priority="609" stopIfTrue="1">
      <formula>AND(AND((0)),1=1)</formula>
    </cfRule>
    <cfRule type="expression" dxfId="0" priority="610" stopIfTrue="1">
      <formula>AND(AND(OR(AND(AND(IF(COUNTIF(CONDITION_LIST_1,DB4)&gt;0,FALSE,TRUE)))),A4&lt;&gt;""))</formula>
    </cfRule>
    <cfRule type="expression" dxfId="4" priority="611" stopIfTrue="1">
      <formula>IF(LEN(DF4)&gt;0,1,0)</formula>
    </cfRule>
    <cfRule type="expression" dxfId="3" priority="612" stopIfTrue="1">
      <formula>IF(VLOOKUP($DF$3,requiredAttributePTDMap,MATCH($A4,attributeMapFeedProductType,0)+1,FALSE)&gt;0,1,0)</formula>
    </cfRule>
    <cfRule type="expression" dxfId="2" priority="613" stopIfTrue="1">
      <formula>IF(VLOOKUP($DF$3,optionalAttributePTDMap,MATCH($A4,attributeMapFeedProductType,0)+1,FALSE)&gt;0,1,0)</formula>
    </cfRule>
    <cfRule type="expression" dxfId="1" priority="614" stopIfTrue="1">
      <formula>IF(VLOOKUP($DF$3,preferredAttributePTDMap,MATCH($A4,attributeMapFeedProductType,0)+1,FALSE)&gt;0,1,0)</formula>
    </cfRule>
    <cfRule type="expression" dxfId="0" priority="615"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048576">
    <cfRule type="expression" dxfId="0" priority="616" stopIfTrue="1">
      <formula>AND(AND((0)),1=1)</formula>
    </cfRule>
    <cfRule type="expression" dxfId="0" priority="617" stopIfTrue="1">
      <formula>AND(AND(OR(AND(AND(IF(COUNTIF(CONDITION_LIST_1,DB4)&gt;0,FALSE,TRUE)))),A4&lt;&gt;""))</formula>
    </cfRule>
    <cfRule type="expression" dxfId="4" priority="618" stopIfTrue="1">
      <formula>IF(LEN(DG4)&gt;0,1,0)</formula>
    </cfRule>
    <cfRule type="expression" dxfId="3" priority="619" stopIfTrue="1">
      <formula>IF(VLOOKUP($DG$3,requiredAttributePTDMap,MATCH($A4,attributeMapFeedProductType,0)+1,FALSE)&gt;0,1,0)</formula>
    </cfRule>
    <cfRule type="expression" dxfId="2" priority="620" stopIfTrue="1">
      <formula>IF(VLOOKUP($DG$3,optionalAttributePTDMap,MATCH($A4,attributeMapFeedProductType,0)+1,FALSE)&gt;0,1,0)</formula>
    </cfRule>
    <cfRule type="expression" dxfId="1" priority="621" stopIfTrue="1">
      <formula>IF(VLOOKUP($DG$3,preferredAttributePTDMap,MATCH($A4,attributeMapFeedProductType,0)+1,FALSE)&gt;0,1,0)</formula>
    </cfRule>
    <cfRule type="expression" dxfId="0" priority="622"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dxfId="0" priority="623" stopIfTrue="1">
      <formula>AND(AND((0)),1=1)</formula>
    </cfRule>
    <cfRule type="expression" dxfId="0" priority="624" stopIfTrue="1">
      <formula>AND(AND(OR(AND(AND(IF(COUNTIF(CONDITION_LIST_1,DB4)&gt;0,FALSE,TRUE)))),A4&lt;&gt;""))</formula>
    </cfRule>
    <cfRule type="expression" dxfId="4" priority="625" stopIfTrue="1">
      <formula>IF(LEN(DH4)&gt;0,1,0)</formula>
    </cfRule>
    <cfRule type="expression" dxfId="3" priority="626" stopIfTrue="1">
      <formula>IF(VLOOKUP($DH$3,requiredAttributePTDMap,MATCH($A4,attributeMapFeedProductType,0)+1,FALSE)&gt;0,1,0)</formula>
    </cfRule>
    <cfRule type="expression" dxfId="2" priority="627" stopIfTrue="1">
      <formula>IF(VLOOKUP($DH$3,optionalAttributePTDMap,MATCH($A4,attributeMapFeedProductType,0)+1,FALSE)&gt;0,1,0)</formula>
    </cfRule>
    <cfRule type="expression" dxfId="1" priority="628" stopIfTrue="1">
      <formula>IF(VLOOKUP($DH$3,preferredAttributePTDMap,MATCH($A4,attributeMapFeedProductType,0)+1,FALSE)&gt;0,1,0)</formula>
    </cfRule>
    <cfRule type="expression" dxfId="0" priority="629"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dxfId="0" priority="630" stopIfTrue="1">
      <formula>AND(AND((0)),1=1)</formula>
    </cfRule>
    <cfRule type="expression" dxfId="0" priority="631" stopIfTrue="1">
      <formula>AND(AND(OR(AND(AND(IF(COUNTIF(CONDITION_LIST_1,DB4)&gt;0,FALSE,TRUE)))),A4&lt;&gt;""))</formula>
    </cfRule>
    <cfRule type="expression" dxfId="4" priority="632" stopIfTrue="1">
      <formula>IF(LEN(DI4)&gt;0,1,0)</formula>
    </cfRule>
    <cfRule type="expression" dxfId="3" priority="633" stopIfTrue="1">
      <formula>IF(VLOOKUP($DI$3,requiredAttributePTDMap,MATCH($A4,attributeMapFeedProductType,0)+1,FALSE)&gt;0,1,0)</formula>
    </cfRule>
    <cfRule type="expression" dxfId="2" priority="634" stopIfTrue="1">
      <formula>IF(VLOOKUP($DI$3,optionalAttributePTDMap,MATCH($A4,attributeMapFeedProductType,0)+1,FALSE)&gt;0,1,0)</formula>
    </cfRule>
    <cfRule type="expression" dxfId="1" priority="635" stopIfTrue="1">
      <formula>IF(VLOOKUP($DI$3,preferredAttributePTDMap,MATCH($A4,attributeMapFeedProductType,0)+1,FALSE)&gt;0,1,0)</formula>
    </cfRule>
    <cfRule type="expression" dxfId="0" priority="636"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dxfId="0" priority="637" stopIfTrue="1">
      <formula>AND(AND((0)),1=1)</formula>
    </cfRule>
    <cfRule type="expression" dxfId="0" priority="638" stopIfTrue="1">
      <formula>AND(AND(OR(AND(AND(IF(COUNTIF(CONDITION_LIST_1,DB4)&gt;0,FALSE,TRUE)))),A4&lt;&gt;""))</formula>
    </cfRule>
    <cfRule type="expression" dxfId="4" priority="639" stopIfTrue="1">
      <formula>IF(LEN(DJ4)&gt;0,1,0)</formula>
    </cfRule>
    <cfRule type="expression" dxfId="3" priority="640" stopIfTrue="1">
      <formula>IF(VLOOKUP($DJ$3,requiredAttributePTDMap,MATCH($A4,attributeMapFeedProductType,0)+1,FALSE)&gt;0,1,0)</formula>
    </cfRule>
    <cfRule type="expression" dxfId="2" priority="641" stopIfTrue="1">
      <formula>IF(VLOOKUP($DJ$3,optionalAttributePTDMap,MATCH($A4,attributeMapFeedProductType,0)+1,FALSE)&gt;0,1,0)</formula>
    </cfRule>
    <cfRule type="expression" dxfId="1" priority="642" stopIfTrue="1">
      <formula>IF(VLOOKUP($DJ$3,preferredAttributePTDMap,MATCH($A4,attributeMapFeedProductType,0)+1,FALSE)&gt;0,1,0)</formula>
    </cfRule>
    <cfRule type="expression" dxfId="0" priority="643"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dxfId="0" priority="644" stopIfTrue="1">
      <formula>AND(AND((0)),1=1)</formula>
    </cfRule>
    <cfRule type="expression" dxfId="0" priority="645" stopIfTrue="1">
      <formula>AND(AND(OR(AND(AND(IF(COUNTIF(CONDITION_LIST_1,DB4)&gt;0,FALSE,TRUE)))),A4&lt;&gt;""))</formula>
    </cfRule>
    <cfRule type="expression" dxfId="4" priority="646" stopIfTrue="1">
      <formula>IF(LEN(DK4)&gt;0,1,0)</formula>
    </cfRule>
    <cfRule type="expression" dxfId="3" priority="647" stopIfTrue="1">
      <formula>IF(VLOOKUP($DK$3,requiredAttributePTDMap,MATCH($A4,attributeMapFeedProductType,0)+1,FALSE)&gt;0,1,0)</formula>
    </cfRule>
    <cfRule type="expression" dxfId="2" priority="648" stopIfTrue="1">
      <formula>IF(VLOOKUP($DK$3,optionalAttributePTDMap,MATCH($A4,attributeMapFeedProductType,0)+1,FALSE)&gt;0,1,0)</formula>
    </cfRule>
    <cfRule type="expression" dxfId="1" priority="649" stopIfTrue="1">
      <formula>IF(VLOOKUP($DK$3,preferredAttributePTDMap,MATCH($A4,attributeMapFeedProductType,0)+1,FALSE)&gt;0,1,0)</formula>
    </cfRule>
    <cfRule type="expression" dxfId="0" priority="650"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dxfId="0" priority="651" stopIfTrue="1">
      <formula>AND(AND((0)),1=1)</formula>
    </cfRule>
    <cfRule type="expression" dxfId="0" priority="652" stopIfTrue="1">
      <formula>AND(AND(OR(AND(AND(IF(COUNTIF(CONDITION_LIST_1,DB4)&gt;0,FALSE,TRUE)))),A4&lt;&gt;""))</formula>
    </cfRule>
    <cfRule type="expression" dxfId="4" priority="653" stopIfTrue="1">
      <formula>IF(LEN(DL4)&gt;0,1,0)</formula>
    </cfRule>
    <cfRule type="expression" dxfId="3" priority="654" stopIfTrue="1">
      <formula>IF(VLOOKUP($DL$3,requiredAttributePTDMap,MATCH($A4,attributeMapFeedProductType,0)+1,FALSE)&gt;0,1,0)</formula>
    </cfRule>
    <cfRule type="expression" dxfId="2" priority="655" stopIfTrue="1">
      <formula>IF(VLOOKUP($DL$3,optionalAttributePTDMap,MATCH($A4,attributeMapFeedProductType,0)+1,FALSE)&gt;0,1,0)</formula>
    </cfRule>
    <cfRule type="expression" dxfId="1" priority="656" stopIfTrue="1">
      <formula>IF(VLOOKUP($DL$3,preferredAttributePTDMap,MATCH($A4,attributeMapFeedProductType,0)+1,FALSE)&gt;0,1,0)</formula>
    </cfRule>
    <cfRule type="expression" dxfId="0" priority="657"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dxfId="0" priority="658" stopIfTrue="1">
      <formula>AND(AND((0)),1=1)</formula>
    </cfRule>
    <cfRule type="expression" dxfId="0" priority="659" stopIfTrue="1">
      <formula>AND(AND(OR(AND(AND(IF(COUNTIF(CONDITION_LIST_1,DB4)&gt;0,FALSE,TRUE)))),A4&lt;&gt;""))</formula>
    </cfRule>
    <cfRule type="expression" dxfId="4" priority="660" stopIfTrue="1">
      <formula>IF(LEN(DM4)&gt;0,1,0)</formula>
    </cfRule>
    <cfRule type="expression" dxfId="3" priority="661" stopIfTrue="1">
      <formula>IF(VLOOKUP($DM$3,requiredAttributePTDMap,MATCH($A4,attributeMapFeedProductType,0)+1,FALSE)&gt;0,1,0)</formula>
    </cfRule>
    <cfRule type="expression" dxfId="2" priority="662" stopIfTrue="1">
      <formula>IF(VLOOKUP($DM$3,optionalAttributePTDMap,MATCH($A4,attributeMapFeedProductType,0)+1,FALSE)&gt;0,1,0)</formula>
    </cfRule>
    <cfRule type="expression" dxfId="1" priority="663" stopIfTrue="1">
      <formula>IF(VLOOKUP($DM$3,preferredAttributePTDMap,MATCH($A4,attributeMapFeedProductType,0)+1,FALSE)&gt;0,1,0)</formula>
    </cfRule>
    <cfRule type="expression" dxfId="0" priority="664"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dxfId="0" priority="665" stopIfTrue="1">
      <formula>AND(AND((0)),1=1)</formula>
    </cfRule>
    <cfRule type="expression" dxfId="0" priority="666" stopIfTrue="1">
      <formula>AND(AND(OR(AND(AND(IF(COUNTIF(CONDITION_LIST_1,DB4)&gt;0,FALSE,TRUE)))),A4&lt;&gt;""))</formula>
    </cfRule>
    <cfRule type="expression" dxfId="4" priority="667" stopIfTrue="1">
      <formula>IF(LEN(DN4)&gt;0,1,0)</formula>
    </cfRule>
    <cfRule type="expression" dxfId="3" priority="668" stopIfTrue="1">
      <formula>IF(VLOOKUP($DN$3,requiredAttributePTDMap,MATCH($A4,attributeMapFeedProductType,0)+1,FALSE)&gt;0,1,0)</formula>
    </cfRule>
    <cfRule type="expression" dxfId="2" priority="669" stopIfTrue="1">
      <formula>IF(VLOOKUP($DN$3,optionalAttributePTDMap,MATCH($A4,attributeMapFeedProductType,0)+1,FALSE)&gt;0,1,0)</formula>
    </cfRule>
    <cfRule type="expression" dxfId="1" priority="670" stopIfTrue="1">
      <formula>IF(VLOOKUP($DN$3,preferredAttributePTDMap,MATCH($A4,attributeMapFeedProductType,0)+1,FALSE)&gt;0,1,0)</formula>
    </cfRule>
    <cfRule type="expression" dxfId="0" priority="671"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dxfId="0" priority="672" stopIfTrue="1">
      <formula>AND(AND((0)),1=1)</formula>
    </cfRule>
    <cfRule type="expression" dxfId="0" priority="673" stopIfTrue="1">
      <formula>AND(AND(OR(AND(AND(IF(COUNTIF(CONDITION_LIST_1,DB4)&gt;0,FALSE,TRUE)))),A4&lt;&gt;""))</formula>
    </cfRule>
    <cfRule type="expression" dxfId="4" priority="674" stopIfTrue="1">
      <formula>IF(LEN(DO4)&gt;0,1,0)</formula>
    </cfRule>
    <cfRule type="expression" dxfId="3" priority="675" stopIfTrue="1">
      <formula>IF(VLOOKUP($DO$3,requiredAttributePTDMap,MATCH($A4,attributeMapFeedProductType,0)+1,FALSE)&gt;0,1,0)</formula>
    </cfRule>
    <cfRule type="expression" dxfId="2" priority="676" stopIfTrue="1">
      <formula>IF(VLOOKUP($DO$3,optionalAttributePTDMap,MATCH($A4,attributeMapFeedProductType,0)+1,FALSE)&gt;0,1,0)</formula>
    </cfRule>
    <cfRule type="expression" dxfId="1" priority="677" stopIfTrue="1">
      <formula>IF(VLOOKUP($DO$3,preferredAttributePTDMap,MATCH($A4,attributeMapFeedProductType,0)+1,FALSE)&gt;0,1,0)</formula>
    </cfRule>
    <cfRule type="expression" dxfId="0" priority="678"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dxfId="0" priority="679" stopIfTrue="1">
      <formula>AND(AND((0)),1=1)</formula>
    </cfRule>
    <cfRule type="expression" dxfId="0" priority="680" stopIfTrue="1">
      <formula>AND(AND(OR(AND(AND(IF(COUNTIF(CONDITION_LIST_1,DB4)&gt;0,FALSE,TRUE)))),A4&lt;&gt;""))</formula>
    </cfRule>
    <cfRule type="expression" dxfId="4" priority="681" stopIfTrue="1">
      <formula>IF(LEN(DP4)&gt;0,1,0)</formula>
    </cfRule>
    <cfRule type="expression" dxfId="3" priority="682" stopIfTrue="1">
      <formula>IF(VLOOKUP($DP$3,requiredAttributePTDMap,MATCH($A4,attributeMapFeedProductType,0)+1,FALSE)&gt;0,1,0)</formula>
    </cfRule>
    <cfRule type="expression" dxfId="2" priority="683" stopIfTrue="1">
      <formula>IF(VLOOKUP($DP$3,optionalAttributePTDMap,MATCH($A4,attributeMapFeedProductType,0)+1,FALSE)&gt;0,1,0)</formula>
    </cfRule>
    <cfRule type="expression" dxfId="1" priority="684" stopIfTrue="1">
      <formula>IF(VLOOKUP($DP$3,preferredAttributePTDMap,MATCH($A4,attributeMapFeedProductType,0)+1,FALSE)&gt;0,1,0)</formula>
    </cfRule>
    <cfRule type="expression" dxfId="0" priority="685"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048576">
    <cfRule type="expression" dxfId="0" priority="686" stopIfTrue="1">
      <formula>AND(AND((0)),1=1)</formula>
    </cfRule>
    <cfRule type="expression" dxfId="0" priority="687" stopIfTrue="1">
      <formula>AND(AND(OR(AND(AND(IF(COUNTIF(CONDITION_LIST_1,DB4)&gt;0,FALSE,TRUE)))),A4&lt;&gt;""))</formula>
    </cfRule>
    <cfRule type="expression" dxfId="4" priority="688" stopIfTrue="1">
      <formula>IF(LEN(DQ4)&gt;0,1,0)</formula>
    </cfRule>
    <cfRule type="expression" dxfId="3" priority="689" stopIfTrue="1">
      <formula>IF(VLOOKUP($DQ$3,requiredAttributePTDMap,MATCH($A4,attributeMapFeedProductType,0)+1,FALSE)&gt;0,1,0)</formula>
    </cfRule>
    <cfRule type="expression" dxfId="2" priority="690" stopIfTrue="1">
      <formula>IF(VLOOKUP($DQ$3,optionalAttributePTDMap,MATCH($A4,attributeMapFeedProductType,0)+1,FALSE)&gt;0,1,0)</formula>
    </cfRule>
    <cfRule type="expression" dxfId="1" priority="691" stopIfTrue="1">
      <formula>IF(VLOOKUP($DQ$3,preferredAttributePTDMap,MATCH($A4,attributeMapFeedProductType,0)+1,FALSE)&gt;0,1,0)</formula>
    </cfRule>
    <cfRule type="expression" dxfId="0" priority="692"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dxfId="0" priority="693" stopIfTrue="1">
      <formula>AND(AND((0)),1=1)</formula>
    </cfRule>
    <cfRule type="expression" dxfId="0" priority="694" stopIfTrue="1">
      <formula>AND(AND(OR(AND(OR(OR(NOT(CP4&lt;&gt;"DEFAULT"),CP4="")))),A4&lt;&gt;""))</formula>
    </cfRule>
    <cfRule type="expression" dxfId="4" priority="695" stopIfTrue="1">
      <formula>IF(LEN(DR4)&gt;0,1,0)</formula>
    </cfRule>
    <cfRule type="expression" dxfId="3" priority="696" stopIfTrue="1">
      <formula>IF(VLOOKUP($DR$3,requiredAttributePTDMap,MATCH($A4,attributeMapFeedProductType,0)+1,FALSE)&gt;0,1,0)</formula>
    </cfRule>
    <cfRule type="expression" dxfId="2" priority="697" stopIfTrue="1">
      <formula>IF(VLOOKUP($DR$3,optionalAttributePTDMap,MATCH($A4,attributeMapFeedProductType,0)+1,FALSE)&gt;0,1,0)</formula>
    </cfRule>
    <cfRule type="expression" dxfId="1" priority="698" stopIfTrue="1">
      <formula>IF(VLOOKUP($DR$3,preferredAttributePTDMap,MATCH($A4,attributeMapFeedProductType,0)+1,FALSE)&gt;0,1,0)</formula>
    </cfRule>
    <cfRule type="expression" dxfId="0" priority="699"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dxfId="0" priority="700" stopIfTrue="1">
      <formula>AND(AND((0)),1=1)</formula>
    </cfRule>
    <cfRule type="expression" dxfId="0" priority="701" stopIfTrue="1">
      <formula>AND(AND(OR(AND(OR(OR(NOT(CP4&lt;&gt;"DEFAULT"),CP4="")))),A4&lt;&gt;""))</formula>
    </cfRule>
    <cfRule type="expression" dxfId="4" priority="702" stopIfTrue="1">
      <formula>IF(LEN(DS4)&gt;0,1,0)</formula>
    </cfRule>
    <cfRule type="expression" dxfId="3" priority="703" stopIfTrue="1">
      <formula>IF(VLOOKUP($DS$3,requiredAttributePTDMap,MATCH($A4,attributeMapFeedProductType,0)+1,FALSE)&gt;0,1,0)</formula>
    </cfRule>
    <cfRule type="expression" dxfId="2" priority="704" stopIfTrue="1">
      <formula>IF(VLOOKUP($DS$3,optionalAttributePTDMap,MATCH($A4,attributeMapFeedProductType,0)+1,FALSE)&gt;0,1,0)</formula>
    </cfRule>
    <cfRule type="expression" dxfId="1" priority="705" stopIfTrue="1">
      <formula>IF(VLOOKUP($DS$3,preferredAttributePTDMap,MATCH($A4,attributeMapFeedProductType,0)+1,FALSE)&gt;0,1,0)</formula>
    </cfRule>
    <cfRule type="expression" dxfId="0" priority="706"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dxfId="0" priority="707" stopIfTrue="1">
      <formula>AND(AND((0)),1=1)</formula>
    </cfRule>
    <cfRule type="expression" dxfId="0" priority="708" stopIfTrue="1">
      <formula>AND(AND(OR(AND(OR(OR(NOT(CP4&lt;&gt;"DEFAULT"),CP4="")))),A4&lt;&gt;""))</formula>
    </cfRule>
    <cfRule type="expression" dxfId="4" priority="709" stopIfTrue="1">
      <formula>IF(LEN(DT4)&gt;0,1,0)</formula>
    </cfRule>
    <cfRule type="expression" dxfId="3" priority="710" stopIfTrue="1">
      <formula>IF(VLOOKUP($DT$3,requiredAttributePTDMap,MATCH($A4,attributeMapFeedProductType,0)+1,FALSE)&gt;0,1,0)</formula>
    </cfRule>
    <cfRule type="expression" dxfId="2" priority="711" stopIfTrue="1">
      <formula>IF(VLOOKUP($DT$3,optionalAttributePTDMap,MATCH($A4,attributeMapFeedProductType,0)+1,FALSE)&gt;0,1,0)</formula>
    </cfRule>
    <cfRule type="expression" dxfId="1" priority="712" stopIfTrue="1">
      <formula>IF(VLOOKUP($DT$3,preferredAttributePTDMap,MATCH($A4,attributeMapFeedProductType,0)+1,FALSE)&gt;0,1,0)</formula>
    </cfRule>
    <cfRule type="expression" dxfId="0" priority="713"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dxfId="0" priority="714" stopIfTrue="1">
      <formula>AND(AND((0)),1=1)</formula>
    </cfRule>
    <cfRule type="expression" dxfId="0" priority="715" stopIfTrue="1">
      <formula>AND(AND(OR(AND(OR(OR(NOT(CP4&lt;&gt;"DEFAULT"),CP4="")))),A4&lt;&gt;""))</formula>
    </cfRule>
    <cfRule type="expression" dxfId="4" priority="716" stopIfTrue="1">
      <formula>IF(LEN(DU4)&gt;0,1,0)</formula>
    </cfRule>
    <cfRule type="expression" dxfId="3" priority="717" stopIfTrue="1">
      <formula>IF(VLOOKUP($DU$3,requiredAttributePTDMap,MATCH($A4,attributeMapFeedProductType,0)+1,FALSE)&gt;0,1,0)</formula>
    </cfRule>
    <cfRule type="expression" dxfId="2" priority="718" stopIfTrue="1">
      <formula>IF(VLOOKUP($DU$3,optionalAttributePTDMap,MATCH($A4,attributeMapFeedProductType,0)+1,FALSE)&gt;0,1,0)</formula>
    </cfRule>
    <cfRule type="expression" dxfId="1" priority="719" stopIfTrue="1">
      <formula>IF(VLOOKUP($DU$3,preferredAttributePTDMap,MATCH($A4,attributeMapFeedProductType,0)+1,FALSE)&gt;0,1,0)</formula>
    </cfRule>
    <cfRule type="expression" dxfId="0" priority="720"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dxfId="0" priority="721" stopIfTrue="1">
      <formula>AND(AND((0)),1=1)</formula>
    </cfRule>
    <cfRule type="expression" dxfId="0" priority="722" stopIfTrue="1">
      <formula>AND(AND(OR(AND(OR(OR(NOT(CP4&lt;&gt;"DEFAULT"),CP4="")))),A4&lt;&gt;""))</formula>
    </cfRule>
    <cfRule type="expression" dxfId="4" priority="723" stopIfTrue="1">
      <formula>IF(LEN(DV4)&gt;0,1,0)</formula>
    </cfRule>
    <cfRule type="expression" dxfId="3" priority="724" stopIfTrue="1">
      <formula>IF(VLOOKUP($DV$3,requiredAttributePTDMap,MATCH($A4,attributeMapFeedProductType,0)+1,FALSE)&gt;0,1,0)</formula>
    </cfRule>
    <cfRule type="expression" dxfId="2" priority="725" stopIfTrue="1">
      <formula>IF(VLOOKUP($DV$3,optionalAttributePTDMap,MATCH($A4,attributeMapFeedProductType,0)+1,FALSE)&gt;0,1,0)</formula>
    </cfRule>
    <cfRule type="expression" dxfId="1" priority="726" stopIfTrue="1">
      <formula>IF(VLOOKUP($DV$3,preferredAttributePTDMap,MATCH($A4,attributeMapFeedProductType,0)+1,FALSE)&gt;0,1,0)</formula>
    </cfRule>
    <cfRule type="expression" dxfId="0" priority="727"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dxfId="0" priority="728" stopIfTrue="1">
      <formula>AND(AND((0)),1=1)</formula>
    </cfRule>
    <cfRule type="expression" dxfId="0" priority="729" stopIfTrue="1">
      <formula>AND(AND(OR(AND(AND(IF(COUNTIF(CONDITION_LIST_2,DR4)&gt;0,FALSE,TRUE)),AND(IF(COUNTIF(CONDITION_LIST_2,DS4)&gt;0,FALSE,TRUE)),AND(IF(COUNTIF(CONDITION_LIST_2,DT4)&gt;0,FALSE,TRUE)),AND(IF(COUNTIF(CONDITION_LIST_2,DU4)&gt;0,FALSE,TRUE)),AND(IF(COUNTIF(CONDITION_LIST_2,DV4)&gt;0,FALSE,TRUE)))),A4&lt;&gt;""))</formula>
    </cfRule>
    <cfRule type="expression" dxfId="4" priority="730" stopIfTrue="1">
      <formula>IF(LEN(DW4)&gt;0,1,0)</formula>
    </cfRule>
    <cfRule type="expression" dxfId="3" priority="731" stopIfTrue="1">
      <formula>IF(VLOOKUP($DW$3,requiredAttributePTDMap,MATCH($A4,attributeMapFeedProductType,0)+1,FALSE)&gt;0,1,0)</formula>
    </cfRule>
    <cfRule type="expression" dxfId="2" priority="732" stopIfTrue="1">
      <formula>IF(VLOOKUP($DW$3,optionalAttributePTDMap,MATCH($A4,attributeMapFeedProductType,0)+1,FALSE)&gt;0,1,0)</formula>
    </cfRule>
    <cfRule type="expression" dxfId="1" priority="733" stopIfTrue="1">
      <formula>IF(VLOOKUP($DW$3,preferredAttributePTDMap,MATCH($A4,attributeMapFeedProductType,0)+1,FALSE)&gt;0,1,0)</formula>
    </cfRule>
    <cfRule type="expression" dxfId="0" priority="734"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dxfId="0" priority="735" stopIfTrue="1">
      <formula>AND(AND((0)),1=1)</formula>
    </cfRule>
    <cfRule type="expression" dxfId="0" priority="736" stopIfTrue="1">
      <formula>AND(AND(OR(AND(OR(OR(NOT(DR4&lt;&gt;"GHS"),DR4="")),OR(OR(NOT(DS4&lt;&gt;"GHS"),DS4="")),OR(OR(NOT(DT4&lt;&gt;"GHS"),DT4="")),OR(OR(NOT(DU4&lt;&gt;"GHS"),DU4="")),OR(OR(NOT(DV4&lt;&gt;"GHS"),DV4="")))),A4&lt;&gt;""))</formula>
    </cfRule>
    <cfRule type="expression" dxfId="4" priority="737" stopIfTrue="1">
      <formula>IF(LEN(DX4)&gt;0,1,0)</formula>
    </cfRule>
    <cfRule type="expression" dxfId="3" priority="738" stopIfTrue="1">
      <formula>IF(VLOOKUP($DX$3,requiredAttributePTDMap,MATCH($A4,attributeMapFeedProductType,0)+1,FALSE)&gt;0,1,0)</formula>
    </cfRule>
    <cfRule type="expression" dxfId="2" priority="739" stopIfTrue="1">
      <formula>IF(VLOOKUP($DX$3,optionalAttributePTDMap,MATCH($A4,attributeMapFeedProductType,0)+1,FALSE)&gt;0,1,0)</formula>
    </cfRule>
    <cfRule type="expression" dxfId="1" priority="740" stopIfTrue="1">
      <formula>IF(VLOOKUP($DX$3,preferredAttributePTDMap,MATCH($A4,attributeMapFeedProductType,0)+1,FALSE)&gt;0,1,0)</formula>
    </cfRule>
    <cfRule type="expression" dxfId="0" priority="741"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dxfId="0" priority="742" stopIfTrue="1">
      <formula>AND(AND((0)),1=1)</formula>
    </cfRule>
    <cfRule type="expression" dxfId="0" priority="743" stopIfTrue="1">
      <formula>AND(AND(OR(AND(OR(OR(NOT(DR4&lt;&gt;"not_applicable"),DR4="")),OR(OR(NOT(DS4&lt;&gt;"not_applicable"),DS4="")),OR(OR(NOT(DT4&lt;&gt;"not_applicable"),DT4="")),OR(OR(NOT(DU4&lt;&gt;"not_applicable"),DU4="")),OR(OR(NOT(DV4&lt;&gt;"not_applicable"),DV4="")))),A4&lt;&gt;""))</formula>
    </cfRule>
    <cfRule type="expression" dxfId="4" priority="744" stopIfTrue="1">
      <formula>IF(LEN(DY4)&gt;0,1,0)</formula>
    </cfRule>
    <cfRule type="expression" dxfId="3" priority="745" stopIfTrue="1">
      <formula>IF(VLOOKUP($DY$3,requiredAttributePTDMap,MATCH($A4,attributeMapFeedProductType,0)+1,FALSE)&gt;0,1,0)</formula>
    </cfRule>
    <cfRule type="expression" dxfId="2" priority="746" stopIfTrue="1">
      <formula>IF(VLOOKUP($DY$3,optionalAttributePTDMap,MATCH($A4,attributeMapFeedProductType,0)+1,FALSE)&gt;0,1,0)</formula>
    </cfRule>
    <cfRule type="expression" dxfId="1" priority="747" stopIfTrue="1">
      <formula>IF(VLOOKUP($DY$3,preferredAttributePTDMap,MATCH($A4,attributeMapFeedProductType,0)+1,FALSE)&gt;0,1,0)</formula>
    </cfRule>
    <cfRule type="expression" dxfId="0" priority="748"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dxfId="0" priority="749" stopIfTrue="1">
      <formula>AND(AND((0)),1=1)</formula>
    </cfRule>
    <cfRule type="expression" dxfId="0" priority="750" stopIfTrue="1">
      <formula>AND(AND(OR(AND(OR(OR(NOT(DR4&lt;&gt;"not_applicable"),DR4="")),OR(OR(NOT(DS4&lt;&gt;"not_applicable"),DS4="")),OR(OR(NOT(DT4&lt;&gt;"not_applicable"),DT4="")),OR(OR(NOT(DU4&lt;&gt;"not_applicable"),DU4="")),OR(OR(NOT(DV4&lt;&gt;"not_applicable"),DV4="")))),A4&lt;&gt;""))</formula>
    </cfRule>
    <cfRule type="expression" dxfId="4" priority="751" stopIfTrue="1">
      <formula>IF(LEN(DZ4)&gt;0,1,0)</formula>
    </cfRule>
    <cfRule type="expression" dxfId="3" priority="752" stopIfTrue="1">
      <formula>IF(VLOOKUP($DZ$3,requiredAttributePTDMap,MATCH($A4,attributeMapFeedProductType,0)+1,FALSE)&gt;0,1,0)</formula>
    </cfRule>
    <cfRule type="expression" dxfId="2" priority="753" stopIfTrue="1">
      <formula>IF(VLOOKUP($DZ$3,optionalAttributePTDMap,MATCH($A4,attributeMapFeedProductType,0)+1,FALSE)&gt;0,1,0)</formula>
    </cfRule>
    <cfRule type="expression" dxfId="1" priority="754" stopIfTrue="1">
      <formula>IF(VLOOKUP($DZ$3,preferredAttributePTDMap,MATCH($A4,attributeMapFeedProductType,0)+1,FALSE)&gt;0,1,0)</formula>
    </cfRule>
    <cfRule type="expression" dxfId="0" priority="755"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dxfId="0" priority="756" stopIfTrue="1">
      <formula>AND(AND((0)),1=1)</formula>
    </cfRule>
    <cfRule type="expression" dxfId="0" priority="757" stopIfTrue="1">
      <formula>AND(AND(OR(AND(OR(OR(NOT(DR4&lt;&gt;"not_applicable"),DR4="")),OR(OR(NOT(DS4&lt;&gt;"not_applicable"),DS4="")),OR(OR(NOT(DT4&lt;&gt;"not_applicable"),DT4="")),OR(OR(NOT(DU4&lt;&gt;"not_applicable"),DU4="")),OR(OR(NOT(DV4&lt;&gt;"not_applicable"),DV4="")))),A4&lt;&gt;""))</formula>
    </cfRule>
    <cfRule type="expression" dxfId="4" priority="758" stopIfTrue="1">
      <formula>IF(LEN(EA4)&gt;0,1,0)</formula>
    </cfRule>
    <cfRule type="expression" dxfId="3" priority="759" stopIfTrue="1">
      <formula>IF(VLOOKUP($EA$3,requiredAttributePTDMap,MATCH($A4,attributeMapFeedProductType,0)+1,FALSE)&gt;0,1,0)</formula>
    </cfRule>
    <cfRule type="expression" dxfId="2" priority="760" stopIfTrue="1">
      <formula>IF(VLOOKUP($EA$3,optionalAttributePTDMap,MATCH($A4,attributeMapFeedProductType,0)+1,FALSE)&gt;0,1,0)</formula>
    </cfRule>
    <cfRule type="expression" dxfId="1" priority="761" stopIfTrue="1">
      <formula>IF(VLOOKUP($EA$3,preferredAttributePTDMap,MATCH($A4,attributeMapFeedProductType,0)+1,FALSE)&gt;0,1,0)</formula>
    </cfRule>
    <cfRule type="expression" dxfId="0" priority="762"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dxfId="0" priority="763" stopIfTrue="1">
      <formula>AND(AND((0)),1=1)</formula>
    </cfRule>
    <cfRule type="expression" dxfId="0" priority="764" stopIfTrue="1">
      <formula>AND(AND(OR(AND(OR(OR(NOT(DR4&lt;&gt;"not_applicable"),DR4="")),OR(OR(NOT(DS4&lt;&gt;"not_applicable"),DS4="")),OR(OR(NOT(DT4&lt;&gt;"not_applicable"),DT4="")),OR(OR(NOT(DU4&lt;&gt;"not_applicable"),DU4="")),OR(OR(NOT(DV4&lt;&gt;"not_applicable"),DV4="")))),A4&lt;&gt;""))</formula>
    </cfRule>
    <cfRule type="expression" dxfId="4" priority="765" stopIfTrue="1">
      <formula>IF(LEN(EB4)&gt;0,1,0)</formula>
    </cfRule>
    <cfRule type="expression" dxfId="3" priority="766" stopIfTrue="1">
      <formula>IF(VLOOKUP($EB$3,requiredAttributePTDMap,MATCH($A4,attributeMapFeedProductType,0)+1,FALSE)&gt;0,1,0)</formula>
    </cfRule>
    <cfRule type="expression" dxfId="2" priority="767" stopIfTrue="1">
      <formula>IF(VLOOKUP($EB$3,optionalAttributePTDMap,MATCH($A4,attributeMapFeedProductType,0)+1,FALSE)&gt;0,1,0)</formula>
    </cfRule>
    <cfRule type="expression" dxfId="1" priority="768" stopIfTrue="1">
      <formula>IF(VLOOKUP($EB$3,preferredAttributePTDMap,MATCH($A4,attributeMapFeedProductType,0)+1,FALSE)&gt;0,1,0)</formula>
    </cfRule>
    <cfRule type="expression" dxfId="0" priority="769"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dxfId="4" priority="770" stopIfTrue="1">
      <formula>IF(LEN(EC4)&gt;0,1,0)</formula>
    </cfRule>
    <cfRule type="expression" dxfId="3" priority="771" stopIfTrue="1">
      <formula>IF(VLOOKUP($EC$3,requiredAttributePTDMap,MATCH($A4,attributeMapFeedProductType,0)+1,FALSE)&gt;0,1,0)</formula>
    </cfRule>
    <cfRule type="expression" dxfId="2" priority="772" stopIfTrue="1">
      <formula>IF(VLOOKUP($EC$3,optionalAttributePTDMap,MATCH($A4,attributeMapFeedProductType,0)+1,FALSE)&gt;0,1,0)</formula>
    </cfRule>
    <cfRule type="expression" dxfId="1" priority="773" stopIfTrue="1">
      <formula>IF(VLOOKUP($EC$3,preferredAttributePTDMap,MATCH($A4,attributeMapFeedProductType,0)+1,FALSE)&gt;0,1,0)</formula>
    </cfRule>
    <cfRule type="expression" dxfId="0" priority="774"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dxfId="4" priority="775" stopIfTrue="1">
      <formula>IF(LEN(ED4)&gt;0,1,0)</formula>
    </cfRule>
    <cfRule type="expression" dxfId="3" priority="776" stopIfTrue="1">
      <formula>IF(VLOOKUP($ED$3,requiredAttributePTDMap,MATCH($A4,attributeMapFeedProductType,0)+1,FALSE)&gt;0,1,0)</formula>
    </cfRule>
    <cfRule type="expression" dxfId="2" priority="777" stopIfTrue="1">
      <formula>IF(VLOOKUP($ED$3,optionalAttributePTDMap,MATCH($A4,attributeMapFeedProductType,0)+1,FALSE)&gt;0,1,0)</formula>
    </cfRule>
    <cfRule type="expression" dxfId="1" priority="778" stopIfTrue="1">
      <formula>IF(VLOOKUP($ED$3,preferredAttributePTDMap,MATCH($A4,attributeMapFeedProductType,0)+1,FALSE)&gt;0,1,0)</formula>
    </cfRule>
    <cfRule type="expression" dxfId="0" priority="779"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dxfId="4" priority="780" stopIfTrue="1">
      <formula>IF(LEN(EE4)&gt;0,1,0)</formula>
    </cfRule>
    <cfRule type="expression" dxfId="3" priority="781" stopIfTrue="1">
      <formula>IF(VLOOKUP($EE$3,requiredAttributePTDMap,MATCH($A4,attributeMapFeedProductType,0)+1,FALSE)&gt;0,1,0)</formula>
    </cfRule>
    <cfRule type="expression" dxfId="2" priority="782" stopIfTrue="1">
      <formula>IF(VLOOKUP($EE$3,optionalAttributePTDMap,MATCH($A4,attributeMapFeedProductType,0)+1,FALSE)&gt;0,1,0)</formula>
    </cfRule>
    <cfRule type="expression" dxfId="1" priority="783" stopIfTrue="1">
      <formula>IF(VLOOKUP($EE$3,preferredAttributePTDMap,MATCH($A4,attributeMapFeedProductType,0)+1,FALSE)&gt;0,1,0)</formula>
    </cfRule>
    <cfRule type="expression" dxfId="0" priority="784"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dxfId="4" priority="785" stopIfTrue="1">
      <formula>IF(LEN(EF4)&gt;0,1,0)</formula>
    </cfRule>
    <cfRule type="expression" dxfId="3" priority="786" stopIfTrue="1">
      <formula>IF(VLOOKUP($EF$3,requiredAttributePTDMap,MATCH($A4,attributeMapFeedProductType,0)+1,FALSE)&gt;0,1,0)</formula>
    </cfRule>
    <cfRule type="expression" dxfId="2" priority="787" stopIfTrue="1">
      <formula>IF(VLOOKUP($EF$3,optionalAttributePTDMap,MATCH($A4,attributeMapFeedProductType,0)+1,FALSE)&gt;0,1,0)</formula>
    </cfRule>
    <cfRule type="expression" dxfId="1" priority="788" stopIfTrue="1">
      <formula>IF(VLOOKUP($EF$3,preferredAttributePTDMap,MATCH($A4,attributeMapFeedProductType,0)+1,FALSE)&gt;0,1,0)</formula>
    </cfRule>
    <cfRule type="expression" dxfId="0" priority="789"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dxfId="4" priority="790" stopIfTrue="1">
      <formula>IF(LEN(EG4)&gt;0,1,0)</formula>
    </cfRule>
    <cfRule type="expression" dxfId="3" priority="791" stopIfTrue="1">
      <formula>IF(VLOOKUP($EG$3,requiredAttributePTDMap,MATCH($A4,attributeMapFeedProductType,0)+1,FALSE)&gt;0,1,0)</formula>
    </cfRule>
    <cfRule type="expression" dxfId="2" priority="792" stopIfTrue="1">
      <formula>IF(VLOOKUP($EG$3,optionalAttributePTDMap,MATCH($A4,attributeMapFeedProductType,0)+1,FALSE)&gt;0,1,0)</formula>
    </cfRule>
    <cfRule type="expression" dxfId="1" priority="793" stopIfTrue="1">
      <formula>IF(VLOOKUP($EG$3,preferredAttributePTDMap,MATCH($A4,attributeMapFeedProductType,0)+1,FALSE)&gt;0,1,0)</formula>
    </cfRule>
    <cfRule type="expression" dxfId="0" priority="794"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dxfId="4" priority="795" stopIfTrue="1">
      <formula>IF(LEN(EH4)&gt;0,1,0)</formula>
    </cfRule>
    <cfRule type="expression" dxfId="3" priority="796" stopIfTrue="1">
      <formula>IF(VLOOKUP($EH$3,requiredAttributePTDMap,MATCH($A4,attributeMapFeedProductType,0)+1,FALSE)&gt;0,1,0)</formula>
    </cfRule>
    <cfRule type="expression" dxfId="2" priority="797" stopIfTrue="1">
      <formula>IF(VLOOKUP($EH$3,optionalAttributePTDMap,MATCH($A4,attributeMapFeedProductType,0)+1,FALSE)&gt;0,1,0)</formula>
    </cfRule>
    <cfRule type="expression" dxfId="1" priority="798" stopIfTrue="1">
      <formula>IF(VLOOKUP($EH$3,preferredAttributePTDMap,MATCH($A4,attributeMapFeedProductType,0)+1,FALSE)&gt;0,1,0)</formula>
    </cfRule>
    <cfRule type="expression" dxfId="0" priority="799"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dxfId="4" priority="800" stopIfTrue="1">
      <formula>IF(LEN(EI4)&gt;0,1,0)</formula>
    </cfRule>
    <cfRule type="expression" dxfId="3" priority="801" stopIfTrue="1">
      <formula>IF(VLOOKUP($EI$3,requiredAttributePTDMap,MATCH($A4,attributeMapFeedProductType,0)+1,FALSE)&gt;0,1,0)</formula>
    </cfRule>
    <cfRule type="expression" dxfId="2" priority="802" stopIfTrue="1">
      <formula>IF(VLOOKUP($EI$3,optionalAttributePTDMap,MATCH($A4,attributeMapFeedProductType,0)+1,FALSE)&gt;0,1,0)</formula>
    </cfRule>
    <cfRule type="expression" dxfId="1" priority="803" stopIfTrue="1">
      <formula>IF(VLOOKUP($EI$3,preferredAttributePTDMap,MATCH($A4,attributeMapFeedProductType,0)+1,FALSE)&gt;0,1,0)</formula>
    </cfRule>
    <cfRule type="expression" dxfId="0" priority="804"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dxfId="4" priority="805" stopIfTrue="1">
      <formula>IF(LEN(EJ4)&gt;0,1,0)</formula>
    </cfRule>
    <cfRule type="expression" dxfId="3" priority="806" stopIfTrue="1">
      <formula>IF(VLOOKUP($EJ$3,requiredAttributePTDMap,MATCH($A4,attributeMapFeedProductType,0)+1,FALSE)&gt;0,1,0)</formula>
    </cfRule>
    <cfRule type="expression" dxfId="2" priority="807" stopIfTrue="1">
      <formula>IF(VLOOKUP($EJ$3,optionalAttributePTDMap,MATCH($A4,attributeMapFeedProductType,0)+1,FALSE)&gt;0,1,0)</formula>
    </cfRule>
    <cfRule type="expression" dxfId="1" priority="808" stopIfTrue="1">
      <formula>IF(VLOOKUP($EJ$3,preferredAttributePTDMap,MATCH($A4,attributeMapFeedProductType,0)+1,FALSE)&gt;0,1,0)</formula>
    </cfRule>
    <cfRule type="expression" dxfId="0" priority="809"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dxfId="0" priority="810" stopIfTrue="1">
      <formula>AND(AND((0)),1=1)</formula>
    </cfRule>
    <cfRule type="expression" dxfId="0" priority="811" stopIfTrue="1">
      <formula>AND(AND(OR(AND(AND(IF(COUNTIF(CONDITION_LIST_3,DR4)&gt;0,FALSE,TRUE)),AND(IF(COUNTIF(CONDITION_LIST_3,DS4)&gt;0,FALSE,TRUE)),AND(IF(COUNTIF(CONDITION_LIST_3,DT4)&gt;0,FALSE,TRUE)),AND(IF(COUNTIF(CONDITION_LIST_3,DU4)&gt;0,FALSE,TRUE)),AND(IF(COUNTIF(CONDITION_LIST_3,DV4)&gt;0,FALSE,TRUE)))),A4&lt;&gt;""))</formula>
    </cfRule>
    <cfRule type="expression" dxfId="4" priority="812" stopIfTrue="1">
      <formula>IF(LEN(EK4)&gt;0,1,0)</formula>
    </cfRule>
    <cfRule type="expression" dxfId="3" priority="813" stopIfTrue="1">
      <formula>IF(VLOOKUP($EK$3,requiredAttributePTDMap,MATCH($A4,attributeMapFeedProductType,0)+1,FALSE)&gt;0,1,0)</formula>
    </cfRule>
    <cfRule type="expression" dxfId="2" priority="814" stopIfTrue="1">
      <formula>IF(VLOOKUP($EK$3,optionalAttributePTDMap,MATCH($A4,attributeMapFeedProductType,0)+1,FALSE)&gt;0,1,0)</formula>
    </cfRule>
    <cfRule type="expression" dxfId="1" priority="815" stopIfTrue="1">
      <formula>IF(VLOOKUP($EK$3,preferredAttributePTDMap,MATCH($A4,attributeMapFeedProductType,0)+1,FALSE)&gt;0,1,0)</formula>
    </cfRule>
    <cfRule type="expression" dxfId="0" priority="816"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dxfId="0" priority="817" stopIfTrue="1">
      <formula>AND(AND((0)),1=1)</formula>
    </cfRule>
    <cfRule type="expression" dxfId="0" priority="818" stopIfTrue="1">
      <formula>AND(AND(OR(AND(AND(IF(COUNTIF(CONDITION_LIST_3,DR4)&gt;0,FALSE,TRUE)),AND(IF(COUNTIF(CONDITION_LIST_3,DS4)&gt;0,FALSE,TRUE)),AND(IF(COUNTIF(CONDITION_LIST_3,DT4)&gt;0,FALSE,TRUE)),AND(IF(COUNTIF(CONDITION_LIST_3,DU4)&gt;0,FALSE,TRUE)),AND(IF(COUNTIF(CONDITION_LIST_3,DV4)&gt;0,FALSE,TRUE)))),A4&lt;&gt;""))</formula>
    </cfRule>
    <cfRule type="expression" dxfId="4" priority="819" stopIfTrue="1">
      <formula>IF(LEN(EL4)&gt;0,1,0)</formula>
    </cfRule>
    <cfRule type="expression" dxfId="3" priority="820" stopIfTrue="1">
      <formula>IF(VLOOKUP($EL$3,requiredAttributePTDMap,MATCH($A4,attributeMapFeedProductType,0)+1,FALSE)&gt;0,1,0)</formula>
    </cfRule>
    <cfRule type="expression" dxfId="2" priority="821" stopIfTrue="1">
      <formula>IF(VLOOKUP($EL$3,optionalAttributePTDMap,MATCH($A4,attributeMapFeedProductType,0)+1,FALSE)&gt;0,1,0)</formula>
    </cfRule>
    <cfRule type="expression" dxfId="1" priority="822" stopIfTrue="1">
      <formula>IF(VLOOKUP($EL$3,preferredAttributePTDMap,MATCH($A4,attributeMapFeedProductType,0)+1,FALSE)&gt;0,1,0)</formula>
    </cfRule>
    <cfRule type="expression" dxfId="0" priority="823"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dxfId="0" priority="824" stopIfTrue="1">
      <formula>AND(AND((0)),1=1)</formula>
    </cfRule>
    <cfRule type="expression" dxfId="0" priority="825" stopIfTrue="1">
      <formula>AND(AND(OR(AND(AND(IF(COUNTIF(CONDITION_LIST_3,DR4)&gt;0,FALSE,TRUE)),AND(IF(COUNTIF(CONDITION_LIST_3,DS4)&gt;0,FALSE,TRUE)),AND(IF(COUNTIF(CONDITION_LIST_3,DT4)&gt;0,FALSE,TRUE)),AND(IF(COUNTIF(CONDITION_LIST_3,DU4)&gt;0,FALSE,TRUE)),AND(IF(COUNTIF(CONDITION_LIST_3,DV4)&gt;0,FALSE,TRUE)))),A4&lt;&gt;""))</formula>
    </cfRule>
    <cfRule type="expression" dxfId="4" priority="826" stopIfTrue="1">
      <formula>IF(LEN(EM4)&gt;0,1,0)</formula>
    </cfRule>
    <cfRule type="expression" dxfId="3" priority="827" stopIfTrue="1">
      <formula>IF(VLOOKUP($EM$3,requiredAttributePTDMap,MATCH($A4,attributeMapFeedProductType,0)+1,FALSE)&gt;0,1,0)</formula>
    </cfRule>
    <cfRule type="expression" dxfId="2" priority="828" stopIfTrue="1">
      <formula>IF(VLOOKUP($EM$3,optionalAttributePTDMap,MATCH($A4,attributeMapFeedProductType,0)+1,FALSE)&gt;0,1,0)</formula>
    </cfRule>
    <cfRule type="expression" dxfId="1" priority="829" stopIfTrue="1">
      <formula>IF(VLOOKUP($EM$3,preferredAttributePTDMap,MATCH($A4,attributeMapFeedProductType,0)+1,FALSE)&gt;0,1,0)</formula>
    </cfRule>
    <cfRule type="expression" dxfId="0" priority="830"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048576">
    <cfRule type="expression" dxfId="4" priority="831" stopIfTrue="1">
      <formula>IF(LEN(EN4)&gt;0,1,0)</formula>
    </cfRule>
    <cfRule type="expression" dxfId="3" priority="832" stopIfTrue="1">
      <formula>IF(VLOOKUP($EN$3,requiredAttributePTDMap,MATCH($A4,attributeMapFeedProductType,0)+1,FALSE)&gt;0,1,0)</formula>
    </cfRule>
    <cfRule type="expression" dxfId="2" priority="833" stopIfTrue="1">
      <formula>IF(VLOOKUP($EN$3,optionalAttributePTDMap,MATCH($A4,attributeMapFeedProductType,0)+1,FALSE)&gt;0,1,0)</formula>
    </cfRule>
    <cfRule type="expression" dxfId="1" priority="834" stopIfTrue="1">
      <formula>IF(VLOOKUP($EN$3,preferredAttributePTDMap,MATCH($A4,attributeMapFeedProductType,0)+1,FALSE)&gt;0,1,0)</formula>
    </cfRule>
    <cfRule type="expression" dxfId="0" priority="835"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dxfId="4" priority="836" stopIfTrue="1">
      <formula>IF(LEN(EO4)&gt;0,1,0)</formula>
    </cfRule>
    <cfRule type="expression" dxfId="3" priority="837" stopIfTrue="1">
      <formula>IF(VLOOKUP($EO$3,requiredAttributePTDMap,MATCH($A4,attributeMapFeedProductType,0)+1,FALSE)&gt;0,1,0)</formula>
    </cfRule>
    <cfRule type="expression" dxfId="2" priority="838" stopIfTrue="1">
      <formula>IF(VLOOKUP($EO$3,optionalAttributePTDMap,MATCH($A4,attributeMapFeedProductType,0)+1,FALSE)&gt;0,1,0)</formula>
    </cfRule>
    <cfRule type="expression" dxfId="1" priority="839" stopIfTrue="1">
      <formula>IF(VLOOKUP($EO$3,preferredAttributePTDMap,MATCH($A4,attributeMapFeedProductType,0)+1,FALSE)&gt;0,1,0)</formula>
    </cfRule>
    <cfRule type="expression" dxfId="0" priority="840"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EP1048576">
    <cfRule type="expression" dxfId="4" priority="841" stopIfTrue="1">
      <formula>IF(LEN(EP4)&gt;0,1,0)</formula>
    </cfRule>
    <cfRule type="expression" dxfId="3" priority="842" stopIfTrue="1">
      <formula>IF(VLOOKUP($EP$3,requiredAttributePTDMap,MATCH($A4,attributeMapFeedProductType,0)+1,FALSE)&gt;0,1,0)</formula>
    </cfRule>
    <cfRule type="expression" dxfId="2" priority="843" stopIfTrue="1">
      <formula>IF(VLOOKUP($EP$3,optionalAttributePTDMap,MATCH($A4,attributeMapFeedProductType,0)+1,FALSE)&gt;0,1,0)</formula>
    </cfRule>
    <cfRule type="expression" dxfId="1" priority="844" stopIfTrue="1">
      <formula>IF(VLOOKUP($EP$3,preferredAttributePTDMap,MATCH($A4,attributeMapFeedProductType,0)+1,FALSE)&gt;0,1,0)</formula>
    </cfRule>
    <cfRule type="expression" dxfId="0" priority="845"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EQ1048576">
    <cfRule type="expression" dxfId="4" priority="846" stopIfTrue="1">
      <formula>IF(LEN(EQ4)&gt;0,1,0)</formula>
    </cfRule>
    <cfRule type="expression" dxfId="3" priority="847" stopIfTrue="1">
      <formula>IF(VLOOKUP($EQ$3,requiredAttributePTDMap,MATCH($A4,attributeMapFeedProductType,0)+1,FALSE)&gt;0,1,0)</formula>
    </cfRule>
    <cfRule type="expression" dxfId="2" priority="848" stopIfTrue="1">
      <formula>IF(VLOOKUP($EQ$3,optionalAttributePTDMap,MATCH($A4,attributeMapFeedProductType,0)+1,FALSE)&gt;0,1,0)</formula>
    </cfRule>
    <cfRule type="expression" dxfId="1" priority="849" stopIfTrue="1">
      <formula>IF(VLOOKUP($EQ$3,preferredAttributePTDMap,MATCH($A4,attributeMapFeedProductType,0)+1,FALSE)&gt;0,1,0)</formula>
    </cfRule>
    <cfRule type="expression" dxfId="0" priority="850"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ER1048576">
    <cfRule type="expression" dxfId="4" priority="851" stopIfTrue="1">
      <formula>IF(LEN(ER4)&gt;0,1,0)</formula>
    </cfRule>
    <cfRule type="expression" dxfId="3" priority="852" stopIfTrue="1">
      <formula>IF(VLOOKUP($ER$3,requiredAttributePTDMap,MATCH($A4,attributeMapFeedProductType,0)+1,FALSE)&gt;0,1,0)</formula>
    </cfRule>
    <cfRule type="expression" dxfId="2" priority="853" stopIfTrue="1">
      <formula>IF(VLOOKUP($ER$3,optionalAttributePTDMap,MATCH($A4,attributeMapFeedProductType,0)+1,FALSE)&gt;0,1,0)</formula>
    </cfRule>
    <cfRule type="expression" dxfId="1" priority="854" stopIfTrue="1">
      <formula>IF(VLOOKUP($ER$3,preferredAttributePTDMap,MATCH($A4,attributeMapFeedProductType,0)+1,FALSE)&gt;0,1,0)</formula>
    </cfRule>
    <cfRule type="expression" dxfId="0" priority="855"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ES1048576">
    <cfRule type="expression" dxfId="4" priority="856" stopIfTrue="1">
      <formula>IF(LEN(ES4)&gt;0,1,0)</formula>
    </cfRule>
    <cfRule type="expression" dxfId="3" priority="857" stopIfTrue="1">
      <formula>IF(VLOOKUP($ES$3,requiredAttributePTDMap,MATCH($A4,attributeMapFeedProductType,0)+1,FALSE)&gt;0,1,0)</formula>
    </cfRule>
    <cfRule type="expression" dxfId="2" priority="858" stopIfTrue="1">
      <formula>IF(VLOOKUP($ES$3,optionalAttributePTDMap,MATCH($A4,attributeMapFeedProductType,0)+1,FALSE)&gt;0,1,0)</formula>
    </cfRule>
    <cfRule type="expression" dxfId="1" priority="859" stopIfTrue="1">
      <formula>IF(VLOOKUP($ES$3,preferredAttributePTDMap,MATCH($A4,attributeMapFeedProductType,0)+1,FALSE)&gt;0,1,0)</formula>
    </cfRule>
    <cfRule type="expression" dxfId="0" priority="860"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ET1048576">
    <cfRule type="expression" dxfId="4" priority="861" stopIfTrue="1">
      <formula>IF(LEN(ET4)&gt;0,1,0)</formula>
    </cfRule>
    <cfRule type="expression" dxfId="3" priority="862" stopIfTrue="1">
      <formula>IF(VLOOKUP($ET$3,requiredAttributePTDMap,MATCH($A4,attributeMapFeedProductType,0)+1,FALSE)&gt;0,1,0)</formula>
    </cfRule>
    <cfRule type="expression" dxfId="2" priority="863" stopIfTrue="1">
      <formula>IF(VLOOKUP($ET$3,optionalAttributePTDMap,MATCH($A4,attributeMapFeedProductType,0)+1,FALSE)&gt;0,1,0)</formula>
    </cfRule>
    <cfRule type="expression" dxfId="1" priority="864" stopIfTrue="1">
      <formula>IF(VLOOKUP($ET$3,preferredAttributePTDMap,MATCH($A4,attributeMapFeedProductType,0)+1,FALSE)&gt;0,1,0)</formula>
    </cfRule>
    <cfRule type="expression" dxfId="0" priority="865"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EU1048576">
    <cfRule type="expression" dxfId="4" priority="866" stopIfTrue="1">
      <formula>IF(LEN(EU4)&gt;0,1,0)</formula>
    </cfRule>
    <cfRule type="expression" dxfId="3" priority="867" stopIfTrue="1">
      <formula>IF(VLOOKUP($EU$3,requiredAttributePTDMap,MATCH($A4,attributeMapFeedProductType,0)+1,FALSE)&gt;0,1,0)</formula>
    </cfRule>
    <cfRule type="expression" dxfId="2" priority="868" stopIfTrue="1">
      <formula>IF(VLOOKUP($EU$3,optionalAttributePTDMap,MATCH($A4,attributeMapFeedProductType,0)+1,FALSE)&gt;0,1,0)</formula>
    </cfRule>
    <cfRule type="expression" dxfId="1" priority="869" stopIfTrue="1">
      <formula>IF(VLOOKUP($EU$3,preferredAttributePTDMap,MATCH($A4,attributeMapFeedProductType,0)+1,FALSE)&gt;0,1,0)</formula>
    </cfRule>
    <cfRule type="expression" dxfId="0" priority="870"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EV1048576">
    <cfRule type="expression" dxfId="4" priority="871" stopIfTrue="1">
      <formula>IF(LEN(EV4)&gt;0,1,0)</formula>
    </cfRule>
    <cfRule type="expression" dxfId="3" priority="872" stopIfTrue="1">
      <formula>IF(VLOOKUP($EV$3,requiredAttributePTDMap,MATCH($A4,attributeMapFeedProductType,0)+1,FALSE)&gt;0,1,0)</formula>
    </cfRule>
    <cfRule type="expression" dxfId="2" priority="873" stopIfTrue="1">
      <formula>IF(VLOOKUP($EV$3,optionalAttributePTDMap,MATCH($A4,attributeMapFeedProductType,0)+1,FALSE)&gt;0,1,0)</formula>
    </cfRule>
    <cfRule type="expression" dxfId="1" priority="874" stopIfTrue="1">
      <formula>IF(VLOOKUP($EV$3,preferredAttributePTDMap,MATCH($A4,attributeMapFeedProductType,0)+1,FALSE)&gt;0,1,0)</formula>
    </cfRule>
    <cfRule type="expression" dxfId="0" priority="875"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EW1048576">
    <cfRule type="expression" dxfId="4" priority="876" stopIfTrue="1">
      <formula>IF(LEN(EW4)&gt;0,1,0)</formula>
    </cfRule>
    <cfRule type="expression" dxfId="3" priority="877" stopIfTrue="1">
      <formula>IF(VLOOKUP($EW$3,requiredAttributePTDMap,MATCH($A4,attributeMapFeedProductType,0)+1,FALSE)&gt;0,1,0)</formula>
    </cfRule>
    <cfRule type="expression" dxfId="2" priority="878" stopIfTrue="1">
      <formula>IF(VLOOKUP($EW$3,optionalAttributePTDMap,MATCH($A4,attributeMapFeedProductType,0)+1,FALSE)&gt;0,1,0)</formula>
    </cfRule>
    <cfRule type="expression" dxfId="1" priority="879" stopIfTrue="1">
      <formula>IF(VLOOKUP($EW$3,preferredAttributePTDMap,MATCH($A4,attributeMapFeedProductType,0)+1,FALSE)&gt;0,1,0)</formula>
    </cfRule>
    <cfRule type="expression" dxfId="0" priority="880"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EX1048576">
    <cfRule type="expression" dxfId="4" priority="881" stopIfTrue="1">
      <formula>IF(LEN(EX4)&gt;0,1,0)</formula>
    </cfRule>
    <cfRule type="expression" dxfId="3" priority="882" stopIfTrue="1">
      <formula>IF(VLOOKUP($EX$3,requiredAttributePTDMap,MATCH($A4,attributeMapFeedProductType,0)+1,FALSE)&gt;0,1,0)</formula>
    </cfRule>
    <cfRule type="expression" dxfId="2" priority="883" stopIfTrue="1">
      <formula>IF(VLOOKUP($EX$3,optionalAttributePTDMap,MATCH($A4,attributeMapFeedProductType,0)+1,FALSE)&gt;0,1,0)</formula>
    </cfRule>
    <cfRule type="expression" dxfId="1" priority="884" stopIfTrue="1">
      <formula>IF(VLOOKUP($EX$3,preferredAttributePTDMap,MATCH($A4,attributeMapFeedProductType,0)+1,FALSE)&gt;0,1,0)</formula>
    </cfRule>
    <cfRule type="expression" dxfId="0" priority="885"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EY1048576">
    <cfRule type="expression" dxfId="4" priority="886" stopIfTrue="1">
      <formula>IF(LEN(EY4)&gt;0,1,0)</formula>
    </cfRule>
    <cfRule type="expression" dxfId="3" priority="887" stopIfTrue="1">
      <formula>IF(VLOOKUP($EY$3,requiredAttributePTDMap,MATCH($A4,attributeMapFeedProductType,0)+1,FALSE)&gt;0,1,0)</formula>
    </cfRule>
    <cfRule type="expression" dxfId="2" priority="888" stopIfTrue="1">
      <formula>IF(VLOOKUP($EY$3,optionalAttributePTDMap,MATCH($A4,attributeMapFeedProductType,0)+1,FALSE)&gt;0,1,0)</formula>
    </cfRule>
    <cfRule type="expression" dxfId="1" priority="889" stopIfTrue="1">
      <formula>IF(VLOOKUP($EY$3,preferredAttributePTDMap,MATCH($A4,attributeMapFeedProductType,0)+1,FALSE)&gt;0,1,0)</formula>
    </cfRule>
    <cfRule type="expression" dxfId="0" priority="890"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EZ1048576">
    <cfRule type="expression" dxfId="4" priority="891" stopIfTrue="1">
      <formula>IF(LEN(EZ4)&gt;0,1,0)</formula>
    </cfRule>
    <cfRule type="expression" dxfId="3" priority="892" stopIfTrue="1">
      <formula>IF(VLOOKUP($EZ$3,requiredAttributePTDMap,MATCH($A4,attributeMapFeedProductType,0)+1,FALSE)&gt;0,1,0)</formula>
    </cfRule>
    <cfRule type="expression" dxfId="2" priority="893" stopIfTrue="1">
      <formula>IF(VLOOKUP($EZ$3,optionalAttributePTDMap,MATCH($A4,attributeMapFeedProductType,0)+1,FALSE)&gt;0,1,0)</formula>
    </cfRule>
    <cfRule type="expression" dxfId="1" priority="894" stopIfTrue="1">
      <formula>IF(VLOOKUP($EZ$3,preferredAttributePTDMap,MATCH($A4,attributeMapFeedProductType,0)+1,FALSE)&gt;0,1,0)</formula>
    </cfRule>
    <cfRule type="expression" dxfId="0" priority="895"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FA1048576">
    <cfRule type="expression" dxfId="4" priority="896" stopIfTrue="1">
      <formula>IF(LEN(FA4)&gt;0,1,0)</formula>
    </cfRule>
    <cfRule type="expression" dxfId="3" priority="897" stopIfTrue="1">
      <formula>IF(VLOOKUP($FA$3,requiredAttributePTDMap,MATCH($A4,attributeMapFeedProductType,0)+1,FALSE)&gt;0,1,0)</formula>
    </cfRule>
    <cfRule type="expression" dxfId="2" priority="898" stopIfTrue="1">
      <formula>IF(VLOOKUP($FA$3,optionalAttributePTDMap,MATCH($A4,attributeMapFeedProductType,0)+1,FALSE)&gt;0,1,0)</formula>
    </cfRule>
    <cfRule type="expression" dxfId="1" priority="899" stopIfTrue="1">
      <formula>IF(VLOOKUP($FA$3,preferredAttributePTDMap,MATCH($A4,attributeMapFeedProductType,0)+1,FALSE)&gt;0,1,0)</formula>
    </cfRule>
    <cfRule type="expression" dxfId="0" priority="900"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FB1048576">
    <cfRule type="expression" dxfId="4" priority="901" stopIfTrue="1">
      <formula>IF(LEN(FB4)&gt;0,1,0)</formula>
    </cfRule>
    <cfRule type="expression" dxfId="3" priority="902" stopIfTrue="1">
      <formula>IF(VLOOKUP($FB$3,requiredAttributePTDMap,MATCH($A4,attributeMapFeedProductType,0)+1,FALSE)&gt;0,1,0)</formula>
    </cfRule>
    <cfRule type="expression" dxfId="2" priority="903" stopIfTrue="1">
      <formula>IF(VLOOKUP($FB$3,optionalAttributePTDMap,MATCH($A4,attributeMapFeedProductType,0)+1,FALSE)&gt;0,1,0)</formula>
    </cfRule>
    <cfRule type="expression" dxfId="1" priority="904" stopIfTrue="1">
      <formula>IF(VLOOKUP($FB$3,preferredAttributePTDMap,MATCH($A4,attributeMapFeedProductType,0)+1,FALSE)&gt;0,1,0)</formula>
    </cfRule>
    <cfRule type="expression" dxfId="0" priority="905"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FC1048576">
    <cfRule type="expression" dxfId="4" priority="906" stopIfTrue="1">
      <formula>IF(LEN(FC4)&gt;0,1,0)</formula>
    </cfRule>
    <cfRule type="expression" dxfId="3" priority="907" stopIfTrue="1">
      <formula>IF(VLOOKUP($FC$3,requiredAttributePTDMap,MATCH($A4,attributeMapFeedProductType,0)+1,FALSE)&gt;0,1,0)</formula>
    </cfRule>
    <cfRule type="expression" dxfId="2" priority="908" stopIfTrue="1">
      <formula>IF(VLOOKUP($FC$3,optionalAttributePTDMap,MATCH($A4,attributeMapFeedProductType,0)+1,FALSE)&gt;0,1,0)</formula>
    </cfRule>
    <cfRule type="expression" dxfId="1" priority="909" stopIfTrue="1">
      <formula>IF(VLOOKUP($FC$3,preferredAttributePTDMap,MATCH($A4,attributeMapFeedProductType,0)+1,FALSE)&gt;0,1,0)</formula>
    </cfRule>
    <cfRule type="expression" dxfId="0" priority="910"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FD1048576">
    <cfRule type="expression" dxfId="4" priority="911" stopIfTrue="1">
      <formula>IF(LEN(FD4)&gt;0,1,0)</formula>
    </cfRule>
    <cfRule type="expression" dxfId="3" priority="912" stopIfTrue="1">
      <formula>IF(VLOOKUP($FD$3,requiredAttributePTDMap,MATCH($A4,attributeMapFeedProductType,0)+1,FALSE)&gt;0,1,0)</formula>
    </cfRule>
    <cfRule type="expression" dxfId="2" priority="913" stopIfTrue="1">
      <formula>IF(VLOOKUP($FD$3,optionalAttributePTDMap,MATCH($A4,attributeMapFeedProductType,0)+1,FALSE)&gt;0,1,0)</formula>
    </cfRule>
    <cfRule type="expression" dxfId="1" priority="914" stopIfTrue="1">
      <formula>IF(VLOOKUP($FD$3,preferredAttributePTDMap,MATCH($A4,attributeMapFeedProductType,0)+1,FALSE)&gt;0,1,0)</formula>
    </cfRule>
    <cfRule type="expression" dxfId="0" priority="915"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FE1048576">
    <cfRule type="expression" dxfId="4" priority="916" stopIfTrue="1">
      <formula>IF(LEN(FE4)&gt;0,1,0)</formula>
    </cfRule>
    <cfRule type="expression" dxfId="3" priority="917" stopIfTrue="1">
      <formula>IF(VLOOKUP($FE$3,requiredAttributePTDMap,MATCH($A4,attributeMapFeedProductType,0)+1,FALSE)&gt;0,1,0)</formula>
    </cfRule>
    <cfRule type="expression" dxfId="2" priority="918" stopIfTrue="1">
      <formula>IF(VLOOKUP($FE$3,optionalAttributePTDMap,MATCH($A4,attributeMapFeedProductType,0)+1,FALSE)&gt;0,1,0)</formula>
    </cfRule>
    <cfRule type="expression" dxfId="1" priority="919" stopIfTrue="1">
      <formula>IF(VLOOKUP($FE$3,preferredAttributePTDMap,MATCH($A4,attributeMapFeedProductType,0)+1,FALSE)&gt;0,1,0)</formula>
    </cfRule>
    <cfRule type="expression" dxfId="0" priority="920"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FF1048576">
    <cfRule type="expression" dxfId="4" priority="921" stopIfTrue="1">
      <formula>IF(LEN(FF4)&gt;0,1,0)</formula>
    </cfRule>
    <cfRule type="expression" dxfId="3" priority="922" stopIfTrue="1">
      <formula>IF(VLOOKUP($FF$3,requiredAttributePTDMap,MATCH($A4,attributeMapFeedProductType,0)+1,FALSE)&gt;0,1,0)</formula>
    </cfRule>
    <cfRule type="expression" dxfId="2" priority="923" stopIfTrue="1">
      <formula>IF(VLOOKUP($FF$3,optionalAttributePTDMap,MATCH($A4,attributeMapFeedProductType,0)+1,FALSE)&gt;0,1,0)</formula>
    </cfRule>
    <cfRule type="expression" dxfId="1" priority="924" stopIfTrue="1">
      <formula>IF(VLOOKUP($FF$3,preferredAttributePTDMap,MATCH($A4,attributeMapFeedProductType,0)+1,FALSE)&gt;0,1,0)</formula>
    </cfRule>
    <cfRule type="expression" dxfId="0" priority="925"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FG1048576">
    <cfRule type="expression" dxfId="4" priority="926" stopIfTrue="1">
      <formula>IF(LEN(FG4)&gt;0,1,0)</formula>
    </cfRule>
    <cfRule type="expression" dxfId="3" priority="927" stopIfTrue="1">
      <formula>IF(VLOOKUP($FG$3,requiredAttributePTDMap,MATCH($A4,attributeMapFeedProductType,0)+1,FALSE)&gt;0,1,0)</formula>
    </cfRule>
    <cfRule type="expression" dxfId="2" priority="928" stopIfTrue="1">
      <formula>IF(VLOOKUP($FG$3,optionalAttributePTDMap,MATCH($A4,attributeMapFeedProductType,0)+1,FALSE)&gt;0,1,0)</formula>
    </cfRule>
    <cfRule type="expression" dxfId="1" priority="929" stopIfTrue="1">
      <formula>IF(VLOOKUP($FG$3,preferredAttributePTDMap,MATCH($A4,attributeMapFeedProductType,0)+1,FALSE)&gt;0,1,0)</formula>
    </cfRule>
    <cfRule type="expression" dxfId="0" priority="930"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FH1048576">
    <cfRule type="expression" dxfId="4" priority="931" stopIfTrue="1">
      <formula>IF(LEN(FH4)&gt;0,1,0)</formula>
    </cfRule>
    <cfRule type="expression" dxfId="3" priority="932" stopIfTrue="1">
      <formula>IF(VLOOKUP($FH$3,requiredAttributePTDMap,MATCH($A4,attributeMapFeedProductType,0)+1,FALSE)&gt;0,1,0)</formula>
    </cfRule>
    <cfRule type="expression" dxfId="2" priority="933" stopIfTrue="1">
      <formula>IF(VLOOKUP($FH$3,optionalAttributePTDMap,MATCH($A4,attributeMapFeedProductType,0)+1,FALSE)&gt;0,1,0)</formula>
    </cfRule>
    <cfRule type="expression" dxfId="1" priority="934" stopIfTrue="1">
      <formula>IF(VLOOKUP($FH$3,preferredAttributePTDMap,MATCH($A4,attributeMapFeedProductType,0)+1,FALSE)&gt;0,1,0)</formula>
    </cfRule>
    <cfRule type="expression" dxfId="0" priority="935"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FI1048576">
    <cfRule type="expression" dxfId="4" priority="936" stopIfTrue="1">
      <formula>IF(LEN(FI4)&gt;0,1,0)</formula>
    </cfRule>
    <cfRule type="expression" dxfId="3" priority="937" stopIfTrue="1">
      <formula>IF(VLOOKUP($FI$3,requiredAttributePTDMap,MATCH($A4,attributeMapFeedProductType,0)+1,FALSE)&gt;0,1,0)</formula>
    </cfRule>
    <cfRule type="expression" dxfId="2" priority="938" stopIfTrue="1">
      <formula>IF(VLOOKUP($FI$3,optionalAttributePTDMap,MATCH($A4,attributeMapFeedProductType,0)+1,FALSE)&gt;0,1,0)</formula>
    </cfRule>
    <cfRule type="expression" dxfId="1" priority="939" stopIfTrue="1">
      <formula>IF(VLOOKUP($FI$3,preferredAttributePTDMap,MATCH($A4,attributeMapFeedProductType,0)+1,FALSE)&gt;0,1,0)</formula>
    </cfRule>
    <cfRule type="expression" dxfId="0" priority="940"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FJ1048576">
    <cfRule type="expression" dxfId="4" priority="941" stopIfTrue="1">
      <formula>IF(LEN(FJ4)&gt;0,1,0)</formula>
    </cfRule>
    <cfRule type="expression" dxfId="3" priority="942" stopIfTrue="1">
      <formula>IF(VLOOKUP($FJ$3,requiredAttributePTDMap,MATCH($A4,attributeMapFeedProductType,0)+1,FALSE)&gt;0,1,0)</formula>
    </cfRule>
    <cfRule type="expression" dxfId="2" priority="943" stopIfTrue="1">
      <formula>IF(VLOOKUP($FJ$3,optionalAttributePTDMap,MATCH($A4,attributeMapFeedProductType,0)+1,FALSE)&gt;0,1,0)</formula>
    </cfRule>
    <cfRule type="expression" dxfId="1" priority="944" stopIfTrue="1">
      <formula>IF(VLOOKUP($FJ$3,preferredAttributePTDMap,MATCH($A4,attributeMapFeedProductType,0)+1,FALSE)&gt;0,1,0)</formula>
    </cfRule>
    <cfRule type="expression" dxfId="0" priority="945"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FK1048576">
    <cfRule type="expression" dxfId="4" priority="946" stopIfTrue="1">
      <formula>IF(LEN(FK4)&gt;0,1,0)</formula>
    </cfRule>
    <cfRule type="expression" dxfId="3" priority="947" stopIfTrue="1">
      <formula>IF(VLOOKUP($FK$3,requiredAttributePTDMap,MATCH($A4,attributeMapFeedProductType,0)+1,FALSE)&gt;0,1,0)</formula>
    </cfRule>
    <cfRule type="expression" dxfId="2" priority="948" stopIfTrue="1">
      <formula>IF(VLOOKUP($FK$3,optionalAttributePTDMap,MATCH($A4,attributeMapFeedProductType,0)+1,FALSE)&gt;0,1,0)</formula>
    </cfRule>
    <cfRule type="expression" dxfId="1" priority="949" stopIfTrue="1">
      <formula>IF(VLOOKUP($FK$3,preferredAttributePTDMap,MATCH($A4,attributeMapFeedProductType,0)+1,FALSE)&gt;0,1,0)</formula>
    </cfRule>
    <cfRule type="expression" dxfId="0" priority="950"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FL1048576">
    <cfRule type="expression" dxfId="4" priority="951" stopIfTrue="1">
      <formula>IF(LEN(FL4)&gt;0,1,0)</formula>
    </cfRule>
    <cfRule type="expression" dxfId="3" priority="952" stopIfTrue="1">
      <formula>IF(VLOOKUP($FL$3,requiredAttributePTDMap,MATCH($A4,attributeMapFeedProductType,0)+1,FALSE)&gt;0,1,0)</formula>
    </cfRule>
    <cfRule type="expression" dxfId="2" priority="953" stopIfTrue="1">
      <formula>IF(VLOOKUP($FL$3,optionalAttributePTDMap,MATCH($A4,attributeMapFeedProductType,0)+1,FALSE)&gt;0,1,0)</formula>
    </cfRule>
    <cfRule type="expression" dxfId="1" priority="954" stopIfTrue="1">
      <formula>IF(VLOOKUP($FL$3,preferredAttributePTDMap,MATCH($A4,attributeMapFeedProductType,0)+1,FALSE)&gt;0,1,0)</formula>
    </cfRule>
    <cfRule type="expression" dxfId="0" priority="955"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FM1048576">
    <cfRule type="expression" dxfId="4" priority="956" stopIfTrue="1">
      <formula>IF(LEN(FM4)&gt;0,1,0)</formula>
    </cfRule>
    <cfRule type="expression" dxfId="3" priority="957" stopIfTrue="1">
      <formula>IF(VLOOKUP($FM$3,requiredAttributePTDMap,MATCH($A4,attributeMapFeedProductType,0)+1,FALSE)&gt;0,1,0)</formula>
    </cfRule>
    <cfRule type="expression" dxfId="2" priority="958" stopIfTrue="1">
      <formula>IF(VLOOKUP($FM$3,optionalAttributePTDMap,MATCH($A4,attributeMapFeedProductType,0)+1,FALSE)&gt;0,1,0)</formula>
    </cfRule>
    <cfRule type="expression" dxfId="1" priority="959" stopIfTrue="1">
      <formula>IF(VLOOKUP($FM$3,preferredAttributePTDMap,MATCH($A4,attributeMapFeedProductType,0)+1,FALSE)&gt;0,1,0)</formula>
    </cfRule>
    <cfRule type="expression" dxfId="0" priority="960"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FN1048576">
    <cfRule type="expression" dxfId="4" priority="961" stopIfTrue="1">
      <formula>IF(LEN(FN4)&gt;0,1,0)</formula>
    </cfRule>
    <cfRule type="expression" dxfId="3" priority="962" stopIfTrue="1">
      <formula>IF(VLOOKUP($FN$3,requiredAttributePTDMap,MATCH($A4,attributeMapFeedProductType,0)+1,FALSE)&gt;0,1,0)</formula>
    </cfRule>
    <cfRule type="expression" dxfId="2" priority="963" stopIfTrue="1">
      <formula>IF(VLOOKUP($FN$3,optionalAttributePTDMap,MATCH($A4,attributeMapFeedProductType,0)+1,FALSE)&gt;0,1,0)</formula>
    </cfRule>
    <cfRule type="expression" dxfId="1" priority="964" stopIfTrue="1">
      <formula>IF(VLOOKUP($FN$3,preferredAttributePTDMap,MATCH($A4,attributeMapFeedProductType,0)+1,FALSE)&gt;0,1,0)</formula>
    </cfRule>
    <cfRule type="expression" dxfId="0" priority="965"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FO1048576">
    <cfRule type="expression" dxfId="4" priority="966" stopIfTrue="1">
      <formula>IF(LEN(FO4)&gt;0,1,0)</formula>
    </cfRule>
    <cfRule type="expression" dxfId="3" priority="967" stopIfTrue="1">
      <formula>IF(VLOOKUP($FO$3,requiredAttributePTDMap,MATCH($A4,attributeMapFeedProductType,0)+1,FALSE)&gt;0,1,0)</formula>
    </cfRule>
    <cfRule type="expression" dxfId="2" priority="968" stopIfTrue="1">
      <formula>IF(VLOOKUP($FO$3,optionalAttributePTDMap,MATCH($A4,attributeMapFeedProductType,0)+1,FALSE)&gt;0,1,0)</formula>
    </cfRule>
    <cfRule type="expression" dxfId="1" priority="969" stopIfTrue="1">
      <formula>IF(VLOOKUP($FO$3,preferredAttributePTDMap,MATCH($A4,attributeMapFeedProductType,0)+1,FALSE)&gt;0,1,0)</formula>
    </cfRule>
    <cfRule type="expression" dxfId="0" priority="970"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FP1048576">
    <cfRule type="expression" dxfId="4" priority="971" stopIfTrue="1">
      <formula>IF(LEN(FP4)&gt;0,1,0)</formula>
    </cfRule>
    <cfRule type="expression" dxfId="3" priority="972" stopIfTrue="1">
      <formula>IF(VLOOKUP($FP$3,requiredAttributePTDMap,MATCH($A4,attributeMapFeedProductType,0)+1,FALSE)&gt;0,1,0)</formula>
    </cfRule>
    <cfRule type="expression" dxfId="2" priority="973" stopIfTrue="1">
      <formula>IF(VLOOKUP($FP$3,optionalAttributePTDMap,MATCH($A4,attributeMapFeedProductType,0)+1,FALSE)&gt;0,1,0)</formula>
    </cfRule>
    <cfRule type="expression" dxfId="1" priority="974" stopIfTrue="1">
      <formula>IF(VLOOKUP($FP$3,preferredAttributePTDMap,MATCH($A4,attributeMapFeedProductType,0)+1,FALSE)&gt;0,1,0)</formula>
    </cfRule>
    <cfRule type="expression" dxfId="0" priority="975"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FQ1048576">
    <cfRule type="expression" dxfId="4" priority="976" stopIfTrue="1">
      <formula>IF(LEN(FQ4)&gt;0,1,0)</formula>
    </cfRule>
    <cfRule type="expression" dxfId="3" priority="977" stopIfTrue="1">
      <formula>IF(VLOOKUP($FQ$3,requiredAttributePTDMap,MATCH($A4,attributeMapFeedProductType,0)+1,FALSE)&gt;0,1,0)</formula>
    </cfRule>
    <cfRule type="expression" dxfId="2" priority="978" stopIfTrue="1">
      <formula>IF(VLOOKUP($FQ$3,optionalAttributePTDMap,MATCH($A4,attributeMapFeedProductType,0)+1,FALSE)&gt;0,1,0)</formula>
    </cfRule>
    <cfRule type="expression" dxfId="1" priority="979" stopIfTrue="1">
      <formula>IF(VLOOKUP($FQ$3,preferredAttributePTDMap,MATCH($A4,attributeMapFeedProductType,0)+1,FALSE)&gt;0,1,0)</formula>
    </cfRule>
    <cfRule type="expression" dxfId="0" priority="980"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FR1048576">
    <cfRule type="expression" dxfId="4" priority="981" stopIfTrue="1">
      <formula>IF(LEN(FR4)&gt;0,1,0)</formula>
    </cfRule>
    <cfRule type="expression" dxfId="3" priority="982" stopIfTrue="1">
      <formula>IF(VLOOKUP($FR$3,requiredAttributePTDMap,MATCH($A4,attributeMapFeedProductType,0)+1,FALSE)&gt;0,1,0)</formula>
    </cfRule>
    <cfRule type="expression" dxfId="2" priority="983" stopIfTrue="1">
      <formula>IF(VLOOKUP($FR$3,optionalAttributePTDMap,MATCH($A4,attributeMapFeedProductType,0)+1,FALSE)&gt;0,1,0)</formula>
    </cfRule>
    <cfRule type="expression" dxfId="1" priority="984" stopIfTrue="1">
      <formula>IF(VLOOKUP($FR$3,preferredAttributePTDMap,MATCH($A4,attributeMapFeedProductType,0)+1,FALSE)&gt;0,1,0)</formula>
    </cfRule>
    <cfRule type="expression" dxfId="0" priority="985"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FS1048576">
    <cfRule type="expression" dxfId="4" priority="986" stopIfTrue="1">
      <formula>IF(LEN(FS4)&gt;0,1,0)</formula>
    </cfRule>
    <cfRule type="expression" dxfId="3" priority="987" stopIfTrue="1">
      <formula>IF(VLOOKUP($FS$3,requiredAttributePTDMap,MATCH($A4,attributeMapFeedProductType,0)+1,FALSE)&gt;0,1,0)</formula>
    </cfRule>
    <cfRule type="expression" dxfId="2" priority="988" stopIfTrue="1">
      <formula>IF(VLOOKUP($FS$3,optionalAttributePTDMap,MATCH($A4,attributeMapFeedProductType,0)+1,FALSE)&gt;0,1,0)</formula>
    </cfRule>
    <cfRule type="expression" dxfId="1" priority="989" stopIfTrue="1">
      <formula>IF(VLOOKUP($FS$3,preferredAttributePTDMap,MATCH($A4,attributeMapFeedProductType,0)+1,FALSE)&gt;0,1,0)</formula>
    </cfRule>
    <cfRule type="expression" dxfId="0" priority="990"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FT1048576">
    <cfRule type="expression" dxfId="4" priority="991" stopIfTrue="1">
      <formula>IF(LEN(FT4)&gt;0,1,0)</formula>
    </cfRule>
    <cfRule type="expression" dxfId="3" priority="992" stopIfTrue="1">
      <formula>IF(VLOOKUP($FT$3,requiredAttributePTDMap,MATCH($A4,attributeMapFeedProductType,0)+1,FALSE)&gt;0,1,0)</formula>
    </cfRule>
    <cfRule type="expression" dxfId="2" priority="993" stopIfTrue="1">
      <formula>IF(VLOOKUP($FT$3,optionalAttributePTDMap,MATCH($A4,attributeMapFeedProductType,0)+1,FALSE)&gt;0,1,0)</formula>
    </cfRule>
    <cfRule type="expression" dxfId="1" priority="994" stopIfTrue="1">
      <formula>IF(VLOOKUP($FT$3,preferredAttributePTDMap,MATCH($A4,attributeMapFeedProductType,0)+1,FALSE)&gt;0,1,0)</formula>
    </cfRule>
    <cfRule type="expression" dxfId="0" priority="995"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FU1048576">
    <cfRule type="expression" dxfId="4" priority="996" stopIfTrue="1">
      <formula>IF(LEN(FU4)&gt;0,1,0)</formula>
    </cfRule>
    <cfRule type="expression" dxfId="3" priority="997" stopIfTrue="1">
      <formula>IF(VLOOKUP($FU$3,requiredAttributePTDMap,MATCH($A4,attributeMapFeedProductType,0)+1,FALSE)&gt;0,1,0)</formula>
    </cfRule>
    <cfRule type="expression" dxfId="2" priority="998" stopIfTrue="1">
      <formula>IF(VLOOKUP($FU$3,optionalAttributePTDMap,MATCH($A4,attributeMapFeedProductType,0)+1,FALSE)&gt;0,1,0)</formula>
    </cfRule>
    <cfRule type="expression" dxfId="1" priority="999" stopIfTrue="1">
      <formula>IF(VLOOKUP($FU$3,preferredAttributePTDMap,MATCH($A4,attributeMapFeedProductType,0)+1,FALSE)&gt;0,1,0)</formula>
    </cfRule>
    <cfRule type="expression" dxfId="0" priority="1000"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FV1048576">
    <cfRule type="expression" dxfId="4" priority="1001" stopIfTrue="1">
      <formula>IF(LEN(FV4)&gt;0,1,0)</formula>
    </cfRule>
    <cfRule type="expression" dxfId="3" priority="1002" stopIfTrue="1">
      <formula>IF(VLOOKUP($FV$3,requiredAttributePTDMap,MATCH($A4,attributeMapFeedProductType,0)+1,FALSE)&gt;0,1,0)</formula>
    </cfRule>
    <cfRule type="expression" dxfId="2" priority="1003" stopIfTrue="1">
      <formula>IF(VLOOKUP($FV$3,optionalAttributePTDMap,MATCH($A4,attributeMapFeedProductType,0)+1,FALSE)&gt;0,1,0)</formula>
    </cfRule>
    <cfRule type="expression" dxfId="1" priority="1004" stopIfTrue="1">
      <formula>IF(VLOOKUP($FV$3,preferredAttributePTDMap,MATCH($A4,attributeMapFeedProductType,0)+1,FALSE)&gt;0,1,0)</formula>
    </cfRule>
    <cfRule type="expression" dxfId="0" priority="1005"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FW1048576">
    <cfRule type="expression" dxfId="4" priority="1006" stopIfTrue="1">
      <formula>IF(LEN(FW4)&gt;0,1,0)</formula>
    </cfRule>
    <cfRule type="expression" dxfId="3" priority="1007" stopIfTrue="1">
      <formula>IF(VLOOKUP($FW$3,requiredAttributePTDMap,MATCH($A4,attributeMapFeedProductType,0)+1,FALSE)&gt;0,1,0)</formula>
    </cfRule>
    <cfRule type="expression" dxfId="2" priority="1008" stopIfTrue="1">
      <formula>IF(VLOOKUP($FW$3,optionalAttributePTDMap,MATCH($A4,attributeMapFeedProductType,0)+1,FALSE)&gt;0,1,0)</formula>
    </cfRule>
    <cfRule type="expression" dxfId="1" priority="1009" stopIfTrue="1">
      <formula>IF(VLOOKUP($FW$3,preferredAttributePTDMap,MATCH($A4,attributeMapFeedProductType,0)+1,FALSE)&gt;0,1,0)</formula>
    </cfRule>
    <cfRule type="expression" dxfId="0" priority="1010"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FX1048576">
    <cfRule type="expression" dxfId="4" priority="1011" stopIfTrue="1">
      <formula>IF(LEN(FX4)&gt;0,1,0)</formula>
    </cfRule>
    <cfRule type="expression" dxfId="3" priority="1012" stopIfTrue="1">
      <formula>IF(VLOOKUP($FX$3,requiredAttributePTDMap,MATCH($A4,attributeMapFeedProductType,0)+1,FALSE)&gt;0,1,0)</formula>
    </cfRule>
    <cfRule type="expression" dxfId="2" priority="1013" stopIfTrue="1">
      <formula>IF(VLOOKUP($FX$3,optionalAttributePTDMap,MATCH($A4,attributeMapFeedProductType,0)+1,FALSE)&gt;0,1,0)</formula>
    </cfRule>
    <cfRule type="expression" dxfId="1" priority="1014" stopIfTrue="1">
      <formula>IF(VLOOKUP($FX$3,preferredAttributePTDMap,MATCH($A4,attributeMapFeedProductType,0)+1,FALSE)&gt;0,1,0)</formula>
    </cfRule>
    <cfRule type="expression" dxfId="0" priority="1015"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FY1048576">
    <cfRule type="expression" dxfId="4" priority="1016" stopIfTrue="1">
      <formula>IF(LEN(FY4)&gt;0,1,0)</formula>
    </cfRule>
    <cfRule type="expression" dxfId="3" priority="1017" stopIfTrue="1">
      <formula>IF(VLOOKUP($FY$3,requiredAttributePTDMap,MATCH($A4,attributeMapFeedProductType,0)+1,FALSE)&gt;0,1,0)</formula>
    </cfRule>
    <cfRule type="expression" dxfId="2" priority="1018" stopIfTrue="1">
      <formula>IF(VLOOKUP($FY$3,optionalAttributePTDMap,MATCH($A4,attributeMapFeedProductType,0)+1,FALSE)&gt;0,1,0)</formula>
    </cfRule>
    <cfRule type="expression" dxfId="1" priority="1019" stopIfTrue="1">
      <formula>IF(VLOOKUP($FY$3,preferredAttributePTDMap,MATCH($A4,attributeMapFeedProductType,0)+1,FALSE)&gt;0,1,0)</formula>
    </cfRule>
    <cfRule type="expression" dxfId="0" priority="1020"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FZ1048576">
    <cfRule type="expression" dxfId="4" priority="1021" stopIfTrue="1">
      <formula>IF(LEN(FZ4)&gt;0,1,0)</formula>
    </cfRule>
    <cfRule type="expression" dxfId="3" priority="1022" stopIfTrue="1">
      <formula>IF(VLOOKUP($FZ$3,requiredAttributePTDMap,MATCH($A4,attributeMapFeedProductType,0)+1,FALSE)&gt;0,1,0)</formula>
    </cfRule>
    <cfRule type="expression" dxfId="2" priority="1023" stopIfTrue="1">
      <formula>IF(VLOOKUP($FZ$3,optionalAttributePTDMap,MATCH($A4,attributeMapFeedProductType,0)+1,FALSE)&gt;0,1,0)</formula>
    </cfRule>
    <cfRule type="expression" dxfId="1" priority="1024" stopIfTrue="1">
      <formula>IF(VLOOKUP($FZ$3,preferredAttributePTDMap,MATCH($A4,attributeMapFeedProductType,0)+1,FALSE)&gt;0,1,0)</formula>
    </cfRule>
    <cfRule type="expression" dxfId="0" priority="1025"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GA1048576">
    <cfRule type="expression" dxfId="4" priority="1026" stopIfTrue="1">
      <formula>IF(LEN(GA4)&gt;0,1,0)</formula>
    </cfRule>
    <cfRule type="expression" dxfId="3" priority="1027" stopIfTrue="1">
      <formula>IF(VLOOKUP($GA$3,requiredAttributePTDMap,MATCH($A4,attributeMapFeedProductType,0)+1,FALSE)&gt;0,1,0)</formula>
    </cfRule>
    <cfRule type="expression" dxfId="2" priority="1028" stopIfTrue="1">
      <formula>IF(VLOOKUP($GA$3,optionalAttributePTDMap,MATCH($A4,attributeMapFeedProductType,0)+1,FALSE)&gt;0,1,0)</formula>
    </cfRule>
    <cfRule type="expression" dxfId="1" priority="1029" stopIfTrue="1">
      <formula>IF(VLOOKUP($GA$3,preferredAttributePTDMap,MATCH($A4,attributeMapFeedProductType,0)+1,FALSE)&gt;0,1,0)</formula>
    </cfRule>
    <cfRule type="expression" dxfId="0" priority="1030"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GB1048576">
    <cfRule type="expression" dxfId="4" priority="1031" stopIfTrue="1">
      <formula>IF(LEN(GB4)&gt;0,1,0)</formula>
    </cfRule>
    <cfRule type="expression" dxfId="3" priority="1032" stopIfTrue="1">
      <formula>IF(VLOOKUP($GB$3,requiredAttributePTDMap,MATCH($A4,attributeMapFeedProductType,0)+1,FALSE)&gt;0,1,0)</formula>
    </cfRule>
    <cfRule type="expression" dxfId="2" priority="1033" stopIfTrue="1">
      <formula>IF(VLOOKUP($GB$3,optionalAttributePTDMap,MATCH($A4,attributeMapFeedProductType,0)+1,FALSE)&gt;0,1,0)</formula>
    </cfRule>
    <cfRule type="expression" dxfId="1" priority="1034" stopIfTrue="1">
      <formula>IF(VLOOKUP($GB$3,preferredAttributePTDMap,MATCH($A4,attributeMapFeedProductType,0)+1,FALSE)&gt;0,1,0)</formula>
    </cfRule>
    <cfRule type="expression" dxfId="0" priority="1035"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GC1048576">
    <cfRule type="expression" dxfId="4" priority="1036" stopIfTrue="1">
      <formula>IF(LEN(GC4)&gt;0,1,0)</formula>
    </cfRule>
    <cfRule type="expression" dxfId="3" priority="1037" stopIfTrue="1">
      <formula>IF(VLOOKUP($GC$3,requiredAttributePTDMap,MATCH($A4,attributeMapFeedProductType,0)+1,FALSE)&gt;0,1,0)</formula>
    </cfRule>
    <cfRule type="expression" dxfId="2" priority="1038" stopIfTrue="1">
      <formula>IF(VLOOKUP($GC$3,optionalAttributePTDMap,MATCH($A4,attributeMapFeedProductType,0)+1,FALSE)&gt;0,1,0)</formula>
    </cfRule>
    <cfRule type="expression" dxfId="1" priority="1039" stopIfTrue="1">
      <formula>IF(VLOOKUP($GC$3,preferredAttributePTDMap,MATCH($A4,attributeMapFeedProductType,0)+1,FALSE)&gt;0,1,0)</formula>
    </cfRule>
    <cfRule type="expression" dxfId="0" priority="1040"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GD1048576">
    <cfRule type="expression" dxfId="4" priority="1041" stopIfTrue="1">
      <formula>IF(LEN(GD4)&gt;0,1,0)</formula>
    </cfRule>
    <cfRule type="expression" dxfId="3" priority="1042" stopIfTrue="1">
      <formula>IF(VLOOKUP($GD$3,requiredAttributePTDMap,MATCH($A4,attributeMapFeedProductType,0)+1,FALSE)&gt;0,1,0)</formula>
    </cfRule>
    <cfRule type="expression" dxfId="2" priority="1043" stopIfTrue="1">
      <formula>IF(VLOOKUP($GD$3,optionalAttributePTDMap,MATCH($A4,attributeMapFeedProductType,0)+1,FALSE)&gt;0,1,0)</formula>
    </cfRule>
    <cfRule type="expression" dxfId="1" priority="1044" stopIfTrue="1">
      <formula>IF(VLOOKUP($GD$3,preferredAttributePTDMap,MATCH($A4,attributeMapFeedProductType,0)+1,FALSE)&gt;0,1,0)</formula>
    </cfRule>
    <cfRule type="expression" dxfId="0" priority="1045"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GE1048576">
    <cfRule type="expression" dxfId="4" priority="1046" stopIfTrue="1">
      <formula>IF(LEN(GE4)&gt;0,1,0)</formula>
    </cfRule>
    <cfRule type="expression" dxfId="3" priority="1047" stopIfTrue="1">
      <formula>IF(VLOOKUP($GE$3,requiredAttributePTDMap,MATCH($A4,attributeMapFeedProductType,0)+1,FALSE)&gt;0,1,0)</formula>
    </cfRule>
    <cfRule type="expression" dxfId="2" priority="1048" stopIfTrue="1">
      <formula>IF(VLOOKUP($GE$3,optionalAttributePTDMap,MATCH($A4,attributeMapFeedProductType,0)+1,FALSE)&gt;0,1,0)</formula>
    </cfRule>
    <cfRule type="expression" dxfId="1" priority="1049" stopIfTrue="1">
      <formula>IF(VLOOKUP($GE$3,preferredAttributePTDMap,MATCH($A4,attributeMapFeedProductType,0)+1,FALSE)&gt;0,1,0)</formula>
    </cfRule>
    <cfRule type="expression" dxfId="0" priority="1050"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GF1048576">
    <cfRule type="expression" dxfId="4" priority="1051" stopIfTrue="1">
      <formula>IF(LEN(GF4)&gt;0,1,0)</formula>
    </cfRule>
    <cfRule type="expression" dxfId="3" priority="1052" stopIfTrue="1">
      <formula>IF(VLOOKUP($GF$3,requiredAttributePTDMap,MATCH($A4,attributeMapFeedProductType,0)+1,FALSE)&gt;0,1,0)</formula>
    </cfRule>
    <cfRule type="expression" dxfId="2" priority="1053" stopIfTrue="1">
      <formula>IF(VLOOKUP($GF$3,optionalAttributePTDMap,MATCH($A4,attributeMapFeedProductType,0)+1,FALSE)&gt;0,1,0)</formula>
    </cfRule>
    <cfRule type="expression" dxfId="1" priority="1054" stopIfTrue="1">
      <formula>IF(VLOOKUP($GF$3,preferredAttributePTDMap,MATCH($A4,attributeMapFeedProductType,0)+1,FALSE)&gt;0,1,0)</formula>
    </cfRule>
    <cfRule type="expression" dxfId="0" priority="1055"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GG1048576">
    <cfRule type="expression" dxfId="4" priority="1056" stopIfTrue="1">
      <formula>IF(LEN(GG4)&gt;0,1,0)</formula>
    </cfRule>
    <cfRule type="expression" dxfId="3" priority="1057" stopIfTrue="1">
      <formula>IF(VLOOKUP($GG$3,requiredAttributePTDMap,MATCH($A4,attributeMapFeedProductType,0)+1,FALSE)&gt;0,1,0)</formula>
    </cfRule>
    <cfRule type="expression" dxfId="2" priority="1058" stopIfTrue="1">
      <formula>IF(VLOOKUP($GG$3,optionalAttributePTDMap,MATCH($A4,attributeMapFeedProductType,0)+1,FALSE)&gt;0,1,0)</formula>
    </cfRule>
    <cfRule type="expression" dxfId="1" priority="1059" stopIfTrue="1">
      <formula>IF(VLOOKUP($GG$3,preferredAttributePTDMap,MATCH($A4,attributeMapFeedProductType,0)+1,FALSE)&gt;0,1,0)</formula>
    </cfRule>
    <cfRule type="expression" dxfId="0" priority="1060"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GH1048576">
    <cfRule type="expression" dxfId="4" priority="1061" stopIfTrue="1">
      <formula>IF(LEN(GH4)&gt;0,1,0)</formula>
    </cfRule>
    <cfRule type="expression" dxfId="3" priority="1062" stopIfTrue="1">
      <formula>IF(VLOOKUP($GH$3,requiredAttributePTDMap,MATCH($A4,attributeMapFeedProductType,0)+1,FALSE)&gt;0,1,0)</formula>
    </cfRule>
    <cfRule type="expression" dxfId="2" priority="1063" stopIfTrue="1">
      <formula>IF(VLOOKUP($GH$3,optionalAttributePTDMap,MATCH($A4,attributeMapFeedProductType,0)+1,FALSE)&gt;0,1,0)</formula>
    </cfRule>
    <cfRule type="expression" dxfId="1" priority="1064" stopIfTrue="1">
      <formula>IF(VLOOKUP($GH$3,preferredAttributePTDMap,MATCH($A4,attributeMapFeedProductType,0)+1,FALSE)&gt;0,1,0)</formula>
    </cfRule>
    <cfRule type="expression" dxfId="0" priority="1065"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GI1048576">
    <cfRule type="expression" dxfId="4" priority="1066" stopIfTrue="1">
      <formula>IF(LEN(GI4)&gt;0,1,0)</formula>
    </cfRule>
    <cfRule type="expression" dxfId="3" priority="1067" stopIfTrue="1">
      <formula>IF(VLOOKUP($GI$3,requiredAttributePTDMap,MATCH($A4,attributeMapFeedProductType,0)+1,FALSE)&gt;0,1,0)</formula>
    </cfRule>
    <cfRule type="expression" dxfId="2" priority="1068" stopIfTrue="1">
      <formula>IF(VLOOKUP($GI$3,optionalAttributePTDMap,MATCH($A4,attributeMapFeedProductType,0)+1,FALSE)&gt;0,1,0)</formula>
    </cfRule>
    <cfRule type="expression" dxfId="1" priority="1069" stopIfTrue="1">
      <formula>IF(VLOOKUP($GI$3,preferredAttributePTDMap,MATCH($A4,attributeMapFeedProductType,0)+1,FALSE)&gt;0,1,0)</formula>
    </cfRule>
    <cfRule type="expression" dxfId="0" priority="1070"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AW4 AW41:AW1048576">
    <cfRule type="expression" dxfId="4" priority="292" stopIfTrue="1">
      <formula>IF(LEN(AW4)&gt;0,1,0)</formula>
    </cfRule>
    <cfRule type="expression" dxfId="3" priority="293" stopIfTrue="1">
      <formula>IF(VLOOKUP($AW$3,requiredAttributePTDMap,MATCH($A4,attributeMapFeedProductType,0)+1,FALSE)&gt;0,1,0)</formula>
    </cfRule>
    <cfRule type="expression" dxfId="2" priority="294" stopIfTrue="1">
      <formula>IF(VLOOKUP($AW$3,optionalAttributePTDMap,MATCH($A4,attributeMapFeedProductType,0)+1,FALSE)&gt;0,1,0)</formula>
    </cfRule>
    <cfRule type="expression" dxfId="1" priority="295" stopIfTrue="1">
      <formula>IF(VLOOKUP($AW$3,preferredAttributePTDMap,MATCH($A4,attributeMapFeedProductType,0)+1,FALSE)&gt;0,1,0)</formula>
    </cfRule>
    <cfRule type="expression" dxfId="0" priority="296"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BJ4 BJ41:BJ1048576">
    <cfRule type="expression" dxfId="4" priority="357" stopIfTrue="1">
      <formula>IF(LEN(BJ4)&gt;0,1,0)</formula>
    </cfRule>
    <cfRule type="expression" dxfId="3" priority="358" stopIfTrue="1">
      <formula>IF(VLOOKUP($BJ$3,requiredAttributePTDMap,MATCH($A4,attributeMapFeedProductType,0)+1,FALSE)&gt;0,1,0)</formula>
    </cfRule>
    <cfRule type="expression" dxfId="2" priority="359" stopIfTrue="1">
      <formula>IF(VLOOKUP($BJ$3,optionalAttributePTDMap,MATCH($A4,attributeMapFeedProductType,0)+1,FALSE)&gt;0,1,0)</formula>
    </cfRule>
    <cfRule type="expression" dxfId="1" priority="360" stopIfTrue="1">
      <formula>IF(VLOOKUP($BJ$3,preferredAttributePTDMap,MATCH($A4,attributeMapFeedProductType,0)+1,FALSE)&gt;0,1,0)</formula>
    </cfRule>
    <cfRule type="expression" dxfId="0" priority="361"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S4 BS41:BS1048576">
    <cfRule type="expression" dxfId="4" priority="402" stopIfTrue="1">
      <formula>IF(LEN(BS4)&gt;0,1,0)</formula>
    </cfRule>
    <cfRule type="expression" dxfId="3" priority="403" stopIfTrue="1">
      <formula>IF(VLOOKUP($BS$3,requiredAttributePTDMap,MATCH($A4,attributeMapFeedProductType,0)+1,FALSE)&gt;0,1,0)</formula>
    </cfRule>
    <cfRule type="expression" dxfId="2" priority="404" stopIfTrue="1">
      <formula>IF(VLOOKUP($BS$3,optionalAttributePTDMap,MATCH($A4,attributeMapFeedProductType,0)+1,FALSE)&gt;0,1,0)</formula>
    </cfRule>
    <cfRule type="expression" dxfId="1" priority="405" stopIfTrue="1">
      <formula>IF(VLOOKUP($BS$3,preferredAttributePTDMap,MATCH($A4,attributeMapFeedProductType,0)+1,FALSE)&gt;0,1,0)</formula>
    </cfRule>
    <cfRule type="expression" dxfId="0" priority="406"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dataValidations count="185">
    <dataValidation allowBlank="1" showInputMessage="1" prompt="Selecciona un valor de la lista de valores válidos." sqref="A2 D2 AV2 AY2 CP2 CX2 DB2 EB2 EN2 FK2:FL2"/>
    <dataValidation allowBlank="1" showInputMessage="1" prompt="Identificador único proporcionado por el vendedor. Si no introduces un valor para SKU, Amazon lo hará por ti." sqref="B2"/>
    <dataValidation allowBlank="1" showInputMessage="1" prompt="Texto libre de hasta 100 caracteres" sqref="C2 M2 BJ2"/>
    <dataValidation allowBlank="1" showInputMessage="1" prompt="Cualquier código UPC, EAN, GCID o CNP válido" sqref="E2"/>
    <dataValidation allowBlank="1" showInputMessage="1" prompt="El tipo de identificador estándar y de carácter exclusivo introducido en el campo &quot;identificador de producto&quot;." sqref="F2"/>
    <dataValidation allowBlank="1" showInputMessage="1" prompt="Texto libre de hasta 200 caracteres." sqref="G2"/>
    <dataValidation allowBlank="1" showInputMessage="1" prompt="Texto libre de hasta 2000 caracteres. Las etiquetas HTML y los caracteres especiales que no aparezcan en un teclado estándar (como por ejemplo ®, ©, ™ u otros caracteres ASCII altos tipo 1) no están admitidos." sqref="H2"/>
    <dataValidation allowBlank="1" showInputMessage="1" prompt="Texto-máximo 50 caracteres. Las etiquetas HTML y los caracteres especiales que no aparezcan en un teclado estándar (como por ejemplo ®, ©, ™ u otros caracteres ASCII altos tipo 1) no están admitidos." sqref="I2"/>
    <dataValidation allowBlank="1" showInputMessage="1" prompt="Nodo de la guía de estructura de navegación de Amazon." sqref="J2"/>
    <dataValidation allowBlank="1" showInputMessage="1" prompt="Selecciona un valor de la lista de valores válidos" sqref="K2 BI2 BL2:BQ2 CG2 CM2:CN2"/>
    <dataValidation allowBlank="1" showInputMessage="1" prompt="De acuerdo con la Normativa Textil de la UE, introduzca la composición textil legal válida del forro, por ejemplo 80% Algodón, 20% Viscosa (componentes que suman 100%). Si el artículo no tiene forro, por favor introduzca &quot;Sin forro&quot;." sqref="L2"/>
    <dataValidation allowBlank="1" showInputMessage="1" prompt="Texto libre de hasta 50 caracteres" sqref="N2"/>
    <dataValidation allowBlank="1" showInputMessage="1" prompt="Selecciona un valor válido del menú despleglable" sqref="O2"/>
    <dataValidation allowBlank="1" showInputMessage="1" sqref="P2:Q2 BS2 BU2:CD2 CI2 CO2 ED2 EF2:EG2 FD2 FJ2 E4 W4:X4 AW4 BA4:BH4 BJ4 BW4:CB4 FB4:FC4 B41:B1048576 E41:E1048576 L4:L1048576 N4:N1048576 P4:P1048576 AW41:AW1048576 BF5:BF40 BJ41:BJ1048576 BK4:BK1048576 BM4:BM1048576 BU4:BU1048576 CD4:CD1048576 CF4:CF1048576 CK4:CK1048576 CO4:CO1048576 CU4:CU1048576 DN4:DN1048576 DP4:DP1048576 EA4:EA1048576 G6:I40 G4:I5 G41:I1048576 DW41:DY1048576 EC41:EE1048576 W5:X40 W41:X1048576 DK41:DL1048576 EY41:EZ1048576 AG11:AU40 AG4:AU10 AG41:AU1048576 BA5:BC40 BA41:BH1048576 BD11:BE40 BD5:BE10 BG11:BH40 DK11:DL40 EY11:EZ40 BG5:BH10 BW5:CB40 BW41:CB1048576 CQ11:CS40 CQ4:CS10 CQ41:CS1048576 DF11:DI40 DF4:DI10 DF41:DI1048576 DK4:DL10 EY4:EZ10 DW11:DY40 EC11:EE40 DW4:DY10 EC4:EE10 EO11:EU40 EO4:EU10 EO41:EU1048576 FB5:FC40 FB41:FC1048576 FE4:FG1048576 FI4:FJ1048576 FM4:FN1048576 FP4:FY1048576 GA4:GH1048576"/>
    <dataValidation allowBlank="1" showInputMessage="1" prompt="Ver pestaña Términos válidos." sqref="R2:V2"/>
    <dataValidation allowBlank="1" showInputMessage="1" prompt="Un número entero o decimal con un máximo de 10 cifras enteras y 2 cifras decimales. Utiliza el punto como separador decimal." sqref="W2"/>
    <dataValidation allowBlank="1" showInputMessage="1" prompt="Un número entero positivo." sqref="X2 EO2 ES2"/>
    <dataValidation allowBlank="1" showInputMessage="1" prompt="Seleccione una de las siguientes opciones:Femenino, Masculino, Unisex" sqref="Y2"/>
    <dataValidation allowBlank="1" showInputMessage="1" prompt="Seleccione una de las siguientes opciones:Adulto, Niño, Bebé" sqref="Z2"/>
    <dataValidation allowBlank="1" showInputMessage="1" prompt="La talla proporcionado debe ser específico para el sistema de tallas del pais de venta y puede diferir de la talla de la etiqueta." sqref="AA2"/>
    <dataValidation allowBlank="1" showInputMessage="1" prompt="Especifique la clase de talla de ropa." sqref="AB2"/>
    <dataValidation allowBlank="1" showInputMessage="1" prompt="Especifique el valor de talla asociado con el sistema de tallas y la clase de talla." sqref="AC2"/>
    <dataValidation allowBlank="1" showInputMessage="1" prompt="Especifique el valor superior del rango de tallas si es un rango. El valor debe ser mayor que el valor de tamaño." sqref="AD2"/>
    <dataValidation allowBlank="1" showInputMessage="1" prompt="Especifique el tipo de cuerpo para la prenda. No hay un tipo de cuerpo especial, elija &quot;Regular&quot;." sqref="AE2"/>
    <dataValidation allowBlank="1" showInputMessage="1" prompt="Especifique el tipo de altura para la prenda. No hay un tipo de altura especial, elija &quot;Regular&quot;." sqref="AF2"/>
    <dataValidation allowBlank="1" showInputMessage="1" prompt="Se recomienda que las imágenes tengan una resolución de 1000x1200 píxeles y como mínimo 1000 píxeles de longitud (en el lado más largo). Se prefiere el formato de archivo de imagen JPEG (.jpg). Se debe proporcionar la dirección URL completa y esta ha d..." sqref="AG2"/>
    <dataValidation allowBlank="1" showInputMessage="1" prompt="Una dirección URL válida, con &quot;http://&quot; al principio.&#10;La dirección URL distingue entre mayúsculas y minúsculas, por lo que debes asegurarte de que utilizas las mayúsculas correctamente y que no empleas redirecciones (p. ej., .jpeg en vez de .jpg). Aunq..." sqref="AH2:AO2"/>
    <dataValidation allowBlank="1" showInputMessage="1" prompt="Una URL válida para el sitio web externo donde se almacena la imagen, incluidos los elementos iniciales &quot;http://&quot; y PS01 (el nombre de variante de la imagen). La dirección URL distingue entre mayúsculas y minúsculas, por tanto, asegúrate de usar las ma..." sqref="AP2"/>
    <dataValidation allowBlank="1" showInputMessage="1" prompt="Una URL válida para el sitio web externo donde se almacena la imagen, incluidos los elementos iniciales &quot;http://&quot; y PS02 (el nombre de variante de la imagen). La dirección URL distingue entre mayúsculas y minúsculas, por tanto, asegúrate de usar las ma..." sqref="AQ2"/>
    <dataValidation allowBlank="1" showInputMessage="1" prompt="Una URL válida para el sitio web externo donde se almacena la imagen, incluidos los elementos iniciales &quot;http://&quot; y PS03 (el nombre de variante de la imagen). La dirección URL distingue entre mayúsculas y minúsculas, por tanto, asegúrate de usar las ma..." sqref="AR2"/>
    <dataValidation allowBlank="1" showInputMessage="1" prompt="Una URL válida para el sitio web externo donde se almacena la imagen, incluidos los elementos iniciales &quot;http://&quot; y PS04 (el nombre de variante de la imagen). La dirección URL distingue entre mayúsculas y minúsculas, por tanto, asegúrate de usar las ma..." sqref="AS2"/>
    <dataValidation allowBlank="1" showInputMessage="1" prompt="Una URL válida para el sitio web externo donde se almacena la imagen, incluidos los elementos iniciales &quot;http://&quot; y PS05 (el nombre de variante de la imagen). La dirección URL distingue entre mayúsculas y minúsculas, por tanto, asegúrate de usar las ma..." sqref="AT2"/>
    <dataValidation allowBlank="1" showInputMessage="1" prompt="Una URL válida para el sitio web externo donde se almacena la imagen, incluidos los elementos iniciales &quot;http://&quot; y PS06 (el nombre de variante de la imagen). La dirección URL distingue entre mayúsculas y minúsculas, por tanto, asegúrate de usar las ma..." sqref="AU2"/>
    <dataValidation allowBlank="1" showInputMessage="1" prompt="Texto libre de hasta 40 caracteres." sqref="AW2"/>
    <dataValidation allowBlank="1" showInputMessage="1" prompt="Indique el tipo de relación" sqref="AX2"/>
    <dataValidation allowBlank="1" showInputMessage="1" prompt="Indique &quot;unidad&quot; si el producto no contiene otros productos secundarios con identificador externo. Indique &quot;caja&quot; para crear un pack de la &quot;unidad&quot;, e indique &quot;pallet&quot; para crear el &quot;pallet&quot;." sqref="AZ2"/>
    <dataValidation allowBlank="1" showInputMessage="1" prompt="Proporcione el número de artículos del siguiente nivel que contiene el paquete a crear" sqref="BA2"/>
    <dataValidation allowBlank="1" showInputMessage="1" prompt="El atributo indica que el paquete contiene atributos del producto" sqref="BB2"/>
    <dataValidation allowBlank="1" showInputMessage="1" prompt="Términos de búsqueda que describan su producto: sin repeticiones y sin nombres de marcas o ASINs de la competencia." sqref="BC2"/>
    <dataValidation allowBlank="1" showInputMessage="1" prompt="Texto libre de hasta 500 caracteres por viñeta. Las etiquetas HTML y los caracteres especiales que no aparezcan en un teclado estándar (como por ejemplo ®, ©, ™ u otros caracteres ASCII altos tipo 1) no están admitidos." sqref="BD2:BH2"/>
    <dataValidation allowBlank="1" showInputMessage="1" prompt="Texto libre Si el producto está disponible en varias tallas, introduce un child por cada una de ellas" sqref="BK2"/>
    <dataValidation allowBlank="1" showInputMessage="1" prompt="Indica si los artículos están firmados." sqref="BR2"/>
    <dataValidation allowBlank="1" showInputMessage="1" prompt="Selecciona uno de la lista de valores válidos." sqref="BT2"/>
    <dataValidation allowBlank="1" showInputMessage="1" prompt="Especifique el método de suministro pensado para el artículo." sqref="CE2"/>
    <dataValidation allowBlank="1" showInputMessage="1" prompt="Indique la fecha que el proveedor debe recibir una orden de compra para que pueda entregar los bienes a Amazon en una fecha determinado (AAAAMMDD)" sqref="CF2"/>
    <dataValidation allowBlank="1" showInputMessage="1" prompt="Indique el canal de venta necesario para el producto. Este canal de venta se basa en si el artículo se considera un producto sanitario según el Reglamento sobre los productos sanitarios (MDR) o el Reglamento sobre los productos sanitarios para diagnóst..." sqref="CH2"/>
    <dataValidation allowBlank="1" showInputMessage="1" prompt="Indique la unidad para el período de validez del FC" sqref="CJ2"/>
    <dataValidation allowBlank="1" showInputMessage="1" prompt="Número de hasta 4 dígitos a la izquierda del punto decimal, y de 2 a la derecha. Utiliza el punto como separador decimal; no se aceptan comas" sqref="CK2"/>
    <dataValidation allowBlank="1" showInputMessage="1" prompt="Selecciona una de las opciones siguientes: GR, KG, OZ, LB" sqref="CL2 CV2"/>
    <dataValidation allowBlank="1" showInputMessage="1" prompt="Número de hasta 10 dígitos a la izquierda del punto decimal, y de 2 a la derecha. Utiliza el punto como separador decimal; no se aceptan comas" sqref="CQ2:CS2 CU2"/>
    <dataValidation allowBlank="1" showInputMessage="1" prompt="Selecciona uno de estos valores válidos: &#10;CM&#10;MM&#10;M&#10;IN&#10;FT" sqref="CT2"/>
    <dataValidation allowBlank="1" showInputMessage="1" prompt="Selecciona un valor de la lista de valores válidos.&#10;" sqref="CW2"/>
    <dataValidation allowBlank="1" showInputMessage="1" prompt="Selecciona la opción que indica el país o la región de donde proviene el producto." sqref="CY2"/>
    <dataValidation allowBlank="1" showInputMessage="1" prompt="Selecciona true (verdadero) o false (falso); sin comillas" sqref="CZ2:DA2"/>
    <dataValidation allowBlank="1" showInputMessage="1" prompt="battery_type_9vnbattery_type_anbattery_type_aanbattery_type_aaanbattery_type_cnbattery_type_cr123anbattery_type_cr2nbattery_type_cr5nbattery_type_dnbattery_type_lithium_ionnbattery_type_p76nbattery_type_product_specific" sqref="DC2:DE2"/>
    <dataValidation allowBlank="1" showInputMessage="1" prompt="Un número entero." sqref="DF2:DH2 DP2 EU2 FG2"/>
    <dataValidation allowBlank="1" showInputMessage="1" prompt="Número de hasta 10 dígitos y 2 decimales." sqref="DI2"/>
    <dataValidation allowBlank="1" showInputMessage="1" prompt="Peso de la batería." sqref="DJ2"/>
    <dataValidation allowBlank="1" showInputMessage="1" prompt="Número de hasta 10 cifras y 2 decimales. Por favor, utilice puntos en vez de comas, y asegúrese de incluir 2 dígitos a la derecha del punto decimal." sqref="DK2:DL2 DN2"/>
    <dataValidation allowBlank="1" showInputMessage="1" prompt="Selecciona los valores válidos en la lista." sqref="DM2"/>
    <dataValidation allowBlank="1" showInputMessage="1" prompt="Seleccione la unidad de medida del contenido energético de la batería de litio. Si introduce el contenido energético de la batería de litio, debe introducir también la unidad de medida del contenido energético de la batería de litio." sqref="DO2"/>
    <dataValidation allowBlank="1" showInputMessage="1" prompt="Peso en gramos del litio contenido en cada batería o, en el caso de pilas recargables, el contenido de litio equivalente&quot;&quot; expresado en gramos, de cada una.&quot; grams partialupdate ui&#10;user_interface GLOBAL supplier_declared_dg_hz_regulation PRODUCT es_ES ..." sqref="DQ2"/>
    <dataValidation allowBlank="1" showInputMessage="1" prompt="Por favor selecciona la respuesta que aplica en el menú desplegable." sqref="DR2:DV2"/>
    <dataValidation allowBlank="1" showInputMessage="1" prompt="Normalmente se encuentra en la ficha de datos de seguridad o la proporciona el fabricante o distribuidor. Para más información, consulta las páginas de ayuda." sqref="DW2"/>
    <dataValidation allowBlank="1" showInputMessage="1" prompt="Contiene un enlace a la ubicación externa de la ficha de datos de seguridad (MSDS) de un artículo" sqref="DX2"/>
    <dataValidation allowBlank="1" showInputMessage="1" prompt="Un número entero o decimal de hasta 10 dígitos enteros y 2 decimales (separado por puntos, no por comas)" sqref="DY2 EA2"/>
    <dataValidation allowBlank="1" showInputMessage="1" prompt="La unidad de medida utilizada para describir el peso del producto, expresada en gramos o kilogramos. No incluyas el peso real del producto; este valor se indica en el atributo &quot;item_weight&quot;" sqref="DZ2"/>
    <dataValidation allowBlank="1" showInputMessage="1" prompt="Proporciona la dirección de correo electrónico de la parte responsable. Esta es la información de contacto de la parte responsable almacenada en el registro de RsP." sqref="EC2"/>
    <dataValidation allowBlank="1" showInputMessage="1" prompt="Un número con un máximo de 10 dígitos a la izquierda del punto decimal y 2 dígitos a la derecha del punto decimal. No use comas." sqref="EE2"/>
    <dataValidation allowBlank="1" showInputMessage="1" prompt="Especifica si tu producto contiene algún material sujeto a regulaciones. Selecciona todos los que corresponda; si no hay ninguno, selecciona no aplicable." sqref="EH2:EJ2"/>
    <dataValidation allowBlank="1" showInputMessage="1" prompt="Normalmente se encuentra en la ficha de datos de seguridad o en el embalaje del producto." sqref="EK2:EM2"/>
    <dataValidation allowBlank="1" showInputMessage="1" prompt="Un número entero o decimal con un máximo de 10 cifras enteras y 2 cifras decimales. " sqref="EP2"/>
    <dataValidation allowBlank="1" showInputMessage="1" prompt="Una fecha en formato aaaa-mm-dd." sqref="EQ2:ER2"/>
    <dataValidation allowBlank="1" showInputMessage="1" prompt="Número entero positivo" sqref="ET2"/>
    <dataValidation allowBlank="1" showInputMessage="1" prompt="Selecciona 'true' (verdadero) o 'false' (falso)" sqref="EV2 EX2"/>
    <dataValidation allowBlank="1" showInputMessage="1" prompt="Selecciona 'True' (verdadero) o 'False' (falso)." sqref="EW2"/>
    <dataValidation allowBlank="1" showInputMessage="1" prompt="Esta es la fecha en la que los clientes empezarán a ver este producto en Amazon." sqref="EY2"/>
    <dataValidation allowBlank="1" showInputMessage="1" prompt="Este campo se utiliza para configurar los pedidos pendientes y es la fecha en la que los productos pendientes estarán disponibles para su envío a los clientes." sqref="EZ2"/>
    <dataValidation allowBlank="1" showInputMessage="1" prompt="Indicar si un producto puede caducar y si tiene información de caducidad" sqref="FA2"/>
    <dataValidation allowBlank="1" showInputMessage="1" prompt="Un número entero o con decimales de hasta 18 dígitos. No utilices comas ni símbolos de divisa" sqref="FB2"/>
    <dataValidation allowBlank="1" showInputMessage="1" prompt="Este campo se utiliza para configurar la reserva del pedido y es la fecha a partir de la cual el producto previamente reservado estará disponible para su envío a los clientes." sqref="FC2"/>
    <dataValidation allowBlank="1" showInputMessage="1" prompt="Un número entero" sqref="FE2"/>
    <dataValidation allowBlank="1" showInputMessage="1" prompt="Esta es la fecha a partir de la cual el cliente no podrá hacer un pedido del producto, con independencia de las existencias que haya. Pero el producto sigue activo, si otros socios de venta lo venden." sqref="FF2"/>
    <dataValidation allowBlank="1" showInputMessage="1" prompt="Selecciona un valor de la lista de valores válidos. Puedes crear y modificar tus grupos de envío en la Configuración de envíos. " sqref="FH2"/>
    <dataValidation allowBlank="1" showInputMessage="1" prompt="Cuando el producto esté ya a la venta en Amazon, los clientes podrán empezar a hacer pedidos del producto a partir de esta fecha." sqref="FI2"/>
    <dataValidation allowBlank="1" showInputMessage="1" prompt="Texto de hasta 1000 caracteres. El campo “Nota sobre el estado” no admite caracteres especiales." sqref="FM2"/>
    <dataValidation allowBlank="1" showInputMessage="1" prompt="Un precio para empresas (&quot;business-price&quot;) mayor que 1.  No incluyas separadores de millares ni símbolos de divisa. Si existe un precio, el precio para empresas (&quot;business-price&quot;) debe ser inferior o igual al mismo." sqref="FN2"/>
    <dataValidation allowBlank="1" showInputMessage="1" prompt="Una de las siguientes opciones:&#10;- fixed&#10;- percent" sqref="FO2"/>
    <dataValidation allowBlank="1" showInputMessage="1" prompt="Un número entero positivo. No incluyas separadores de millares." sqref="FP2 FR2 FT2 FV2 FX2"/>
    <dataValidation allowBlank="1" showInputMessage="1" prompt="Si el tipo de precio por volumen es fijo (&quot;quantity-price-type&quot; = &quot;fixed&quot;), un precio mayor que 1. No incluyas separadores de millares ni símbolos de divisa.&#10;&#10;Si el tipo de precio por volumen es porcentual (&quot;quantity-price-type&quot; = &quot;percent&quot;), un número..." sqref="FQ2 FS2 FU2 FW2 FY2"/>
    <dataValidation allowBlank="1" showInputMessage="1" prompt="La unidad de medida del descuento se expresará en el precio fijo en dólares estadounidenses o en un porcentaje de descuento." sqref="FZ2"/>
    <dataValidation allowBlank="1" showInputMessage="1" prompt="La cantidad mínima de compra necesaria para recibir el correspondiente precio fijo o porcentaje de descuento." sqref="GA2 GC2 GE2"/>
    <dataValidation allowBlank="1" showInputMessage="1" prompt="El precio fijo o el porcentaje de descuento al que el vendedor ofrece el producto a la venta si el comprador adquiere al menos la cantidad indicada." sqref="GB2 GD2 GF2"/>
    <dataValidation allowBlank="1" showInputMessage="1" prompt="Un código alfanumérico de 13 dígitos, que es el código del producto estándar según la definición de la OTAN." sqref="GG2"/>
    <dataValidation allowBlank="1" showInputMessage="1" prompt="Un código alfanumérico de 8 dígitos para la clasificación de productos según el sistema UNSPSC." sqref="GH2"/>
    <dataValidation allowBlank="1" showInputMessage="1" prompt="&quot;delete business_price&quot; (sin comillas)" sqref="GI2"/>
    <dataValidation type="list" showInputMessage="1" sqref="BS4 BS41:BS1048576">
      <formula1>INDIRECT(IF(ISNUMBER(VALUE(LEFT(A4,1))),"_","")&amp;SUBSTITUTE(SUBSTITUTE(A4,"-","_")," ","")&amp;"neck_style")</formula1>
    </dataValidation>
    <dataValidation type="list" showInputMessage="1" showErrorMessage="1" sqref="A4:A1048576">
      <formula1>feed_product_type</formula1>
    </dataValidation>
    <dataValidation type="list" showInputMessage="1" sqref="C4:C1048576">
      <formula1>brand_name</formula1>
    </dataValidation>
    <dataValidation type="list" showInputMessage="1" showErrorMessage="1" sqref="D4:D1048576">
      <formula1>INDIRECT(IF(ISNUMBER(VALUE(LEFT(A4,1))),"_","")&amp;SUBSTITUTE(SUBSTITUTE(A4,"-","_")," ","")&amp;"update_delete")</formula1>
    </dataValidation>
    <dataValidation type="list" showInputMessage="1" showErrorMessage="1" sqref="F4:F1048576">
      <formula1>INDIRECT(IF(ISNUMBER(VALUE(LEFT(A4,1))),"_","")&amp;SUBSTITUTE(SUBSTITUTE(A4,"-","_")," ","")&amp;"external_product_id_type")</formula1>
    </dataValidation>
    <dataValidation type="list" showInputMessage="1" sqref="J41:J1048576">
      <formula1>INDIRECT(IF(ISNUMBER(VALUE(LEFT(A41,1))),"_","")&amp;SUBSTITUTE(SUBSTITUTE(A41,"-","_")," ","")&amp;"recommended_browse_nodes")</formula1>
    </dataValidation>
    <dataValidation type="list" showInputMessage="1" sqref="K4:K1048576">
      <formula1>INDIRECT(IF(ISNUMBER(VALUE(LEFT(A4,1))),"_","")&amp;SUBSTITUTE(SUBSTITUTE(A4,"-","_")," ","")&amp;"outer_material_type")</formula1>
    </dataValidation>
    <dataValidation type="list" showInputMessage="1" sqref="M4:M1048576">
      <formula1>INDIRECT(IF(ISNUMBER(VALUE(LEFT(A4,1))),"_","")&amp;SUBSTITUTE(SUBSTITUTE(A4,"-","_")," ","")&amp;"care_instructions")</formula1>
    </dataValidation>
    <dataValidation type="list" showInputMessage="1" sqref="O4:O1048576">
      <formula1>INDIRECT(IF(ISNUMBER(VALUE(LEFT(A4,1))),"_","")&amp;SUBSTITUTE(SUBSTITUTE(A4,"-","_")," ","")&amp;"temperature_rating")</formula1>
    </dataValidation>
    <dataValidation type="list" showInputMessage="1" showErrorMessage="1" sqref="Q4:Q1048576">
      <formula1>INDIRECT(IF(ISNUMBER(VALUE(LEFT(A4,1))),"_","")&amp;SUBSTITUTE(SUBSTITUTE(A4,"-","_")," ","")&amp;"gtin_exemption_reason")</formula1>
    </dataValidation>
    <dataValidation type="list" showInputMessage="1" showErrorMessage="1" sqref="R4:R1048576">
      <formula1>INDIRECT(IF(ISNUMBER(VALUE(LEFT(A4,1))),"_","")&amp;SUBSTITUTE(SUBSTITUTE(A4,"-","_")," ","")&amp;"language_value")</formula1>
    </dataValidation>
    <dataValidation type="list" showInputMessage="1" showErrorMessage="1" sqref="S4:S1048576">
      <formula1>INDIRECT(IF(ISNUMBER(VALUE(LEFT(A4,1))),"_","")&amp;SUBSTITUTE(SUBSTITUTE(A4,"-","_")," ","")&amp;"language_value")</formula1>
    </dataValidation>
    <dataValidation type="list" showInputMessage="1" showErrorMessage="1" sqref="T4:T1048576">
      <formula1>INDIRECT(IF(ISNUMBER(VALUE(LEFT(A4,1))),"_","")&amp;SUBSTITUTE(SUBSTITUTE(A4,"-","_")," ","")&amp;"language_value")</formula1>
    </dataValidation>
    <dataValidation type="list" showInputMessage="1" showErrorMessage="1" sqref="U4:U1048576">
      <formula1>INDIRECT(IF(ISNUMBER(VALUE(LEFT(A4,1))),"_","")&amp;SUBSTITUTE(SUBSTITUTE(A4,"-","_")," ","")&amp;"language_value")</formula1>
    </dataValidation>
    <dataValidation type="list" showInputMessage="1" showErrorMessage="1" sqref="V4:V1048576">
      <formula1>INDIRECT(IF(ISNUMBER(VALUE(LEFT(A4,1))),"_","")&amp;SUBSTITUTE(SUBSTITUTE(A4,"-","_")," ","")&amp;"language_value")</formula1>
    </dataValidation>
    <dataValidation type="list" showInputMessage="1" showErrorMessage="1" sqref="Y4:Y1048576">
      <formula1>INDIRECT(IF(ISNUMBER(VALUE(LEFT(A4,1))),"_","")&amp;SUBSTITUTE(SUBSTITUTE(A4,"-","_")," ","")&amp;"target_gender")</formula1>
    </dataValidation>
    <dataValidation type="list" showInputMessage="1" sqref="Z4:Z1048576">
      <formula1>INDIRECT(IF(ISNUMBER(VALUE(LEFT(A4,1))),"_","")&amp;SUBSTITUTE(SUBSTITUTE(A4,"-","_")," ","")&amp;"age_range_description")</formula1>
    </dataValidation>
    <dataValidation type="list" showInputMessage="1" showErrorMessage="1" sqref="AA4:AA1048576">
      <formula1>INDIRECT(IF(ISNUMBER(VALUE(LEFT(A4,1))),"_","")&amp;SUBSTITUTE(SUBSTITUTE(A4,"-","_")," ","")&amp;"apparel_size_system")</formula1>
    </dataValidation>
    <dataValidation type="list" showInputMessage="1" showErrorMessage="1" sqref="AB4:AB1048576">
      <formula1>INDIRECT(IF(ISNUMBER(VALUE(LEFT(A4,1))),"_","")&amp;SUBSTITUTE(SUBSTITUTE(A4,"-","_")," ","")&amp;"apparel_size_class")</formula1>
    </dataValidation>
    <dataValidation type="list" showInputMessage="1" showErrorMessage="1" sqref="AC4:AC1048576">
      <formula1>INDIRECT(IF(ISNUMBER(VALUE(LEFT(A4,1))),"_","")&amp;SUBSTITUTE(SUBSTITUTE(A4,"-","_")," ","")&amp;"apparel_size")</formula1>
    </dataValidation>
    <dataValidation type="list" showInputMessage="1" showErrorMessage="1" sqref="AD4:AD1048576">
      <formula1>INDIRECT(IF(ISNUMBER(VALUE(LEFT(A4,1))),"_","")&amp;SUBSTITUTE(SUBSTITUTE(A4,"-","_")," ","")&amp;"apparel_size_to")</formula1>
    </dataValidation>
    <dataValidation type="list" showInputMessage="1" showErrorMessage="1" sqref="AE4:AE1048576">
      <formula1>INDIRECT(IF(ISNUMBER(VALUE(LEFT(A4,1))),"_","")&amp;SUBSTITUTE(SUBSTITUTE(A4,"-","_")," ","")&amp;"apparel_body_type")</formula1>
    </dataValidation>
    <dataValidation type="list" showInputMessage="1" showErrorMessage="1" sqref="AF4:AF1048576">
      <formula1>INDIRECT(IF(ISNUMBER(VALUE(LEFT(A4,1))),"_","")&amp;SUBSTITUTE(SUBSTITUTE(A4,"-","_")," ","")&amp;"apparel_height_type")</formula1>
    </dataValidation>
    <dataValidation type="list" showInputMessage="1" showErrorMessage="1" sqref="AV4:AV1048576">
      <formula1>INDIRECT(IF(ISNUMBER(VALUE(LEFT(A4,1))),"_","")&amp;SUBSTITUTE(SUBSTITUTE(A4,"-","_")," ","")&amp;"parent_child")</formula1>
    </dataValidation>
    <dataValidation type="list" showInputMessage="1" showErrorMessage="1" sqref="AX4:AX1048576">
      <formula1>INDIRECT(IF(ISNUMBER(VALUE(LEFT(A4,1))),"_","")&amp;SUBSTITUTE(SUBSTITUTE(A4,"-","_")," ","")&amp;"relationship_type")</formula1>
    </dataValidation>
    <dataValidation type="list" showInputMessage="1" showErrorMessage="1" sqref="AY4:AY1048576">
      <formula1>INDIRECT(IF(ISNUMBER(VALUE(LEFT(A4,1))),"_","")&amp;SUBSTITUTE(SUBSTITUTE(A4,"-","_")," ","")&amp;"variation_theme")</formula1>
    </dataValidation>
    <dataValidation type="list" showInputMessage="1" showErrorMessage="1" sqref="AZ4:AZ1048576">
      <formula1>INDIRECT(IF(ISNUMBER(VALUE(LEFT(A4,1))),"_","")&amp;SUBSTITUTE(SUBSTITUTE(A4,"-","_")," ","")&amp;"package_level")</formula1>
    </dataValidation>
    <dataValidation type="list" showInputMessage="1" sqref="BI4:BI1048576 BJ5:BJ40">
      <formula1>INDIRECT(IF(ISNUMBER(VALUE(LEFT(A4,1))),"_","")&amp;SUBSTITUTE(SUBSTITUTE(A4,"-","_")," ","")&amp;"color_map")</formula1>
    </dataValidation>
    <dataValidation type="list" showInputMessage="1" sqref="BL4:BL1048576">
      <formula1>INDIRECT(IF(ISNUMBER(VALUE(LEFT(A4,1))),"_","")&amp;SUBSTITUTE(SUBSTITUTE(A4,"-","_")," ","")&amp;"collection_name")</formula1>
    </dataValidation>
    <dataValidation type="list" showInputMessage="1" sqref="BN4:BN1048576">
      <formula1>INDIRECT(IF(ISNUMBER(VALUE(LEFT(A4,1))),"_","")&amp;SUBSTITUTE(SUBSTITUTE(A4,"-","_")," ","")&amp;"lifestyle")</formula1>
    </dataValidation>
    <dataValidation type="list" showInputMessage="1" sqref="BO4:BO1048576">
      <formula1>INDIRECT(IF(ISNUMBER(VALUE(LEFT(A4,1))),"_","")&amp;SUBSTITUTE(SUBSTITUTE(A4,"-","_")," ","")&amp;"style_name")</formula1>
    </dataValidation>
    <dataValidation type="list" showInputMessage="1" sqref="BP4:BP1048576">
      <formula1>INDIRECT(IF(ISNUMBER(VALUE(LEFT(A4,1))),"_","")&amp;SUBSTITUTE(SUBSTITUTE(A4,"-","_")," ","")&amp;"department_name")</formula1>
    </dataValidation>
    <dataValidation type="list" showInputMessage="1" sqref="BQ4:BQ1048576">
      <formula1>INDIRECT(IF(ISNUMBER(VALUE(LEFT(A4,1))),"_","")&amp;SUBSTITUTE(SUBSTITUTE(A4,"-","_")," ","")&amp;"special_size_type")</formula1>
    </dataValidation>
    <dataValidation type="list" showInputMessage="1" showErrorMessage="1" sqref="BR4:BR1048576">
      <formula1>INDIRECT(IF(ISNUMBER(VALUE(LEFT(A4,1))),"_","")&amp;SUBSTITUTE(SUBSTITUTE(A4,"-","_")," ","")&amp;"is_autographed")</formula1>
    </dataValidation>
    <dataValidation type="list" showInputMessage="1" sqref="BS5:BS40">
      <formula1>INDIRECT(IF(ISNUMBER(VALUE(LEFT(XFD5,1))),"_","")&amp;SUBSTITUTE(SUBSTITUTE(XFD5,"-","_")," ","")&amp;"neck_style")</formula1>
    </dataValidation>
    <dataValidation type="list" showInputMessage="1" sqref="BT4:BT1048576">
      <formula1>INDIRECT(IF(ISNUMBER(VALUE(LEFT(A4,1))),"_","")&amp;SUBSTITUTE(SUBSTITUTE(A4,"-","_")," ","")&amp;"seasons")</formula1>
    </dataValidation>
    <dataValidation type="list" showInputMessage="1" sqref="BV4:BV1048576">
      <formula1>INDIRECT(IF(ISNUMBER(VALUE(LEFT(A4,1))),"_","")&amp;SUBSTITUTE(SUBSTITUTE(A4,"-","_")," ","")&amp;"team_name")</formula1>
    </dataValidation>
    <dataValidation type="list" showInputMessage="1" sqref="CC4:CC1048576">
      <formula1>INDIRECT(IF(ISNUMBER(VALUE(LEFT(A4,1))),"_","")&amp;SUBSTITUTE(SUBSTITUTE(A4,"-","_")," ","")&amp;"league_name")</formula1>
    </dataValidation>
    <dataValidation type="list" showInputMessage="1" showErrorMessage="1" sqref="CE4:CE1048576">
      <formula1>INDIRECT(IF(ISNUMBER(VALUE(LEFT(A4,1))),"_","")&amp;SUBSTITUTE(SUBSTITUTE(A4,"-","_")," ","")&amp;"lifecycle_supply_type")</formula1>
    </dataValidation>
    <dataValidation type="list" showInputMessage="1" sqref="CG4:CG1048576">
      <formula1>INDIRECT(IF(ISNUMBER(VALUE(LEFT(A4,1))),"_","")&amp;SUBSTITUTE(SUBSTITUTE(A4,"-","_")," ","")&amp;"sleeve_type")</formula1>
    </dataValidation>
    <dataValidation type="list" showInputMessage="1" showErrorMessage="1" sqref="CH4:CH1048576">
      <formula1>INDIRECT(IF(ISNUMBER(VALUE(LEFT(A4,1))),"_","")&amp;SUBSTITUTE(SUBSTITUTE(A4,"-","_")," ","")&amp;"ec_medical_device_sales_channel")</formula1>
    </dataValidation>
    <dataValidation type="list" showInputMessage="1" showErrorMessage="1" sqref="CI4:CI1048576">
      <formula1>INDIRECT(IF(ISNUMBER(VALUE(LEFT(A4,1))),"_","")&amp;SUBSTITUTE(SUBSTITUTE(A4,"-","_")," ","")&amp;"flash_point_unit_of_measure")</formula1>
    </dataValidation>
    <dataValidation type="list" showInputMessage="1" showErrorMessage="1" sqref="CJ4:CJ1048576">
      <formula1>INDIRECT(IF(ISNUMBER(VALUE(LEFT(A4,1))),"_","")&amp;SUBSTITUTE(SUBSTITUTE(A4,"-","_")," ","")&amp;"fc_shelf_life_unit_of_measure")</formula1>
    </dataValidation>
    <dataValidation type="list" showInputMessage="1" showErrorMessage="1" sqref="CL4:CL1048576">
      <formula1>INDIRECT(IF(ISNUMBER(VALUE(LEFT(A4,1))),"_","")&amp;SUBSTITUTE(SUBSTITUTE(A4,"-","_")," ","")&amp;"website_shipping_weight_unit_of_measure")</formula1>
    </dataValidation>
    <dataValidation type="list" showInputMessage="1" sqref="CM4:CM1048576">
      <formula1>INDIRECT(IF(ISNUMBER(VALUE(LEFT(A4,1))),"_","")&amp;SUBSTITUTE(SUBSTITUTE(A4,"-","_")," ","")&amp;"size_map")</formula1>
    </dataValidation>
    <dataValidation type="list" showInputMessage="1" sqref="CN4:CN1048576">
      <formula1>INDIRECT(IF(ISNUMBER(VALUE(LEFT(A4,1))),"_","")&amp;SUBSTITUTE(SUBSTITUTE(A4,"-","_")," ","")&amp;"item_length_description")</formula1>
    </dataValidation>
    <dataValidation type="list" showInputMessage="1" showErrorMessage="1" sqref="CP4:CP1048576">
      <formula1>INDIRECT(IF(ISNUMBER(VALUE(LEFT(A4,1))),"_","")&amp;SUBSTITUTE(SUBSTITUTE(A4,"-","_")," ","")&amp;"fulfillment_center_id")</formula1>
    </dataValidation>
    <dataValidation type="list" showInputMessage="1" showErrorMessage="1" sqref="CT4:CT1048576">
      <formula1>INDIRECT(IF(ISNUMBER(VALUE(LEFT(A4,1))),"_","")&amp;SUBSTITUTE(SUBSTITUTE(A4,"-","_")," ","")&amp;"package_length_unit_of_measure")</formula1>
    </dataValidation>
    <dataValidation type="list" showInputMessage="1" showErrorMessage="1" sqref="CV4:CV1048576">
      <formula1>INDIRECT(IF(ISNUMBER(VALUE(LEFT(A4,1))),"_","")&amp;SUBSTITUTE(SUBSTITUTE(A4,"-","_")," ","")&amp;"package_weight_unit_of_measure")</formula1>
    </dataValidation>
    <dataValidation type="list" showInputMessage="1" showErrorMessage="1" sqref="CW4:CW1048576">
      <formula1>INDIRECT(IF(ISNUMBER(VALUE(LEFT(A4,1))),"_","")&amp;SUBSTITUTE(SUBSTITUTE(A4,"-","_")," ","")&amp;"package_height_unit_of_measure")</formula1>
    </dataValidation>
    <dataValidation type="list" showInputMessage="1" showErrorMessage="1" sqref="CX4:CX1048576">
      <formula1>INDIRECT(IF(ISNUMBER(VALUE(LEFT(A4,1))),"_","")&amp;SUBSTITUTE(SUBSTITUTE(A4,"-","_")," ","")&amp;"package_width_unit_of_measure")</formula1>
    </dataValidation>
    <dataValidation type="list" showInputMessage="1" showErrorMessage="1" sqref="CY4:CY1048576">
      <formula1>INDIRECT(IF(ISNUMBER(VALUE(LEFT(A4,1))),"_","")&amp;SUBSTITUTE(SUBSTITUTE(A4,"-","_")," ","")&amp;"country_of_origin")</formula1>
    </dataValidation>
    <dataValidation type="list" showInputMessage="1" showErrorMessage="1" sqref="CZ4:CZ1048576">
      <formula1>INDIRECT(IF(ISNUMBER(VALUE(LEFT(A4,1))),"_","")&amp;SUBSTITUTE(SUBSTITUTE(A4,"-","_")," ","")&amp;"batteries_required")</formula1>
    </dataValidation>
    <dataValidation type="list" showInputMessage="1" showErrorMessage="1" sqref="DA4:DA1048576">
      <formula1>INDIRECT(IF(ISNUMBER(VALUE(LEFT(A4,1))),"_","")&amp;SUBSTITUTE(SUBSTITUTE(A4,"-","_")," ","")&amp;"are_batteries_included")</formula1>
    </dataValidation>
    <dataValidation type="list" showInputMessage="1" showErrorMessage="1" sqref="DB4:DB1048576">
      <formula1>INDIRECT(IF(ISNUMBER(VALUE(LEFT(A4,1))),"_","")&amp;SUBSTITUTE(SUBSTITUTE(A4,"-","_")," ","")&amp;"battery_cell_composition")</formula1>
    </dataValidation>
    <dataValidation type="list" showInputMessage="1" showErrorMessage="1" sqref="DC4:DC1048576">
      <formula1>INDIRECT(IF(ISNUMBER(VALUE(LEFT(A4,1))),"_","")&amp;SUBSTITUTE(SUBSTITUTE(A4,"-","_")," ","")&amp;"battery_type")</formula1>
    </dataValidation>
    <dataValidation type="list" showInputMessage="1" showErrorMessage="1" sqref="DD4:DD1048576">
      <formula1>INDIRECT(IF(ISNUMBER(VALUE(LEFT(A4,1))),"_","")&amp;SUBSTITUTE(SUBSTITUTE(A4,"-","_")," ","")&amp;"battery_type")</formula1>
    </dataValidation>
    <dataValidation type="list" showInputMessage="1" showErrorMessage="1" sqref="DE4:DE1048576">
      <formula1>INDIRECT(IF(ISNUMBER(VALUE(LEFT(A4,1))),"_","")&amp;SUBSTITUTE(SUBSTITUTE(A4,"-","_")," ","")&amp;"battery_type")</formula1>
    </dataValidation>
    <dataValidation type="list" showInputMessage="1" showErrorMessage="1" sqref="DJ4:DJ1048576">
      <formula1>INDIRECT(IF(ISNUMBER(VALUE(LEFT(A4,1))),"_","")&amp;SUBSTITUTE(SUBSTITUTE(A4,"-","_")," ","")&amp;"battery_weight_unit_of_measure")</formula1>
    </dataValidation>
    <dataValidation type="list" showInputMessage="1" showErrorMessage="1" sqref="DM4:DM1048576">
      <formula1>INDIRECT(IF(ISNUMBER(VALUE(LEFT(A4,1))),"_","")&amp;SUBSTITUTE(SUBSTITUTE(A4,"-","_")," ","")&amp;"lithium_battery_packaging")</formula1>
    </dataValidation>
    <dataValidation type="list" showInputMessage="1" showErrorMessage="1" sqref="DO4:DO1048576">
      <formula1>INDIRECT(IF(ISNUMBER(VALUE(LEFT(A4,1))),"_","")&amp;SUBSTITUTE(SUBSTITUTE(A4,"-","_")," ","")&amp;"lithium_battery_energy_content_unit_of_measure")</formula1>
    </dataValidation>
    <dataValidation type="list" showInputMessage="1" showErrorMessage="1" sqref="DQ4:DQ1048576">
      <formula1>INDIRECT(IF(ISNUMBER(VALUE(LEFT(A4,1))),"_","")&amp;SUBSTITUTE(SUBSTITUTE(A4,"-","_")," ","")&amp;"lithium_battery_weight_unit_of_measure")</formula1>
    </dataValidation>
    <dataValidation type="list" showInputMessage="1" showErrorMessage="1" sqref="DR4:DR1048576">
      <formula1>INDIRECT(IF(ISNUMBER(VALUE(LEFT(A4,1))),"_","")&amp;SUBSTITUTE(SUBSTITUTE(A4,"-","_")," ","")&amp;"supplier_declared_dg_hz_regulation")</formula1>
    </dataValidation>
    <dataValidation type="list" showInputMessage="1" showErrorMessage="1" sqref="DS4:DS1048576">
      <formula1>INDIRECT(IF(ISNUMBER(VALUE(LEFT(A4,1))),"_","")&amp;SUBSTITUTE(SUBSTITUTE(A4,"-","_")," ","")&amp;"supplier_declared_dg_hz_regulation")</formula1>
    </dataValidation>
    <dataValidation type="list" showInputMessage="1" showErrorMessage="1" sqref="DT4:DT1048576">
      <formula1>INDIRECT(IF(ISNUMBER(VALUE(LEFT(A4,1))),"_","")&amp;SUBSTITUTE(SUBSTITUTE(A4,"-","_")," ","")&amp;"supplier_declared_dg_hz_regulation")</formula1>
    </dataValidation>
    <dataValidation type="list" showInputMessage="1" showErrorMessage="1" sqref="DU4:DU1048576">
      <formula1>INDIRECT(IF(ISNUMBER(VALUE(LEFT(A4,1))),"_","")&amp;SUBSTITUTE(SUBSTITUTE(A4,"-","_")," ","")&amp;"supplier_declared_dg_hz_regulation")</formula1>
    </dataValidation>
    <dataValidation type="list" showInputMessage="1" showErrorMessage="1" sqref="DV4:DV1048576">
      <formula1>INDIRECT(IF(ISNUMBER(VALUE(LEFT(A4,1))),"_","")&amp;SUBSTITUTE(SUBSTITUTE(A4,"-","_")," ","")&amp;"supplier_declared_dg_hz_regulation")</formula1>
    </dataValidation>
    <dataValidation type="list" showInputMessage="1" showErrorMessage="1" sqref="DZ4:DZ1048576">
      <formula1>INDIRECT(IF(ISNUMBER(VALUE(LEFT(A4,1))),"_","")&amp;SUBSTITUTE(SUBSTITUTE(A4,"-","_")," ","")&amp;"item_weight_unit_of_measure")</formula1>
    </dataValidation>
    <dataValidation type="list" showInputMessage="1" showErrorMessage="1" sqref="EB4:EB1048576">
      <formula1>INDIRECT(IF(ISNUMBER(VALUE(LEFT(A4,1))),"_","")&amp;SUBSTITUTE(SUBSTITUTE(A4,"-","_")," ","")&amp;"item_volume_unit_of_measure")</formula1>
    </dataValidation>
    <dataValidation type="list" showInputMessage="1" showErrorMessage="1" sqref="EF4:EF1048576">
      <formula1>INDIRECT(IF(ISNUMBER(VALUE(LEFT(A4,1))),"_","")&amp;SUBSTITUTE(SUBSTITUTE(A4,"-","_")," ","")&amp;"eu_toys_safety_directive_language")</formula1>
    </dataValidation>
    <dataValidation type="list" showInputMessage="1" showErrorMessage="1" sqref="EG4:EG1048576">
      <formula1>INDIRECT(IF(ISNUMBER(VALUE(LEFT(A4,1))),"_","")&amp;SUBSTITUTE(SUBSTITUTE(A4,"-","_")," ","")&amp;"eu_toys_safety_directive_warning")</formula1>
    </dataValidation>
    <dataValidation type="list" showInputMessage="1" showErrorMessage="1" sqref="EH4:EH1048576">
      <formula1>INDIRECT(IF(ISNUMBER(VALUE(LEFT(A4,1))),"_","")&amp;SUBSTITUTE(SUBSTITUTE(A4,"-","_")," ","")&amp;"supplier_declared_material_regulation")</formula1>
    </dataValidation>
    <dataValidation type="list" showInputMessage="1" showErrorMessage="1" sqref="EI4:EI1048576">
      <formula1>INDIRECT(IF(ISNUMBER(VALUE(LEFT(A4,1))),"_","")&amp;SUBSTITUTE(SUBSTITUTE(A4,"-","_")," ","")&amp;"supplier_declared_material_regulation")</formula1>
    </dataValidation>
    <dataValidation type="list" showInputMessage="1" showErrorMessage="1" sqref="EJ4:EJ1048576">
      <formula1>INDIRECT(IF(ISNUMBER(VALUE(LEFT(A4,1))),"_","")&amp;SUBSTITUTE(SUBSTITUTE(A4,"-","_")," ","")&amp;"supplier_declared_material_regulation")</formula1>
    </dataValidation>
    <dataValidation type="list" showInputMessage="1" showErrorMessage="1" sqref="EK4:EK1048576">
      <formula1>INDIRECT(IF(ISNUMBER(VALUE(LEFT(A4,1))),"_","")&amp;SUBSTITUTE(SUBSTITUTE(A4,"-","_")," ","")&amp;"ghs_classification_class")</formula1>
    </dataValidation>
    <dataValidation type="list" showInputMessage="1" showErrorMessage="1" sqref="EL4:EL1048576">
      <formula1>INDIRECT(IF(ISNUMBER(VALUE(LEFT(A4,1))),"_","")&amp;SUBSTITUTE(SUBSTITUTE(A4,"-","_")," ","")&amp;"ghs_classification_class")</formula1>
    </dataValidation>
    <dataValidation type="list" showInputMessage="1" showErrorMessage="1" sqref="EM4:EM1048576">
      <formula1>INDIRECT(IF(ISNUMBER(VALUE(LEFT(A4,1))),"_","")&amp;SUBSTITUTE(SUBSTITUTE(A4,"-","_")," ","")&amp;"ghs_classification_class")</formula1>
    </dataValidation>
    <dataValidation type="list" showInputMessage="1" showErrorMessage="1" sqref="EN4:EN1048576">
      <formula1>INDIRECT(IF(ISNUMBER(VALUE(LEFT(A4,1))),"_","")&amp;SUBSTITUTE(SUBSTITUTE(A4,"-","_")," ","")&amp;"currency")</formula1>
    </dataValidation>
    <dataValidation type="list" showInputMessage="1" showErrorMessage="1" sqref="EV4:EV1048576">
      <formula1>INDIRECT(IF(ISNUMBER(VALUE(LEFT(A4,1))),"_","")&amp;SUBSTITUTE(SUBSTITUTE(A4,"-","_")," ","")&amp;"offering_can_be_gift_messaged")</formula1>
    </dataValidation>
    <dataValidation type="list" showInputMessage="1" showErrorMessage="1" sqref="EW4:EW1048576">
      <formula1>INDIRECT(IF(ISNUMBER(VALUE(LEFT(A4,1))),"_","")&amp;SUBSTITUTE(SUBSTITUTE(A4,"-","_")," ","")&amp;"offering_can_be_giftwrapped")</formula1>
    </dataValidation>
    <dataValidation type="list" showInputMessage="1" showErrorMessage="1" sqref="EX4:EX1048576">
      <formula1>INDIRECT(IF(ISNUMBER(VALUE(LEFT(A4,1))),"_","")&amp;SUBSTITUTE(SUBSTITUTE(A4,"-","_")," ","")&amp;"is_discontinued_by_manufacturer")</formula1>
    </dataValidation>
    <dataValidation type="list" showInputMessage="1" showErrorMessage="1" sqref="FA4:FA1048576">
      <formula1>INDIRECT(IF(ISNUMBER(VALUE(LEFT(A4,1))),"_","")&amp;SUBSTITUTE(SUBSTITUTE(A4,"-","_")," ","")&amp;"is_expiration_dated_product")</formula1>
    </dataValidation>
    <dataValidation type="list" showInputMessage="1" sqref="FD4:FD1048576">
      <formula1>INDIRECT(IF(ISNUMBER(VALUE(LEFT(A4,1))),"_","")&amp;SUBSTITUTE(SUBSTITUTE(A4,"-","_")," ","")&amp;"product_expiration_type")</formula1>
    </dataValidation>
    <dataValidation type="list" showInputMessage="1" sqref="FH4:FH1048576">
      <formula1>merchant_shipping_group_name</formula1>
    </dataValidation>
    <dataValidation type="list" showInputMessage="1" sqref="FK4:FK1048576">
      <formula1>INDIRECT(IF(ISNUMBER(VALUE(LEFT(A4,1))),"_","")&amp;SUBSTITUTE(SUBSTITUTE(A4,"-","_")," ","")&amp;"product_tax_code")</formula1>
    </dataValidation>
    <dataValidation type="list" showInputMessage="1" showErrorMessage="1" sqref="FL4:FL1048576">
      <formula1>INDIRECT(IF(ISNUMBER(VALUE(LEFT(A4,1))),"_","")&amp;SUBSTITUTE(SUBSTITUTE(A4,"-","_")," ","")&amp;"condition_type")</formula1>
    </dataValidation>
    <dataValidation type="list" showInputMessage="1" showErrorMessage="1" sqref="FO4:FO1048576">
      <formula1>INDIRECT(IF(ISNUMBER(VALUE(LEFT(A4,1))),"_","")&amp;SUBSTITUTE(SUBSTITUTE(A4,"-","_")," ","")&amp;"quantity_price_type")</formula1>
    </dataValidation>
    <dataValidation type="list" showInputMessage="1" showErrorMessage="1" sqref="FZ4:FZ1048576">
      <formula1>INDIRECT(IF(ISNUMBER(VALUE(LEFT(A4,1))),"_","")&amp;SUBSTITUTE(SUBSTITUTE(A4,"-","_")," ","")&amp;"progressive_discount_type")</formula1>
    </dataValidation>
    <dataValidation type="list" showInputMessage="1" showErrorMessage="1" sqref="GI4:GI1048576">
      <formula1>INDIRECT(IF(ISNUMBER(VALUE(LEFT(A4,1))),"_","")&amp;SUBSTITUTE(SUBSTITUTE(A4,"-","_")," ","")&amp;"pricing_action")</formula1>
    </dataValidation>
  </dataValidations>
  <pageMargins left="0.75" right="0.75" top="1" bottom="1" header="0.5" footer="0.5"/>
  <pageSetup paperSize="1" orientation="portrait"/>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dimension ref="A1:D13"/>
  <sheetViews>
    <sheetView workbookViewId="0">
      <selection activeCell="A1" sqref="A1"/>
    </sheetView>
  </sheetViews>
  <sheetFormatPr defaultColWidth="9" defaultRowHeight="16.8" outlineLevelCol="3"/>
  <cols>
    <col min="1" max="4" width="8" style="1" customWidth="1"/>
  </cols>
  <sheetData>
    <row r="1" spans="1:4">
      <c r="A1" s="1" t="s">
        <v>2037</v>
      </c>
      <c r="B1" s="1" t="s">
        <v>2038</v>
      </c>
      <c r="C1" s="1" t="s">
        <v>2039</v>
      </c>
      <c r="D1" s="1" t="s">
        <v>2040</v>
      </c>
    </row>
    <row r="2" spans="1:4">
      <c r="A2" s="1" t="s">
        <v>88</v>
      </c>
      <c r="B2" s="1" t="s">
        <v>2041</v>
      </c>
      <c r="C2" s="1" t="s">
        <v>286</v>
      </c>
      <c r="D2" s="1" t="s">
        <v>87</v>
      </c>
    </row>
    <row r="3" spans="1:4">
      <c r="B3" s="1" t="s">
        <v>2042</v>
      </c>
    </row>
    <row r="4" spans="1:4">
      <c r="B4" s="1" t="s">
        <v>2043</v>
      </c>
    </row>
    <row r="5" spans="1:4">
      <c r="B5" s="1" t="s">
        <v>2044</v>
      </c>
    </row>
    <row r="6" spans="1:4">
      <c r="B6" s="1" t="s">
        <v>594</v>
      </c>
    </row>
    <row r="7" spans="1:4">
      <c r="B7" s="1" t="s">
        <v>608</v>
      </c>
    </row>
    <row r="8" spans="1:4">
      <c r="B8" s="1" t="s">
        <v>2045</v>
      </c>
    </row>
    <row r="9" spans="1:4">
      <c r="B9" s="1" t="s">
        <v>2046</v>
      </c>
    </row>
    <row r="10" spans="1:4">
      <c r="B10" s="1" t="s">
        <v>2047</v>
      </c>
    </row>
    <row r="11" spans="1:4">
      <c r="B11" s="1" t="s">
        <v>2048</v>
      </c>
    </row>
    <row r="12" spans="1:4">
      <c r="B12" s="1" t="s">
        <v>2049</v>
      </c>
    </row>
    <row r="13" spans="1:4">
      <c r="B13" s="1" t="s">
        <v>2050</v>
      </c>
    </row>
  </sheetData>
  <pageMargins left="0.75" right="0.75" top="1" bottom="1" header="0.5" footer="0.5"/>
  <pageSetup paperSize="1"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4</vt:i4>
      </vt:variant>
    </vt:vector>
  </HeadingPairs>
  <TitlesOfParts>
    <vt:vector size="4" baseType="lpstr">
      <vt:lpstr>Dropdown Lists</vt:lpstr>
      <vt:lpstr>AttributePTDMAP</vt:lpstr>
      <vt:lpstr>template</vt:lpstr>
      <vt:lpstr>Conditions List</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Amazon</dc:creator>
  <cp:lastModifiedBy>melodylu</cp:lastModifiedBy>
  <dcterms:created xsi:type="dcterms:W3CDTF">2012-05-03T18:29:00Z</dcterms:created>
  <dcterms:modified xsi:type="dcterms:W3CDTF">2026-03-18T13:20:29Z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2052-12.1.25201.25201</vt:lpwstr>
  </property>
  <property fmtid="{D5CDD505-2E9C-101B-9397-08002B2CF9AE}" pid="3" name="ICV">
    <vt:lpwstr>DA4646DB4837491685ECD401E34C0CE7_13</vt:lpwstr>
  </property>
  <property fmtid="{D5CDD505-2E9C-101B-9397-08002B2CF9AE}" pid="4" name="CalculationRule">
    <vt:i4>0</vt:i4>
  </property>
</Properties>
</file>