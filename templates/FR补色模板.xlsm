
<file path=[Content_Types].xml><?xml version="1.0" encoding="utf-8"?>
<Types xmlns="http://schemas.openxmlformats.org/package/2006/content-types">
  <Default Extension="xml" ContentType="application/xml"/>
  <Default Extension="vml" ContentType="application/vnd.openxmlformats-officedocument.vmlDrawing"/>
  <Default Extension="png" ContentType="image/png"/>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30200" windowHeight="15280" firstSheet="7" activeTab="7"/>
  </bookViews>
  <sheets>
    <sheet name="icons" sheetId="8" state="veryHidden" r:id="rId1"/>
    <sheet name="International URLs" sheetId="9" state="veryHidden" r:id="rId2"/>
    <sheet name="International Settings" sheetId="11" state="veryHidden" r:id="rId3"/>
    <sheet name="DropdownSizer" sheetId="13" state="veryHidden" r:id="rId4"/>
    <sheet name="International Translations" sheetId="14" state="veryHidden" r:id="rId5"/>
    <sheet name="Data Validation" sheetId="15" state="veryHidden" r:id="rId6"/>
    <sheet name="International Data" sheetId="16" state="veryHidden" r:id="rId7"/>
    <sheet name="template" sheetId="2" r:id="rId8"/>
    <sheet name="Dropdown Lists" sheetId="5" state="hidden" r:id="rId9"/>
    <sheet name="AttributePTDMAP" sheetId="6" state="hidden" r:id="rId10"/>
  </sheets>
  <externalReferences>
    <externalReference r:id="rId16"/>
    <externalReference r:id="rId17"/>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brand_name">'Dropdown Lists'!$BF$4:$BF$5</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essage_range_description">'Dropdown Lists'!$C$4:$C$7</definedName>
    <definedName name="dressapparel_body_type">'Dropdown Lists'!$D$4:$D$5</definedName>
    <definedName name="dressapparel_height_type">'Dropdown Lists'!$U$4:$U$8</definedName>
    <definedName name="dressapparel_size">'Dropdown Lists'!$AL$4:$AL$96</definedName>
    <definedName name="dressapparel_size_class">'Dropdown Lists'!$AU$4:$AU$6</definedName>
    <definedName name="dressapparel_size_system">'Dropdown Lists'!$AS$4</definedName>
    <definedName name="dressapparel_size_to">'Dropdown Lists'!$BM$4:$BM$96</definedName>
    <definedName name="dressare_batteries_included">'Dropdown Lists'!$W$4:$W$5</definedName>
    <definedName name="dressbatteries_required">'Dropdown Lists'!$Q$4:$Q$5</definedName>
    <definedName name="dressbattery_cell_composition">'Dropdown Lists'!$R$4:$R$36</definedName>
    <definedName name="dressbattery_type1">'Dropdown Lists'!$AO$4:$AO$22</definedName>
    <definedName name="dressbattery_type2">'Dropdown Lists'!$AP$4:$AP$22</definedName>
    <definedName name="dressbattery_type3">'Dropdown Lists'!$AQ$4:$AQ$22</definedName>
    <definedName name="dressbattery_weight_unit_of_measure">'Dropdown Lists'!$AY$4:$AY$10</definedName>
    <definedName name="dresscollection_name">'Dropdown Lists'!$AB$4:$AB$17</definedName>
    <definedName name="dresscolor_map">'Dropdown Lists'!$V$4:$V$20</definedName>
    <definedName name="dresscondition_type">'Dropdown Lists'!$AW$4:$AW$13</definedName>
    <definedName name="dresscountry_of_origin">'Dropdown Lists'!$E$4:$E$271</definedName>
    <definedName name="dresscurrency">'Dropdown Lists'!$K$4:$K$11</definedName>
    <definedName name="dressdepartment_name">'Dropdown Lists'!$AV$4:$AV$9</definedName>
    <definedName name="dresseu_toys_safety_directive_age_warning">'Dropdown Lists'!$BG$4:$BG$17</definedName>
    <definedName name="dresseu_toys_safety_directive_language">'Dropdown Lists'!$Z$4:$Z$24</definedName>
    <definedName name="dresseu_toys_safety_directive_warning">'Dropdown Lists'!$AT$4:$AT$12</definedName>
    <definedName name="dressexternal_product_id_type">'Dropdown Lists'!$G$4:$G$8</definedName>
    <definedName name="dressfulfillment_center_id">'Dropdown Lists'!$AF$4:$AF$5</definedName>
    <definedName name="dressghs_classification_class1">'Dropdown Lists'!$AI$4:$AI$13</definedName>
    <definedName name="dressghs_classification_class2">'Dropdown Lists'!$AJ$4:$AJ$13</definedName>
    <definedName name="dressghs_classification_class3">'Dropdown Lists'!$AK$4:$AK$13</definedName>
    <definedName name="dressgtin_exemption_reason">'Dropdown Lists'!$BA$4:$BA$5</definedName>
    <definedName name="dressis_adult_product">'Dropdown Lists'!$J$4:$J$5</definedName>
    <definedName name="dressis_discontinued_by_manufacturer">'Dropdown Lists'!$BB$4:$BB$5</definedName>
    <definedName name="dressitem_dimensions_unit_of_measure">'Dropdown Lists'!$BI$4:$BI$18</definedName>
    <definedName name="dressitem_length_description">'Dropdown Lists'!$AH$4:$AH$7</definedName>
    <definedName name="dressitem_volume_unit_of_measure">'Dropdown Lists'!$BD$4:$BD$22</definedName>
    <definedName name="dressitem_weight_unit_of_measure">'Dropdown Lists'!$BC$4:$BC$10</definedName>
    <definedName name="dresslifestyle">'Dropdown Lists'!$AG$4:$AG$7</definedName>
    <definedName name="dresslithium_battery_energy_content_unit_of_measure">'Dropdown Lists'!$AN$4:$AN$12</definedName>
    <definedName name="dresslithium_battery_packaging">'Dropdown Lists'!$F$4:$F$6</definedName>
    <definedName name="dresslithium_battery_weight_unit_of_measure">'Dropdown Lists'!$AE$4:$AE$10</definedName>
    <definedName name="dressoffering_can_be_gift_messaged">'Dropdown Lists'!$BL$4:$BL$5</definedName>
    <definedName name="dressoffering_can_be_giftwrapped">'Dropdown Lists'!$AM$4:$AM$5</definedName>
    <definedName name="dressouter_material_type">'Dropdown Lists'!$AR$4:$AR$29</definedName>
    <definedName name="dresspackage_dimensions_unit_of_measure">'Dropdown Lists'!$AC$4:$AC$18</definedName>
    <definedName name="dresspackage_weight_unit_of_measure">'Dropdown Lists'!$S$4:$S$10</definedName>
    <definedName name="dressparent_child">'Dropdown Lists'!$BH$4:$BH$7</definedName>
    <definedName name="dresspricing_action">'Dropdown Lists'!$BE$4:$BE$6</definedName>
    <definedName name="dressproduct_tax_code">'Dropdown Lists'!$BK$4:$BK$69</definedName>
    <definedName name="dressprogressive_discount_type">'Dropdown Lists'!$AD$4:$AD$5</definedName>
    <definedName name="dressquantity_price_type">'Dropdown Lists'!$BJ$4:$BJ$5</definedName>
    <definedName name="dressrecommended_browse_nodes">'Dropdown Lists'!$BO$4:$BO$8</definedName>
    <definedName name="dressrelationship_type">'Dropdown Lists'!$B$4:$B$6</definedName>
    <definedName name="dressseasons">'Dropdown Lists'!$Y$4:$Y$5</definedName>
    <definedName name="dresssize_map">'Dropdown Lists'!$X$4:$X$21</definedName>
    <definedName name="dressspecial_size_type">'Dropdown Lists'!$AX$4:$AX$7</definedName>
    <definedName name="dressstyle_name">'Dropdown Lists'!$BN$4:$BN$24</definedName>
    <definedName name="dresssupplier_declared_dg_hz_regulation1">'Dropdown Lists'!$L$4:$L$10</definedName>
    <definedName name="dresssupplier_declared_dg_hz_regulation2">'Dropdown Lists'!$M$4:$M$10</definedName>
    <definedName name="dresssupplier_declared_dg_hz_regulation3">'Dropdown Lists'!$N$4:$N$10</definedName>
    <definedName name="dresssupplier_declared_dg_hz_regulation4">'Dropdown Lists'!$O$4:$O$10</definedName>
    <definedName name="dresssupplier_declared_dg_hz_regulation5">'Dropdown Lists'!$P$4:$P$10</definedName>
    <definedName name="dresstarget_gender">'Dropdown Lists'!$I$4:$I$6</definedName>
    <definedName name="dressupdate_delete">'Dropdown Lists'!$T$4:$T$6</definedName>
    <definedName name="dressvariation_theme">'Dropdown Lists'!$H$4:$H$20</definedName>
    <definedName name="dresswebsite_shipping_weight_unit_of_measure">'Dropdown Lists'!$AA$4:$AA$10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template!$B:$B</definedName>
    <definedName name="Last_Update">'International Settings'!$A$27</definedName>
    <definedName name="Macros_Version">'International Settings'!$A$36</definedName>
    <definedName name="merchant_shipping_group_name">'Dropdown Lists'!$AZ$4:$AZ$11</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AttributePTDMAP!$A$56:$B$164</definedName>
    <definedName name="preferredAttributePTDMap">AttributePTDMAP!$A$165:$B$165</definedName>
    <definedName name="requiredAttributePTDMap">AttributePTDMAP!$A$1:$B$55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<sst xmlns="http://schemas.openxmlformats.org/spreadsheetml/2006/main" count="2974" uniqueCount="2040">
  <si>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</si>
  <si>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</si>
  <si>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</si>
  <si>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</si>
  <si>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</si>
  <si>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</si>
  <si>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</si>
  <si>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</si>
  <si>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</si>
  <si>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</si>
  <si>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</si>
  <si>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</si>
  <si>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</si>
  <si>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</si>
  <si>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</si>
  <si>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</si>
  <si>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</si>
  <si>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</si>
  <si>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</si>
  <si>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</si>
  <si>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</si>
  <si>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</si>
  <si>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</si>
  <si>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</si>
  <si>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</si>
  <si>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</si>
  <si>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</si>
  <si>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</si>
  <si>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</si>
  <si>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</si>
  <si>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</si>
  <si>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</si>
  <si>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</si>
  <si>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</si>
  <si>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</si>
  <si>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</si>
  <si>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</si>
  <si>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</si>
  <si>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</si>
  <si>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</si>
  <si>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</si>
  <si>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</si>
  <si>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</si>
  <si>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</si>
  <si>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</si>
  <si>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</si>
  <si>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</si>
  <si>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</si>
  <si>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</si>
  <si>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</si>
  <si>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</si>
  <si>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</si>
  <si>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</si>
  <si>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</si>
  <si>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</si>
  <si>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</si>
  <si>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</si>
  <si>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</si>
  <si>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</si>
  <si>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</si>
  <si>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</si>
  <si>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</si>
  <si>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</si>
  <si>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</si>
  <si>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</si>
  <si>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</si>
  <si>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</si>
  <si>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</si>
  <si>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</si>
  <si>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</si>
  <si>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</si>
  <si>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</si>
  <si>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</si>
  <si>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</si>
  <si>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</si>
  <si>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</si>
  <si>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</si>
  <si>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</si>
  <si>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</si>
  <si>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</si>
  <si>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</si>
  <si>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</si>
  <si>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</si>
  <si>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</si>
  <si>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</si>
  <si>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</si>
  <si>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</si>
  <si>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</si>
  <si>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Validez</t>
  </si>
  <si>
    <t>Validate Toolbar Button Caption</t>
  </si>
  <si>
    <t>Téléchargez le fichier</t>
  </si>
  <si>
    <t>Upload Toolbar Button Caption</t>
  </si>
  <si>
    <t>Identifiants</t>
  </si>
  <si>
    <t>Credentials Toolbar Button Caption</t>
  </si>
  <si>
    <t>Importez un fichier</t>
  </si>
  <si>
    <t>Import Toolbar Button Caption</t>
  </si>
  <si>
    <t>Mettre modèle à jour</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</si>
  <si>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</si>
  <si>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</si>
  <si>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</si>
  <si>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</si>
  <si>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</si>
  <si>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</si>
  <si>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</si>
  <si>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</si>
  <si>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</si>
  <si>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</si>
  <si>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</si>
  <si>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Types de fichiers acceptés pour importation :</t>
  </si>
  <si>
    <t>active_cell_sku_header</t>
  </si>
  <si>
    <t>La cellule active n'est pas un en-tête SKU.</t>
  </si>
  <si>
    <t>add_offer</t>
  </si>
  <si>
    <t>Ajouter une offre pour cet article</t>
  </si>
  <si>
    <t>alphabetical_order</t>
  </si>
  <si>
    <t>Ordre alphabétique</t>
  </si>
  <si>
    <t>amazon_listing_loader</t>
  </si>
  <si>
    <t>Listing Loader d'Amazon</t>
  </si>
  <si>
    <t>amazon_template_localization</t>
  </si>
  <si>
    <t>Localisation de modèles Amazon</t>
  </si>
  <si>
    <t>amazon_upload</t>
  </si>
  <si>
    <t>Téléchargement Amazon</t>
  </si>
  <si>
    <t>amazon_upload_manager</t>
  </si>
  <si>
    <t>Gestionnaire de téléchargement Amazon</t>
  </si>
  <si>
    <t>amazon_validation</t>
  </si>
  <si>
    <t>Validation d'Amazon</t>
  </si>
  <si>
    <t>applying_dropdown_lists_1</t>
  </si>
  <si>
    <t xml:space="preserve">Application de listes déroulantes pour le modèle </t>
  </si>
  <si>
    <t>applying_dropdown_lists_2</t>
  </si>
  <si>
    <t>...</t>
  </si>
  <si>
    <t>auto_fill_sku</t>
  </si>
  <si>
    <t>SKU automatiquement crée</t>
  </si>
  <si>
    <t>auto_update_days</t>
  </si>
  <si>
    <t>Jours entre les mises à jour automatiques</t>
  </si>
  <si>
    <t>automatically_looked_up</t>
  </si>
  <si>
    <t>Lorsque ceci est activé, les articles seront automatiquement recherchés alors que vous les entrez et passez à la cellule suivante</t>
  </si>
  <si>
    <t>aws_id</t>
  </si>
  <si>
    <t>ID de clé d'accès AWS :</t>
  </si>
  <si>
    <t>bad_identifier</t>
  </si>
  <si>
    <t xml:space="preserve">Mauvais identificateur </t>
  </si>
  <si>
    <t>batch_id</t>
  </si>
  <si>
    <t>ID de lot :</t>
  </si>
  <si>
    <t>browse_file</t>
  </si>
  <si>
    <t>Rechercher le fichier à charger.</t>
  </si>
  <si>
    <t>browse_file_header</t>
  </si>
  <si>
    <t>Rechercher le fichier à charger :</t>
  </si>
  <si>
    <t>browse_to_data_validation</t>
  </si>
  <si>
    <t>Accédez au classeur Excel du tableau de la validation des données Web</t>
  </si>
  <si>
    <t>browse_to_workbook_1</t>
  </si>
  <si>
    <t xml:space="preserve">Accédez au classeur avec les Ddefs modifiés à importer dans </t>
  </si>
  <si>
    <t>browse_to_workbook_2</t>
  </si>
  <si>
    <t>…</t>
  </si>
  <si>
    <t>bulk_lookup</t>
  </si>
  <si>
    <t>Vérification de plusieurs produits</t>
  </si>
  <si>
    <t>cancelled</t>
  </si>
  <si>
    <t>Annulé</t>
  </si>
  <si>
    <t>cannot_create_list</t>
  </si>
  <si>
    <t>Impossible de créer une liste</t>
  </si>
  <si>
    <t>cannot_find_xml_text</t>
  </si>
  <si>
    <t>Vous ne pouvez pas utiliser la fonctionnalité avancée dans le Listing Loader, parce qu'une bibliothèque XML requise n'est pas disponible sur cet ordinateur. Installez une bibliothèque MSXML à partir de Microsoft.com et réessayez.</t>
  </si>
  <si>
    <t>cannot_proceed_1</t>
  </si>
  <si>
    <t>Impossible de continuer, car il n'y avait rien à valider.</t>
  </si>
  <si>
    <t>cannot_proceed_2</t>
  </si>
  <si>
    <t>Entrez un caractère dans la première ligne de données de la première colonne de la feuille du modèle, et réessayez.</t>
  </si>
  <si>
    <t>cannot_rename_1</t>
  </si>
  <si>
    <t xml:space="preserve">Impossible de renommer une feuille de calcul </t>
  </si>
  <si>
    <t>cannot_rename_2</t>
  </si>
  <si>
    <t>, car le nom contient plus de 31 caractères.</t>
  </si>
  <si>
    <t>cant_find_column_header_1</t>
  </si>
  <si>
    <t xml:space="preserve">Impossible de trouver un en-tête de colonne </t>
  </si>
  <si>
    <t>cant_find_column_header_2</t>
  </si>
  <si>
    <t xml:space="preserve"> (de </t>
  </si>
  <si>
    <t>cant_find_column_header_3</t>
  </si>
  <si>
    <t xml:space="preserve"> dans </t>
  </si>
  <si>
    <t>cant_find_column_header_4</t>
  </si>
  <si>
    <t xml:space="preserve"> (en-têtes de colonne </t>
  </si>
  <si>
    <t>cant_find_column_header_5</t>
  </si>
  <si>
    <t>) dans une ligne qui passe tous les tests de dépendance.</t>
  </si>
  <si>
    <t>cant_find_column_header_6</t>
  </si>
  <si>
    <t>Corrigez et redémarrez.</t>
  </si>
  <si>
    <t>cant_find_header</t>
  </si>
  <si>
    <t>Impossible de trouver un en-tête</t>
  </si>
  <si>
    <t>cant_find_hidden_1</t>
  </si>
  <si>
    <t xml:space="preserve">Impossible de trouver une feuille de calcul </t>
  </si>
  <si>
    <t>cant_find_hidden_2</t>
  </si>
  <si>
    <t xml:space="preserve"> masquée. Veuillez corriger la cellule </t>
  </si>
  <si>
    <t>cant_find_hidden_3</t>
  </si>
  <si>
    <t xml:space="preserve"> de la feuille </t>
  </si>
  <si>
    <t>cant_find_hidden_4</t>
  </si>
  <si>
    <t>.</t>
  </si>
  <si>
    <t>cant_find_template_name</t>
  </si>
  <si>
    <t>Impossible de trouver le nom du modèle dans le tableau</t>
  </si>
  <si>
    <t>cant_find_worksheet</t>
  </si>
  <si>
    <t xml:space="preserve">Impossible de trouver la feuille de calcul </t>
  </si>
  <si>
    <t>check_import</t>
  </si>
  <si>
    <t>Vérifier les noms de fichiers d'importation et de destination</t>
  </si>
  <si>
    <t>check_status</t>
  </si>
  <si>
    <t>(Vérifier l'état)</t>
  </si>
  <si>
    <t>checking_no_columns</t>
  </si>
  <si>
    <t>vérifier qu'aucune colonne ne soit à importer</t>
  </si>
  <si>
    <t>choose_template_sheets</t>
  </si>
  <si>
    <t>Veuillez choisir les feuilles de modèle à télécharger :</t>
  </si>
  <si>
    <t>choose_worksheet</t>
  </si>
  <si>
    <t>Veuillez choisir la feuille de calcul dans ce classeur à importer :</t>
  </si>
  <si>
    <t>closing_import_file</t>
  </si>
  <si>
    <t>fermeture du fichier d'importation</t>
  </si>
  <si>
    <t>codepage_text</t>
  </si>
  <si>
    <t xml:space="preserve">Si ce fichier texte a été créé sous un paramètre de caractère de langue différent (page de codes), alors pour éviter les caractères incorrects, indiquez ci-dessous la page de codes sous laquelle il a été créé. </t>
  </si>
  <si>
    <t>column_1</t>
  </si>
  <si>
    <t xml:space="preserve">(Colonne </t>
  </si>
  <si>
    <t>column_2</t>
  </si>
  <si>
    <t>)</t>
  </si>
  <si>
    <t>column_headers_not_selected</t>
  </si>
  <si>
    <t>En-têtes de colonne non sélectionnés</t>
  </si>
  <si>
    <t>column_headers_paired_up</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</si>
  <si>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</si>
  <si>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condition_type</t>
  </si>
  <si>
    <t>Etat :</t>
  </si>
  <si>
    <t>confirm_sec_pass</t>
  </si>
  <si>
    <t>Confirmer le mot de passe de sécurité :</t>
  </si>
  <si>
    <t>create_feed_templates</t>
  </si>
  <si>
    <t>Amazon - Créer des modèles de flux internationaux</t>
  </si>
  <si>
    <t>creating_intl_templates</t>
  </si>
  <si>
    <t>Création de modèles internationaux</t>
  </si>
  <si>
    <t>creating_match_array</t>
  </si>
  <si>
    <t>création de tableau de correspondance</t>
  </si>
  <si>
    <t>creating_template_1</t>
  </si>
  <si>
    <t xml:space="preserve">Création d'un modèle </t>
  </si>
  <si>
    <t>creating_template_2</t>
  </si>
  <si>
    <t>credentials</t>
  </si>
  <si>
    <t>credentials_frame_header</t>
  </si>
  <si>
    <t>Identifiants MWS</t>
  </si>
  <si>
    <t>credentials_header</t>
  </si>
  <si>
    <t>Entrez vos identifiants MWS. Ils seront stockés de façon sécurisée sur votre ordinateur pour une utilisation future.</t>
  </si>
  <si>
    <t>credentials_securely_stored</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</si>
  <si>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</si>
  <si>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credentials_stored_successfully</t>
  </si>
  <si>
    <t>Identifiants stockés avec succès</t>
  </si>
  <si>
    <t>credentials_successfully_removed</t>
  </si>
  <si>
    <t>Identifiants supprimés avec succès</t>
  </si>
  <si>
    <t>credentials_successfully_removed_long</t>
  </si>
  <si>
    <t>Vos identifiants MWS ont été supprimés avec succès de cet ordinateur.</t>
  </si>
  <si>
    <t>csv_files</t>
  </si>
  <si>
    <t>- Fichiers texte séparés par des virgules (.csv)</t>
  </si>
  <si>
    <t>csv_msg_1</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</si>
  <si>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</si>
  <si>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csv_msg_2</t>
  </si>
  <si>
    <t xml:space="preserve">Sinon, si vous préférez, vous pouvez cliquer sur Annuler, puis ouvrir le fichier CSV et l'enregistrer comme  un fichier séparé par des tabulations, et cliquer à nouveau sur le bouton de la barre d'outils Importer un fichier. </t>
  </si>
  <si>
    <t>csv_msg_3</t>
  </si>
  <si>
    <t xml:space="preserve">Copier le fichier .cvs et importer le nouveau fichier ? </t>
  </si>
  <si>
    <t>data_found</t>
  </si>
  <si>
    <t>Données trouvées</t>
  </si>
  <si>
    <t>data_found_range_1</t>
  </si>
  <si>
    <t xml:space="preserve">Les données ont été trouvées dans la plage </t>
  </si>
  <si>
    <t>data_found_range_2</t>
  </si>
  <si>
    <t>. Ces données seront supprimées si vous continuez à générer des modèles localisés.</t>
  </si>
  <si>
    <t>data_found_range_3</t>
  </si>
  <si>
    <t>Voulez-vous continuer ?</t>
  </si>
  <si>
    <t>data_not_found</t>
  </si>
  <si>
    <t>Données introuvables</t>
  </si>
  <si>
    <t>decrypting_mws_credentials</t>
  </si>
  <si>
    <t xml:space="preserve">Décryptage des identifiants MWS </t>
  </si>
  <si>
    <t>default_preferences</t>
  </si>
  <si>
    <t>Préférences par défaut</t>
  </si>
  <si>
    <t>deselect_all</t>
  </si>
  <si>
    <t>Tout desélectionner</t>
  </si>
  <si>
    <t>details</t>
  </si>
  <si>
    <t>Détails :</t>
  </si>
  <si>
    <t>done</t>
  </si>
  <si>
    <t>Terminé.</t>
  </si>
  <si>
    <t>done_importing_1</t>
  </si>
  <si>
    <t xml:space="preserve">Importation de la feuille de calcul </t>
  </si>
  <si>
    <t>done_importing_2</t>
  </si>
  <si>
    <t xml:space="preserve"> dans le classeur </t>
  </si>
  <si>
    <t>done_importing_3</t>
  </si>
  <si>
    <t xml:space="preserve"> terminée.</t>
  </si>
  <si>
    <t>done_importing_4</t>
  </si>
  <si>
    <t xml:space="preserve">Les données importées commencent à la ligne </t>
  </si>
  <si>
    <t>done_importing_5</t>
  </si>
  <si>
    <t xml:space="preserve">, parce que les données ont été trouvées dans la ligne </t>
  </si>
  <si>
    <t>done_importing_6</t>
  </si>
  <si>
    <t>download_not_successful_1</t>
  </si>
  <si>
    <t xml:space="preserve">Le téléchargement de </t>
  </si>
  <si>
    <t>download_not_successful_2</t>
  </si>
  <si>
    <t>download_not_successful_3</t>
  </si>
  <si>
    <t>) a échoué.</t>
  </si>
  <si>
    <t>download_not_successful_4</t>
  </si>
  <si>
    <t xml:space="preserve">Utiliser plutôt l'ancien </t>
  </si>
  <si>
    <t>download_not_successful_5</t>
  </si>
  <si>
    <t xml:space="preserve"> déjà dans ce classeur ?</t>
  </si>
  <si>
    <t>download_not_successful_long_1</t>
  </si>
  <si>
    <t>download_not_successful_long_2</t>
  </si>
  <si>
    <t>download_not_successful_long_3</t>
  </si>
  <si>
    <t>download_not_successful_long_4</t>
  </si>
  <si>
    <t xml:space="preserve">L'ancien </t>
  </si>
  <si>
    <t>download_not_successful_long_5</t>
  </si>
  <si>
    <t xml:space="preserve"> est introuvable dans ce classeur (feuille de calcul nommée </t>
  </si>
  <si>
    <t>download_not_successful_long_6</t>
  </si>
  <si>
    <t xml:space="preserve"> introuvable).</t>
  </si>
  <si>
    <t>download_not_successful_long_7</t>
  </si>
  <si>
    <t>Impossible de continuer.</t>
  </si>
  <si>
    <t>download_unsuccessful</t>
  </si>
  <si>
    <t>Le téléchargement a échoué</t>
  </si>
  <si>
    <t>download_validation_not_successful_1</t>
  </si>
  <si>
    <t xml:space="preserve">Le téléchargement des données de données de validation (de </t>
  </si>
  <si>
    <t>download_validation_not_successful_2</t>
  </si>
  <si>
    <t>download_validation_not_successful_3</t>
  </si>
  <si>
    <t>Utiliser plutôt les anciennes données de validation de données déjà dans ce classeur ?</t>
  </si>
  <si>
    <t>download_validation_not_successful_4</t>
  </si>
  <si>
    <t xml:space="preserve">Les anciennes données de validation de données introuvables dans ce classeur (feuille de calcul nommé </t>
  </si>
  <si>
    <t>download_validation_not_successful_5</t>
  </si>
  <si>
    <t xml:space="preserve"> introuvable). </t>
  </si>
  <si>
    <t>download_validation_not_successful_6</t>
  </si>
  <si>
    <t>Impossible de valider.</t>
  </si>
  <si>
    <t>downloading_intl_data</t>
  </si>
  <si>
    <t>Téléchargement de données internationales pour créer des modèles internationaux...</t>
  </si>
  <si>
    <t>electronics</t>
  </si>
  <si>
    <t>Photo, Image, Son et GPS</t>
  </si>
  <si>
    <t>email_address</t>
  </si>
  <si>
    <t>Mon adresse e-mail est :</t>
  </si>
  <si>
    <t>english_version_not_found_1</t>
  </si>
  <si>
    <t xml:space="preserve">(Version anglaise introuvable dans les lignes </t>
  </si>
  <si>
    <t>english_version_not_found_2</t>
  </si>
  <si>
    <t xml:space="preserve"> - </t>
  </si>
  <si>
    <t>english_version_not_found_3</t>
  </si>
  <si>
    <t>.)</t>
  </si>
  <si>
    <t>enter_key_unavailable</t>
  </si>
  <si>
    <t>Touche Entrée non disponible sur cette zone de liste déroulante</t>
  </si>
  <si>
    <t>enter_mws_credentials</t>
  </si>
  <si>
    <t>Entrer vos identifiants MWS</t>
  </si>
  <si>
    <t>enter_sec_pass</t>
  </si>
  <si>
    <t xml:space="preserve">Veuillez entrer votre mot de passe. </t>
  </si>
  <si>
    <t>enter_sec_pass_short</t>
  </si>
  <si>
    <t>Entrer un mot de passe</t>
  </si>
  <si>
    <t>error</t>
  </si>
  <si>
    <t>Erreur</t>
  </si>
  <si>
    <t>error_code</t>
  </si>
  <si>
    <t>Code d'erreur :</t>
  </si>
  <si>
    <t>error_message</t>
  </si>
  <si>
    <t>Message d'erreur :</t>
  </si>
  <si>
    <t>error_occurred_1</t>
  </si>
  <si>
    <t xml:space="preserve">Une erreur s'est produite lors de la tentative de création du modèle </t>
  </si>
  <si>
    <t>error_occurred_2</t>
  </si>
  <si>
    <t>errors_found</t>
  </si>
  <si>
    <t>Erreurs trouvées</t>
  </si>
  <si>
    <t>esc_key_unavailable</t>
  </si>
  <si>
    <t>Touche Échap non disponible sur cette zone de liste déroulante</t>
  </si>
  <si>
    <t>excel_files</t>
  </si>
  <si>
    <t>- Classeurs Excel (.xls, .xlsx, .xlsm, .xlsb)</t>
  </si>
  <si>
    <t>excel_inst_enter_1</t>
  </si>
  <si>
    <t>Dans Excel 2002 et versions précédentes, utilisez la touche Flèche gauche ou droite pour sélectionner un article de cette zone déroulante et passer à la cellule adjacente, ou utilisez la souris.</t>
  </si>
  <si>
    <t>excel_inst_enter_2</t>
  </si>
  <si>
    <t xml:space="preserve">Vous devez utiliser Excel version 2003 ou postérieure pour utiliser la touche Entrée sur cette zone déroulante. </t>
  </si>
  <si>
    <t>excel_inst_enter_3</t>
  </si>
  <si>
    <t xml:space="preserve">Vous utilisez Excel </t>
  </si>
  <si>
    <t>excel_inst_enter_4</t>
  </si>
  <si>
    <t>excel_inst_esc_1</t>
  </si>
  <si>
    <t>Dans Excel 2002 et versions précédentes, utilisez les touches Alt + Flèche gauche ou Alt + Flèche droite pour faire disparaître cette zone déroulante, ou utilisez la souris.</t>
  </si>
  <si>
    <t>excel_inst_esc_2</t>
  </si>
  <si>
    <t>Vous devez utiliser Excel version 2003 ou postérieure pour utiliser la touche Échap sur cette zone déroulante.</t>
  </si>
  <si>
    <t>excel_inst_esc_3</t>
  </si>
  <si>
    <t>excel_inst_esc_4</t>
  </si>
  <si>
    <t>excel_inst_tab_1</t>
  </si>
  <si>
    <t xml:space="preserve">Dans Excel 2002 et versions précédentes, utilisez la touche Flèche gauche ou droite pour sélectionner un article dans cette zone déroulante et passez à la cellule adjacente, ou utilisez la souris. </t>
  </si>
  <si>
    <t>excel_inst_tab_2</t>
  </si>
  <si>
    <t>Vous devez utiliser Excel version 2003 ou postérieure pour utiliser la touche Tab sur cette zone déroulante.</t>
  </si>
  <si>
    <t>excel_inst_tab_3</t>
  </si>
  <si>
    <t>excel_inst_tab_4</t>
  </si>
  <si>
    <t>file_import_cancelled</t>
  </si>
  <si>
    <t>L'importation de fichier a été annulé.</t>
  </si>
  <si>
    <t>finishing_up</t>
  </si>
  <si>
    <t>Achèvement en cours...</t>
  </si>
  <si>
    <t>forgot_credentials</t>
  </si>
  <si>
    <t>J'ai oublié ou aimerais obtenir mes identifiants MWS.</t>
  </si>
  <si>
    <t>getting_import_workbook</t>
  </si>
  <si>
    <t>obtention du classeur d'importation</t>
  </si>
  <si>
    <t>getting_import_worksheet</t>
  </si>
  <si>
    <t>obtention de la feuille de calcul d'importation</t>
  </si>
  <si>
    <t>identifier_empty</t>
  </si>
  <si>
    <t>Identificateur vide</t>
  </si>
  <si>
    <t>import</t>
  </si>
  <si>
    <t>Importer</t>
  </si>
  <si>
    <t>import_from_1</t>
  </si>
  <si>
    <t xml:space="preserve">Importer de </t>
  </si>
  <si>
    <t>import_from_2</t>
  </si>
  <si>
    <t xml:space="preserve"> vers </t>
  </si>
  <si>
    <t>import_from_3</t>
  </si>
  <si>
    <t>?</t>
  </si>
  <si>
    <t>import_any_file</t>
  </si>
  <si>
    <t>Importer un fichier dans cette feuille, en faisant correspondre les colonnes similaires</t>
  </si>
  <si>
    <t>import_cancelled</t>
  </si>
  <si>
    <t>Importation annulée</t>
  </si>
  <si>
    <t>import_complete</t>
  </si>
  <si>
    <t>Importation terminée</t>
  </si>
  <si>
    <t>import_csv</t>
  </si>
  <si>
    <t>Importer CSV</t>
  </si>
  <si>
    <t>import_csv_errors_1</t>
  </si>
  <si>
    <t>L'importation d'un fichier CSV peut entraîner un formatage incorrect des nombres.</t>
  </si>
  <si>
    <t>import_csv_errors_2</t>
  </si>
  <si>
    <t>Pour un meilleur résultat, cliquez sur Annuler, puis ouvrez le fichier CSV et enregistrez le comme un fichier séparé par des tabulations.</t>
  </si>
  <si>
    <t>import_csv_errors_3</t>
  </si>
  <si>
    <t xml:space="preserve">Ouvrir le fichier CSV ? </t>
  </si>
  <si>
    <t>import_error</t>
  </si>
  <si>
    <t>Erreur lors de l'importation</t>
  </si>
  <si>
    <t>import_failed_1</t>
  </si>
  <si>
    <t xml:space="preserve">La tentative d'importation a échoué sur </t>
  </si>
  <si>
    <t>import_failed_2</t>
  </si>
  <si>
    <t xml:space="preserve">, parce que la date de révision du fichier d'importation de </t>
  </si>
  <si>
    <t>import_failed_3</t>
  </si>
  <si>
    <t xml:space="preserve"> était antérieure à la date de révision des données existantes de </t>
  </si>
  <si>
    <t>import_failed_4</t>
  </si>
  <si>
    <t>import_file</t>
  </si>
  <si>
    <t>Importer un fichier</t>
  </si>
  <si>
    <t>import_headers</t>
  </si>
  <si>
    <t>Importer des en-têtes</t>
  </si>
  <si>
    <t>importing_columns</t>
  </si>
  <si>
    <t>importation de colonnes</t>
  </si>
  <si>
    <t>importing_dropdown_lists</t>
  </si>
  <si>
    <t>Importation du dernier tableau de listes déroulantes.</t>
  </si>
  <si>
    <t>importing_intl_table</t>
  </si>
  <si>
    <t>Importation du dernier tableau international général.</t>
  </si>
  <si>
    <t>importing_preferences</t>
  </si>
  <si>
    <t>Importation du dernier tableau de préférences.</t>
  </si>
  <si>
    <t>importing_validation_table</t>
  </si>
  <si>
    <t>Importation du dernier tableau de validation de données.</t>
  </si>
  <si>
    <t>incomplete_response</t>
  </si>
  <si>
    <t>Réponse reçue incomplète.</t>
  </si>
  <si>
    <t>incorrect_information</t>
  </si>
  <si>
    <t>Information incorrecte</t>
  </si>
  <si>
    <t>initializing</t>
  </si>
  <si>
    <t>Initialisation</t>
  </si>
  <si>
    <t>integrating_dropdown_lists</t>
  </si>
  <si>
    <t>Intégration des dernières listes déroulantes.</t>
  </si>
  <si>
    <t>internal_error</t>
  </si>
  <si>
    <t>Erreur interne</t>
  </si>
  <si>
    <t>internal_error_occurred</t>
  </si>
  <si>
    <t>Une erreur interne s'est produite avec votre demande. Veuillez réessayer.</t>
  </si>
  <si>
    <t>internal_error_validation</t>
  </si>
  <si>
    <t>Une erreur interne s'est produite lors de la validation des informations d'identification. Veuillez réessayer.</t>
  </si>
  <si>
    <t>interval_must_be_number</t>
  </si>
  <si>
    <t>L'intervalle doit être un nombre.</t>
  </si>
  <si>
    <t>invalid_credentials</t>
  </si>
  <si>
    <t>Identifiants non valides</t>
  </si>
  <si>
    <t>invalid_filename_1</t>
  </si>
  <si>
    <t xml:space="preserve">Nom de fichier non valide pour enregistrer le modèle </t>
  </si>
  <si>
    <t>invalid_filename_2</t>
  </si>
  <si>
    <t>invalid_filename_3</t>
  </si>
  <si>
    <t>Corrigez la feuille de calcul 'Noms de fichiers internationaux' et redémarrez.</t>
  </si>
  <si>
    <t>invalid_identifier_1</t>
  </si>
  <si>
    <t xml:space="preserve">Certains produits n'ont pas d'identificateur et ont été déplacés vers la feuille </t>
  </si>
  <si>
    <t>invalid_identifier_2</t>
  </si>
  <si>
    <t xml:space="preserve">, ces cellules sont entourées d'une bordure rouge. </t>
  </si>
  <si>
    <t>invalid_interval</t>
  </si>
  <si>
    <t xml:space="preserve">Intervalle non valide </t>
  </si>
  <si>
    <t>invalid_values_1</t>
  </si>
  <si>
    <t xml:space="preserve">Des valeurs non valides ont été trouvées dans les colonnes </t>
  </si>
  <si>
    <t>invalid_values_2</t>
  </si>
  <si>
    <t>item_not_found</t>
  </si>
  <si>
    <t xml:space="preserve">Article introuvable </t>
  </si>
  <si>
    <t>item_not_found_catalog</t>
  </si>
  <si>
    <t xml:space="preserve">Article introuvable dans le catalogue Amazon </t>
  </si>
  <si>
    <t>item_not_found_category</t>
  </si>
  <si>
    <t xml:space="preserve">Article introuvable dans la catégorie indiquée. Voulez-vous rechercher un article dans toutes les catégories ? </t>
  </si>
  <si>
    <t>lang_char_setting</t>
  </si>
  <si>
    <t>Paramètre de caractère de langue du fichier texte</t>
  </si>
  <si>
    <t>lang_templates_saved</t>
  </si>
  <si>
    <t>Modèles de langue enregistrés</t>
  </si>
  <si>
    <t>letting_user_choose</t>
  </si>
  <si>
    <t>laisse l'utilisateur choisir des correspondances supplémentaires</t>
  </si>
  <si>
    <t>listing_loader_imp_msg</t>
  </si>
  <si>
    <t>Listing Loader - Message important</t>
  </si>
  <si>
    <t>loading</t>
  </si>
  <si>
    <t>Chargement...</t>
  </si>
  <si>
    <t>localized_filename</t>
  </si>
  <si>
    <t>Nom de fichier localisé</t>
  </si>
  <si>
    <t>login_failure</t>
  </si>
  <si>
    <t>Échec lors de la connexion</t>
  </si>
  <si>
    <t>look_up_group</t>
  </si>
  <si>
    <t>Rechercher un groupe d'articles dans cette feuille</t>
  </si>
  <si>
    <t>looking_up_1</t>
  </si>
  <si>
    <t xml:space="preserve">Rechercher </t>
  </si>
  <si>
    <t>looking_up_2</t>
  </si>
  <si>
    <t xml:space="preserve"> de </t>
  </si>
  <si>
    <t>looking_up_3</t>
  </si>
  <si>
    <t>lookup_errors</t>
  </si>
  <si>
    <t>Les erreurs suivantes ont été détectées lors de la recherche. Veuillez corriger :</t>
  </si>
  <si>
    <t>lookup_index</t>
  </si>
  <si>
    <t>Index de recherche :</t>
  </si>
  <si>
    <t>lookup_turn_on</t>
  </si>
  <si>
    <t>Activer LookupAssist d'Amazon ?</t>
  </si>
  <si>
    <t>manual_data_text</t>
  </si>
  <si>
    <t>Ou vous pouvez entrer les données manuellement et télécharger vos listes au format séparé par des tabulations en utilisant Seller Central.</t>
  </si>
  <si>
    <t>marketplace_id</t>
  </si>
  <si>
    <t>ID Marketplace :</t>
  </si>
  <si>
    <t>master_workbook_error_1</t>
  </si>
  <si>
    <t xml:space="preserve">Le nom de la feuille de calcul du modèle du classeur principal est </t>
  </si>
  <si>
    <t>master_workbook_error_2</t>
  </si>
  <si>
    <t xml:space="preserve">, mais ce nom n'apparaît pas dans la feuille de calcul </t>
  </si>
  <si>
    <t>master_workbook_error_3</t>
  </si>
  <si>
    <t xml:space="preserve"> dans la colonne </t>
  </si>
  <si>
    <t>master_workbook_error_4</t>
  </si>
  <si>
    <t>master_workbook_error_5</t>
  </si>
  <si>
    <t xml:space="preserve">Corrigez et redémarrez. Voir les instructions sur la feuille de calcul </t>
  </si>
  <si>
    <t>master_workbook_error_6</t>
  </si>
  <si>
    <t>match_column_headers</t>
  </si>
  <si>
    <t>Faire correspondre les en-têtes de colonnes</t>
  </si>
  <si>
    <t>match_headers_text</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</si>
  <si>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</si>
  <si>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matched_pairs</t>
  </si>
  <si>
    <t>Paires correspondantes</t>
  </si>
  <si>
    <t>matches</t>
  </si>
  <si>
    <t xml:space="preserve">Correspondances : </t>
  </si>
  <si>
    <t>merchant_id</t>
  </si>
  <si>
    <t>ID du vendeur :</t>
  </si>
  <si>
    <t>missing_information</t>
  </si>
  <si>
    <t>Informations manquantes</t>
  </si>
  <si>
    <t>missing_url</t>
  </si>
  <si>
    <t>URL manquant</t>
  </si>
  <si>
    <t>missing_url_update_1</t>
  </si>
  <si>
    <t xml:space="preserve">URL manquant pour le tableau de mise à jour </t>
  </si>
  <si>
    <t>missing_url_update_2</t>
  </si>
  <si>
    <t>. Corrigez et redémarrez.</t>
  </si>
  <si>
    <t>msxml_link</t>
  </si>
  <si>
    <t>Cliquez ici pour télécharger MSXML de Microsoft.com</t>
  </si>
  <si>
    <t>multiple_matches</t>
  </si>
  <si>
    <t xml:space="preserve">Multiples correspondances </t>
  </si>
  <si>
    <t>multiple_product_matches_1</t>
  </si>
  <si>
    <t xml:space="preserve">Le produit correspond à plusieurs produits sur Amazon.fr. Sélectionnez celui qui est approprié à partir de la feuille </t>
  </si>
  <si>
    <t>multiple_product_matches_2</t>
  </si>
  <si>
    <t>mws_credentials_imported</t>
  </si>
  <si>
    <t>Vos identifiants MWS ont été importés avec succès dans le système. Vous pouvez maintenant fermer la fenêtre du navigateur.</t>
  </si>
  <si>
    <t>mws_credentials_invalid</t>
  </si>
  <si>
    <t>Identifiants MWS non valides</t>
  </si>
  <si>
    <t>mws_credentials_invalid_long</t>
  </si>
  <si>
    <t>Les identifiants MWS que vous avez entrés semblent être non valides. Veuillez réessayer.</t>
  </si>
  <si>
    <t>mws_credentials_invalid_missing</t>
  </si>
  <si>
    <t>Les identifiants MWS stockés sur votre ordinateur semblent être non valides ou manquants. Utilisez le formulaire d'identification pour retaper les identifiants.</t>
  </si>
  <si>
    <t>mws_credentials_missing</t>
  </si>
  <si>
    <t>Identifiants MWS manquants</t>
  </si>
  <si>
    <t>mws_credentials_required</t>
  </si>
  <si>
    <t>Pour continuer avec cette fonctionnalité, vous avez besoin de vos identifiants MWS. Voulez-vous ouvrir le formulaire d'identification pour obtenir/entrer vos identifiants ?</t>
  </si>
  <si>
    <t>mws_please_wait</t>
  </si>
  <si>
    <t xml:space="preserve">Veuillez patienter pendant que vos identifiants MWS sont créés. </t>
  </si>
  <si>
    <t>mws_registration</t>
  </si>
  <si>
    <t>Enregistrement MWS</t>
  </si>
  <si>
    <t>mws_rejected</t>
  </si>
  <si>
    <t xml:space="preserve">MWS a rejeté les identifiants fournis. Assurez-vous d'avoir entré le bon mot de passe. Le mot de passe peut être réinitialisé à l'aide du formulaire d'identification </t>
  </si>
  <si>
    <t>new</t>
  </si>
  <si>
    <t>Nouveau</t>
  </si>
  <si>
    <t>no</t>
  </si>
  <si>
    <t>Non</t>
  </si>
  <si>
    <t>no_columns_to_import</t>
  </si>
  <si>
    <t>Aucune colonne à importer</t>
  </si>
  <si>
    <t>no_columns_to_import_long</t>
  </si>
  <si>
    <t>Il n'y a aucune colonne à importer, car aucune colonne n'avait une correspondance exacte et n'avait été choisie comme correspondance.</t>
  </si>
  <si>
    <t>no_data_found</t>
  </si>
  <si>
    <t>Aucune donnée n'a été trouvée dans la feuille de calcul à importer.</t>
  </si>
  <si>
    <t>no_identifier_1</t>
  </si>
  <si>
    <t>no_identifier_2</t>
  </si>
  <si>
    <t>no_mws_credentials</t>
  </si>
  <si>
    <t xml:space="preserve">Aucun identifiants MWS n'est stocké sur cet ordinateur. </t>
  </si>
  <si>
    <t>no_search_terms</t>
  </si>
  <si>
    <t>Aucun terme de recherche n'a été trouvé dans la ligne sélectionnée</t>
  </si>
  <si>
    <t>not_in_catalog_1</t>
  </si>
  <si>
    <t xml:space="preserve">Votre article n'a pas été trouvé dans le catalogue d'Amazon dans les catégories prises en charge par la fonction de recherche de produits. Il a été déplacé vers la feuille </t>
  </si>
  <si>
    <t>not_in_catalog_2</t>
  </si>
  <si>
    <t>operation_type</t>
  </si>
  <si>
    <t>Type d'opération :</t>
  </si>
  <si>
    <t>password</t>
  </si>
  <si>
    <t>Mon mot de passe est :</t>
  </si>
  <si>
    <t>please_complete</t>
  </si>
  <si>
    <t>Veuillez remplir tous les champs pour continuer.</t>
  </si>
  <si>
    <t>please_enter_sec_pass</t>
  </si>
  <si>
    <t>Veuillez entrer un mot de passe pour continuer.</t>
  </si>
  <si>
    <t>please_remove_items_1</t>
  </si>
  <si>
    <t xml:space="preserve">Supprimez les articles de la  feuille de calcul </t>
  </si>
  <si>
    <t>please_remove_items_2</t>
  </si>
  <si>
    <t xml:space="preserve"> et réessayez.</t>
  </si>
  <si>
    <t>please_wait_product_ids</t>
  </si>
  <si>
    <t xml:space="preserve">Veuillez patienter lors de la recherche des ID produits. </t>
  </si>
  <si>
    <t>populating_match_headers</t>
  </si>
  <si>
    <t>remplissage des zones de listes Modèle et Importation des formulaires d'en-têtes Correspondance</t>
  </si>
  <si>
    <t>preferences_prim</t>
  </si>
  <si>
    <t>Préférences</t>
  </si>
  <si>
    <t>preferences_sec</t>
  </si>
  <si>
    <t>Préférences...</t>
  </si>
  <si>
    <t>preparing_bulk_lookup</t>
  </si>
  <si>
    <t>Préparation pour une vérification de plusieurs produits</t>
  </si>
  <si>
    <t>price</t>
  </si>
  <si>
    <t>prix</t>
  </si>
  <si>
    <t>problem_creating_template</t>
  </si>
  <si>
    <t>Problème lors de la création d'un modèle</t>
  </si>
  <si>
    <t>processing_localized_1</t>
  </si>
  <si>
    <t xml:space="preserve">Traitements des feuilles de calcul localisées </t>
  </si>
  <si>
    <t>processing_localized_2</t>
  </si>
  <si>
    <t>product_details</t>
  </si>
  <si>
    <t>Détails du produit</t>
  </si>
  <si>
    <t>product_id</t>
  </si>
  <si>
    <t>id produit</t>
  </si>
  <si>
    <t>product_id_type_1</t>
  </si>
  <si>
    <t xml:space="preserve">L'ID produit doit être de type UPC, EAN, ISBN, ou ASIN. L'article a été déplacé vers la feuille </t>
  </si>
  <si>
    <t>product_id_type_2</t>
  </si>
  <si>
    <t xml:space="preserve">, avec une bordure rouge autour de la cellule </t>
  </si>
  <si>
    <t>product_id_type_3</t>
  </si>
  <si>
    <t xml:space="preserve">. </t>
  </si>
  <si>
    <t>product_image</t>
  </si>
  <si>
    <t>Image du produit</t>
  </si>
  <si>
    <t>product_not_found</t>
  </si>
  <si>
    <t>Produit introuvable</t>
  </si>
  <si>
    <t>product_taxcode</t>
  </si>
  <si>
    <t>Code taxe du produit :</t>
  </si>
  <si>
    <t>products_do_not_exist_1</t>
  </si>
  <si>
    <t xml:space="preserve">Certains produits n'existent pas sur le catalogue d'Amazon et ont été déplacés vers une feuille </t>
  </si>
  <si>
    <t>products_do_not_exist_2</t>
  </si>
  <si>
    <t>reason</t>
  </si>
  <si>
    <t>Raison :</t>
  </si>
  <si>
    <t>reenter_mws_credentials</t>
  </si>
  <si>
    <t>Vous devrez retaper vos identifiants MWS afin de réinitialiser votre mot de passe.</t>
  </si>
  <si>
    <t>registration_complete</t>
  </si>
  <si>
    <t>Inscription terminée</t>
  </si>
  <si>
    <t>registration_complete_long</t>
  </si>
  <si>
    <t>L'inscription est terminée. Vous pouvez fermer cette fenêtre après avoir noté vos identifiants MWS.</t>
  </si>
  <si>
    <t>remove_credentials</t>
  </si>
  <si>
    <t xml:space="preserve">J'aimerais supprimer mes identifiants MWS de cet ordinateur. </t>
  </si>
  <si>
    <t>remove_credentials_confirm</t>
  </si>
  <si>
    <t xml:space="preserve">Voulez-vous vraiment supprimer vos identifiants MWS de cet ordinateur ? Vous devrez les retaper lorsqu'ils seront requis. </t>
  </si>
  <si>
    <t>remove_credentials_short</t>
  </si>
  <si>
    <t>Supprimer les identifiants</t>
  </si>
  <si>
    <t>reset_sec_pass</t>
  </si>
  <si>
    <t>Je veux réinitialiser/changer mon mot de passe.</t>
  </si>
  <si>
    <t>reset_sec_pass_short</t>
  </si>
  <si>
    <t>Réinitialiser le mot de passe</t>
  </si>
  <si>
    <t>response_received</t>
  </si>
  <si>
    <t>Réponse reçue</t>
  </si>
  <si>
    <t>saving_file</t>
  </si>
  <si>
    <t>Enregistrement d'un fichier</t>
  </si>
  <si>
    <t>saving_template_1</t>
  </si>
  <si>
    <t xml:space="preserve">Enregistrement d'un modèle </t>
  </si>
  <si>
    <t>saving_template_2</t>
  </si>
  <si>
    <t>saving_template_3</t>
  </si>
  <si>
    <t>sec_pass</t>
  </si>
  <si>
    <t>Mot de passe :</t>
  </si>
  <si>
    <t>sec_pass_header</t>
  </si>
  <si>
    <t xml:space="preserve">Veuillez entrer un mot de passe. Celui-ci sera utilisé pour stocker de façon sécurisée vos identifiants sur votre ordinateur. </t>
  </si>
  <si>
    <t>sec_pass_invalid</t>
  </si>
  <si>
    <t>Mot de passe non valide</t>
  </si>
  <si>
    <t>sec_pass_invalid_long</t>
  </si>
  <si>
    <t xml:space="preserve">Le mot de passe que vous avez entré semble être non valide. Assurez-vous d'avoir entré le bon mot de passe. Celui-ci peut être réinitialisé à l'aide du formulaire d'identification </t>
  </si>
  <si>
    <t>sec_pass_required</t>
  </si>
  <si>
    <t>Mot de passe requis</t>
  </si>
  <si>
    <t>secret_key</t>
  </si>
  <si>
    <t>Clé secrète :</t>
  </si>
  <si>
    <t>select_all</t>
  </si>
  <si>
    <t>Tout sélectionner</t>
  </si>
  <si>
    <t>select_column_header</t>
  </si>
  <si>
    <t>Veuillez sélectionner un en-tête de colonne dans chaque liste.</t>
  </si>
  <si>
    <t>select_lang_char_setting</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</si>
  <si>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</si>
  <si>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select_lang_char_setting_file</t>
  </si>
  <si>
    <t>Sélectionner un paramètre de caractère de langue pour une importation de fichier</t>
  </si>
  <si>
    <t>select_template_sheets</t>
  </si>
  <si>
    <t>Sélectionner des feuilles de modèle à télécharger</t>
  </si>
  <si>
    <t>select_worksheet</t>
  </si>
  <si>
    <t xml:space="preserve">Sélectionner une feuille de calcul à importer </t>
  </si>
  <si>
    <t>seller_account_login</t>
  </si>
  <si>
    <t>Veuillez entrer l'adresse e-mail et le mot de passe de votre compte vendeur</t>
  </si>
  <si>
    <t>sending_feed</t>
  </si>
  <si>
    <t xml:space="preserve">Envoi de flux </t>
  </si>
  <si>
    <t>show_preferences_window</t>
  </si>
  <si>
    <t>Afficher la fenêtre Préférences</t>
  </si>
  <si>
    <t>sku</t>
  </si>
  <si>
    <t>SKU :</t>
  </si>
  <si>
    <t>some_multiple_product_matches_1</t>
  </si>
  <si>
    <t xml:space="preserve">Certains produits ont retournés plusieurs résultats sur Amazon. Sélectionnez celui qui est approprié à partir de la feuille </t>
  </si>
  <si>
    <t>some_multiple_product_matches_2</t>
  </si>
  <si>
    <t>status</t>
  </si>
  <si>
    <t>État :</t>
  </si>
  <si>
    <t>submitted_date</t>
  </si>
  <si>
    <t>Date de soumission :</t>
  </si>
  <si>
    <t>swapping_column_headers_1</t>
  </si>
  <si>
    <t xml:space="preserve">Échange </t>
  </si>
  <si>
    <t>swapping_column_headers_2</t>
  </si>
  <si>
    <t xml:space="preserve"> d'en-têtes de colonne dans le modèle </t>
  </si>
  <si>
    <t>swapping_column_headers_3</t>
  </si>
  <si>
    <t>tab_key_unavailable</t>
  </si>
  <si>
    <t>Touche Tab non disponible sur cette zone de liste déroulante</t>
  </si>
  <si>
    <t>template_creation_cancelled</t>
  </si>
  <si>
    <t>Création de modèle annulée.</t>
  </si>
  <si>
    <t>template_error_1</t>
  </si>
  <si>
    <t xml:space="preserve">L'erreur </t>
  </si>
  <si>
    <t>template_error_2</t>
  </si>
  <si>
    <t xml:space="preserve"> s'est produite alors que </t>
  </si>
  <si>
    <t>template_error_3</t>
  </si>
  <si>
    <t>:</t>
  </si>
  <si>
    <t>template_error_short</t>
  </si>
  <si>
    <t>Erreur de modèle</t>
  </si>
  <si>
    <t>template_headers</t>
  </si>
  <si>
    <t>En-têtes de modèle</t>
  </si>
  <si>
    <t>template_update</t>
  </si>
  <si>
    <t>Mise à jour de modèle</t>
  </si>
  <si>
    <t>template_update_cancelled</t>
  </si>
  <si>
    <t>La mise à jour de modèle a été annulée</t>
  </si>
  <si>
    <t>template_update_not_successful</t>
  </si>
  <si>
    <t>Échec de la mise à jour de modèle</t>
  </si>
  <si>
    <t>template_updated</t>
  </si>
  <si>
    <t>Le modèle a été mis à jour.</t>
  </si>
  <si>
    <t>templates_saved_1</t>
  </si>
  <si>
    <t xml:space="preserve">Les modèles dans les langues suivantes ont été enregistrés sous </t>
  </si>
  <si>
    <t>templates_saved_2</t>
  </si>
  <si>
    <t>this_is_the_one</t>
  </si>
  <si>
    <t>Sélectionnez un produit</t>
  </si>
  <si>
    <t>this_workbook</t>
  </si>
  <si>
    <t>Ce classeur</t>
  </si>
  <si>
    <t>too_many_not_found</t>
  </si>
  <si>
    <t>Trop de produits introuvables</t>
  </si>
  <si>
    <t>too_many_products_1</t>
  </si>
  <si>
    <t xml:space="preserve">Trop de produits introuvables. Aucun espace pour ajouter plus d'éléments à la feuille de calcul </t>
  </si>
  <si>
    <t>too_many_products_2</t>
  </si>
  <si>
    <t>turn_off_product_lookup</t>
  </si>
  <si>
    <t>Désactiver la recherche produit</t>
  </si>
  <si>
    <t>turn_on_product_lookup</t>
  </si>
  <si>
    <t>Activer la recherche produit</t>
  </si>
  <si>
    <t>txt_files</t>
  </si>
  <si>
    <t>- Fichiers texte séparés par des tabulations (.txt)</t>
  </si>
  <si>
    <t>unable_to_check</t>
  </si>
  <si>
    <t>Impossible de vérifier l'état.</t>
  </si>
  <si>
    <t>unable_to_create_1</t>
  </si>
  <si>
    <t xml:space="preserve">Impossible de créer un modèle </t>
  </si>
  <si>
    <t>unable_to_create_2</t>
  </si>
  <si>
    <t xml:space="preserve">. Continuer avec d'autres modèles ? </t>
  </si>
  <si>
    <t>unable_to_download_file</t>
  </si>
  <si>
    <t>Impossible de télécharger le fichier</t>
  </si>
  <si>
    <t>unable_to_download_html</t>
  </si>
  <si>
    <t>Impossible de télécharger le fichier HTML. Corrigez sur la feuille Paramètres internationaux et réessayez.</t>
  </si>
  <si>
    <t>unable_to_evaluate</t>
  </si>
  <si>
    <t>Impossible d'évaluer la réponse du serveur. Essayez de redémarrer votre ordinateur.</t>
  </si>
  <si>
    <t>unable_to_find_column_header</t>
  </si>
  <si>
    <t>Impossible de trouver l'en-tête de colonne de l'URL de chargement. Corrigez la feuille de calcul 'URL internationaux' et redémarrez.</t>
  </si>
  <si>
    <t>unable_to_find_filename_1</t>
  </si>
  <si>
    <t xml:space="preserve">Impossible de trouver le nom de fichier pour enregistrer le modèle </t>
  </si>
  <si>
    <t>unable_to_find_filename_2</t>
  </si>
  <si>
    <t xml:space="preserve">. Corrigez la feuille de calcul 'Noms de fichiers internationaux' et redémarrez. </t>
  </si>
  <si>
    <t>unable_to_find_filename_substitution</t>
  </si>
  <si>
    <t>Impossible de trouver l'en-tête de colonne de substitution de nom de fichier. Corrigez sur la feuille de calcul 'Noms de fichiers internationaux' et redémarrez.</t>
  </si>
  <si>
    <t>unable_to_find_url_1</t>
  </si>
  <si>
    <t xml:space="preserve">Impossible de trouver l'URL pour télécharger le modèle </t>
  </si>
  <si>
    <t>unable_to_find_url_2</t>
  </si>
  <si>
    <t>. Corrigez la feuille de calcul 'URL internationaux' et redémarrez.</t>
  </si>
  <si>
    <t>unable_to_upload_1</t>
  </si>
  <si>
    <t>Impossible de télécharger ce modèle.</t>
  </si>
  <si>
    <t>unable_to_upload_2</t>
  </si>
  <si>
    <t>Ce modèle doit être exécuté sur Windows et Excel version japonaise pour pouvoir télécharger.</t>
  </si>
  <si>
    <t>unable_to_upload_3</t>
  </si>
  <si>
    <t>Plus d'informations :</t>
  </si>
  <si>
    <t>unable_to_upload_4</t>
  </si>
  <si>
    <t xml:space="preserve">La page de codes active du système doit être 932 pour que ce modèle puisse être téléchargé. La page de codes active du système est </t>
  </si>
  <si>
    <t>unable_to_upload_5</t>
  </si>
  <si>
    <t xml:space="preserve">, non 932. Pour télécharger, exécutez ce modèle dans Windows et Excel version japonaise. </t>
  </si>
  <si>
    <t>unable_to_upload_short</t>
  </si>
  <si>
    <t>Impossible de télécharger un modèle</t>
  </si>
  <si>
    <t>unknown_error</t>
  </si>
  <si>
    <t>Une erreur inconnue s'est produite :</t>
  </si>
  <si>
    <t>unknown_response</t>
  </si>
  <si>
    <t>Réponse inconnue reçue</t>
  </si>
  <si>
    <t>update</t>
  </si>
  <si>
    <t>Mise à jour</t>
  </si>
  <si>
    <t>update_please_wait</t>
  </si>
  <si>
    <t>Veuillez patienter pendant le téléchargement de ce modèle.</t>
  </si>
  <si>
    <t>update_template</t>
  </si>
  <si>
    <t>Mettre à jour un modèle</t>
  </si>
  <si>
    <t>update_template_frame_header</t>
  </si>
  <si>
    <t>Mettre automatiquement à jour un modèle à intervalles réguliers ?</t>
  </si>
  <si>
    <t>update_template_latest</t>
  </si>
  <si>
    <t>Mettez à jour ce modèle avec les dernières informations d'Amazon.fr</t>
  </si>
  <si>
    <t>update_template_text</t>
  </si>
  <si>
    <t>Chaque fois que ce modèle est ouvert, il vérifiera si l'intervalle désigné (ci-dessous) est écoulé depuis la dernière mise à jour, et ensuite mettra à jour si cet intervalle est écoulé. Vous aurez la possibilité d'annuler la mise jour.</t>
  </si>
  <si>
    <t>updating_template</t>
  </si>
  <si>
    <t>upload</t>
  </si>
  <si>
    <t>Téléchargement</t>
  </si>
  <si>
    <t>upload_cancelled</t>
  </si>
  <si>
    <t>Téléchargement annulé.</t>
  </si>
  <si>
    <t>upload_done</t>
  </si>
  <si>
    <t>Téléchargement terminé. Le succès ou l'échec de chaque téléchargement est indiqué dans la liste ci-dessous. Sélectionnez un téléchargement pour plus d'informations :</t>
  </si>
  <si>
    <t>upload_failed</t>
  </si>
  <si>
    <t>Échec du téléchargement. Veuillez réessayer.</t>
  </si>
  <si>
    <t>upload_failure_frame_header</t>
  </si>
  <si>
    <t>Échec du téléchargement</t>
  </si>
  <si>
    <t>upload_file</t>
  </si>
  <si>
    <t>Télécharger un fichier</t>
  </si>
  <si>
    <t>upload_items</t>
  </si>
  <si>
    <t>Télécharger les articles dans cette feuille sur Amazon</t>
  </si>
  <si>
    <t>upload_progress</t>
  </si>
  <si>
    <t>Téléchargement en cours.</t>
  </si>
  <si>
    <t>upload_status</t>
  </si>
  <si>
    <t>État du téléchargement :</t>
  </si>
  <si>
    <t>upload_succeeded_frame_header</t>
  </si>
  <si>
    <t>Téléchargement réussi</t>
  </si>
  <si>
    <t>upload_success</t>
  </si>
  <si>
    <t>upload_successful</t>
  </si>
  <si>
    <t>Téléchargement réussi.</t>
  </si>
  <si>
    <t>uploading_file</t>
  </si>
  <si>
    <t>Téléchargement de fichier</t>
  </si>
  <si>
    <t>user_pass_invalid</t>
  </si>
  <si>
    <t>Le nom d'utilisateur et/ou le mot de passe fournis sont non valides</t>
  </si>
  <si>
    <t>validate</t>
  </si>
  <si>
    <t>Valider</t>
  </si>
  <si>
    <t>validating_credentials</t>
  </si>
  <si>
    <t>Validation des identifiants</t>
  </si>
  <si>
    <t>validating_template</t>
  </si>
  <si>
    <t>Validation du modèle</t>
  </si>
  <si>
    <t>validation_cancelled_1</t>
  </si>
  <si>
    <t>La validation a été annulée.</t>
  </si>
  <si>
    <t>validation_cancelled_2</t>
  </si>
  <si>
    <t xml:space="preserve">Si vous avez téléchargé des données non valides, vos produits peuvent apparaître incorrectements, ou ne pas apparaître du tout sur Amazon.fr. </t>
  </si>
  <si>
    <t>validation_cancelled_3</t>
  </si>
  <si>
    <t>Préférez-vous télécharger sur Amazon maintenant, sans validation ?</t>
  </si>
  <si>
    <t>validation_complete</t>
  </si>
  <si>
    <t>Validation terminée. Aucun problème trouvé.</t>
  </si>
  <si>
    <t>validation_please_wait</t>
  </si>
  <si>
    <t>Veuillez patienter pendant la validation de ce modèle.</t>
  </si>
  <si>
    <t>values_must_match</t>
  </si>
  <si>
    <t>Les valeurs dans les deux champs du mot de passe doivent correspondre.</t>
  </si>
  <si>
    <t>values_not_valid_1</t>
  </si>
  <si>
    <t>Les colonnes suivantes ont les valeurs qui ne sont pas valides :</t>
  </si>
  <si>
    <t>values_not_valid_2</t>
  </si>
  <si>
    <t xml:space="preserve">Corrigez et réessayez avant de télécharger sur Amazon. Si vous avez téléchargé des données non valides, vos produits peuvent apparaître incorrectements, ou ne pas apparaître du tout sur Amazon.fr. </t>
  </si>
  <si>
    <t>values_not_valid_3</t>
  </si>
  <si>
    <t>Préférez-vous télécharger sur Amazon maintenant, sans corriger ces erreurs ?</t>
  </si>
  <si>
    <t>values_not_valid_4</t>
  </si>
  <si>
    <t>Corrigez et réessayez.</t>
  </si>
  <si>
    <t>version</t>
  </si>
  <si>
    <t xml:space="preserve">Version </t>
  </si>
  <si>
    <t>view_image</t>
  </si>
  <si>
    <t>Afficher l'image</t>
  </si>
  <si>
    <t>worksheet_name_too_long</t>
  </si>
  <si>
    <t>Nom de la feuille de calcul trop long</t>
  </si>
  <si>
    <t>worksheet_order</t>
  </si>
  <si>
    <t>Commande de feuille de calcul</t>
  </si>
  <si>
    <t>yes</t>
  </si>
  <si>
    <t>Oui</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</si>
  <si>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</si>
  <si>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</si>
  <si>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</si>
  <si>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</si>
  <si>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</si>
  <si>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</si>
  <si>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</si>
  <si>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</si>
  <si>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</si>
  <si>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</si>
  <si>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</si>
  <si>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</si>
  <si>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</si>
  <si>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</si>
  <si>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</si>
  <si>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</si>
  <si>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</si>
  <si>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</si>
  <si>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</si>
  <si>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</si>
  <si>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</si>
  <si>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</si>
  <si>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</si>
  <si>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</si>
  <si>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</si>
  <si>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</si>
  <si>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</si>
  <si>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</si>
  <si>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</si>
  <si>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</si>
  <si>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</si>
  <si>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</si>
  <si>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</si>
  <si>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</si>
  <si>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</si>
  <si>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</si>
  <si>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</si>
  <si>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</si>
  <si>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</si>
  <si>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</si>
  <si>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</si>
  <si>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</si>
  <si>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</si>
  <si>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</si>
  <si>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</si>
  <si>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</si>
  <si>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</si>
  <si>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</si>
  <si>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</si>
  <si>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</si>
  <si>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</si>
  <si>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Français</t>
  </si>
  <si>
    <t>Codepage</t>
  </si>
  <si>
    <t>aaaaaSortToTop</t>
  </si>
  <si>
    <t>1252</t>
  </si>
  <si>
    <t>LocaleID</t>
  </si>
  <si>
    <t>1036</t>
  </si>
  <si>
    <t>URL</t>
  </si>
  <si>
    <t>aaaaSortToTop</t>
  </si>
  <si>
    <t>http://g-ecx.images-amazon.com/images/G/01/rainier/help/ff/IntMiscData.txt</t>
  </si>
  <si>
    <t>Toolbar Button Captions</t>
  </si>
  <si>
    <t>Amazon Logo</t>
  </si>
  <si>
    <t>aaaSortToTop</t>
  </si>
  <si>
    <t>Le Logo Amazon</t>
  </si>
  <si>
    <t>Amazon Upload Manager</t>
  </si>
  <si>
    <t>Gestionnaire de téléchargements Amazon</t>
  </si>
  <si>
    <t>Bulk Lookup</t>
  </si>
  <si>
    <t>Vérification en lot</t>
  </si>
  <si>
    <t>Import</t>
  </si>
  <si>
    <t>Credentials</t>
  </si>
  <si>
    <t>Preferences</t>
  </si>
  <si>
    <t>Paramètres</t>
  </si>
  <si>
    <t>Turn off Product Lookup</t>
  </si>
  <si>
    <t>Désactivez la vérification du produit</t>
  </si>
  <si>
    <t>Turn on Product Lookup</t>
  </si>
  <si>
    <t>Activez la vérification des produit</t>
  </si>
  <si>
    <t>Update</t>
  </si>
  <si>
    <t>Upload</t>
  </si>
  <si>
    <t>Validate</t>
  </si>
  <si>
    <t>Toolbar Button Tooltips</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</si>
  <si>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</si>
  <si>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</si>
  <si>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</si>
  <si>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</si>
  <si>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</si>
  <si>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</si>
  <si>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</si>
  <si>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TemplateType=fptcustom</t>
  </si>
  <si>
    <t>Version=2020.1019</t>
  </si>
  <si>
    <t>TemplateSignature=RFJFU1M=</t>
  </si>
  <si>
    <t>settings=contentLanguageTag=fr_FR&amp;feedType=113&amp;headerLanguageTag=fr_FR&amp;timestamp=2020-10-19T06%3A25%3A40.802Z</t>
  </si>
  <si>
    <t>Les 3 premières lignes sont réservées à l'utilisation par Amazon.com uniquement. Évitez de modifier ou supprimer les 3 premières lignes.</t>
  </si>
  <si>
    <t>Images</t>
  </si>
  <si>
    <t>Variation</t>
  </si>
  <si>
    <t>Informations de base sur le produit</t>
  </si>
  <si>
    <t>Découverte d'article</t>
  </si>
  <si>
    <t>Dimensions</t>
  </si>
  <si>
    <t>Expédition</t>
  </si>
  <si>
    <t>Compliance</t>
  </si>
  <si>
    <t>Offre</t>
  </si>
  <si>
    <t>b2b</t>
  </si>
  <si>
    <t>Type de produit</t>
  </si>
  <si>
    <t>SKU du vendeur</t>
  </si>
  <si>
    <t>Marque</t>
  </si>
  <si>
    <t>ID du produit</t>
  </si>
  <si>
    <t>Type d'ID du produit</t>
  </si>
  <si>
    <t>Titre</t>
  </si>
  <si>
    <t>Type matière extérieure</t>
  </si>
  <si>
    <t>Composition matiere</t>
  </si>
  <si>
    <t>couleur standardisée (valeur valide)</t>
  </si>
  <si>
    <t>Couleur fournisseur</t>
  </si>
  <si>
    <t>Taille fournisseur</t>
  </si>
  <si>
    <t>Dessin du tissu</t>
  </si>
  <si>
    <t>occasion</t>
  </si>
  <si>
    <t>Nom style</t>
  </si>
  <si>
    <t>Forme encolure</t>
  </si>
  <si>
    <t>Département</t>
  </si>
  <si>
    <t>Taille standardisée (valeur valide)</t>
  </si>
  <si>
    <t>Longueur vêtement</t>
  </si>
  <si>
    <t>Produit pour adulte</t>
  </si>
  <si>
    <t>Prix ​​standard</t>
  </si>
  <si>
    <t>quantité</t>
  </si>
  <si>
    <t>URL de l'image principale</t>
  </si>
  <si>
    <t>URL d'une autre image1</t>
  </si>
  <si>
    <t>URL d'une autre image2</t>
  </si>
  <si>
    <t>URL d'une autre image3</t>
  </si>
  <si>
    <t>URL d'une autre image4</t>
  </si>
  <si>
    <t>URL d'une autre image5</t>
  </si>
  <si>
    <t>URL d'une autre image6</t>
  </si>
  <si>
    <t>URL d'une autre image7</t>
  </si>
  <si>
    <t>URL d'une autre image8</t>
  </si>
  <si>
    <t>Parenté</t>
  </si>
  <si>
    <t>SKU Parent</t>
  </si>
  <si>
    <t>Type de relation</t>
  </si>
  <si>
    <t>Thème variation</t>
  </si>
  <si>
    <t>Mettre à jour Supprimer</t>
  </si>
  <si>
    <t>Description du produit</t>
  </si>
  <si>
    <t>Catégorie de produits (Code arborescence recommandé)</t>
  </si>
  <si>
    <t>Type matière interieure</t>
  </si>
  <si>
    <t>Instructions entretien</t>
  </si>
  <si>
    <t>Nom modele</t>
  </si>
  <si>
    <t>Numéro de modèle</t>
  </si>
  <si>
    <t>Numéro de pièce</t>
  </si>
  <si>
    <t>Système de taille</t>
  </si>
  <si>
    <t>Genre</t>
  </si>
  <si>
    <t>Description de la catégorie d'âge</t>
  </si>
  <si>
    <t>Classification des tailles</t>
  </si>
  <si>
    <t>Taille du vêtement</t>
  </si>
  <si>
    <t>Taille du vêtement à (si gamme)</t>
  </si>
  <si>
    <t>Type de morphologie</t>
  </si>
  <si>
    <t>Type de taille</t>
  </si>
  <si>
    <t>gtin_exemption_reason</t>
  </si>
  <si>
    <t>Termes de recherche</t>
  </si>
  <si>
    <t>Collection (saison + année)</t>
  </si>
  <si>
    <t>Caractéristiques clés du produit</t>
  </si>
  <si>
    <t>tailles speciales</t>
  </si>
  <si>
    <t>Mots-clés platinum</t>
  </si>
  <si>
    <t>Saison</t>
  </si>
  <si>
    <t>material_type</t>
  </si>
  <si>
    <t>Type manche</t>
  </si>
  <si>
    <t>Type fermeture</t>
  </si>
  <si>
    <t>Type d'ajustement</t>
  </si>
  <si>
    <t>Poids de l'envoi</t>
  </si>
  <si>
    <t>Unité de mesure du poids de l’expédition du site internet</t>
  </si>
  <si>
    <t>item_width</t>
  </si>
  <si>
    <t>item_height</t>
  </si>
  <si>
    <t>item_shape</t>
  </si>
  <si>
    <t>Unité de mesure des dimensions de l’article</t>
  </si>
  <si>
    <t>item_length</t>
  </si>
  <si>
    <t>ID du centre de distribution</t>
  </si>
  <si>
    <t>longueur colis</t>
  </si>
  <si>
    <t>largeur colis</t>
  </si>
  <si>
    <t>hauteur colis</t>
  </si>
  <si>
    <t>poids colis</t>
  </si>
  <si>
    <t>Unité de mesure du poids du paquet</t>
  </si>
  <si>
    <t>Unité de mesure des dimensions du paquet</t>
  </si>
  <si>
    <t>Directive EU relative à la Sécurité des Jouets - Avertissement à propos de l’âge</t>
  </si>
  <si>
    <t>Directive EU relative à la Sécurité des Jouets - Avertissement non relatif à l’âge</t>
  </si>
  <si>
    <t>Directive EU relative à la Sécurité des Jouets - Avertissement relatif à la langue</t>
  </si>
  <si>
    <t>Pays/Région d'origine</t>
  </si>
  <si>
    <t>fabric_type</t>
  </si>
  <si>
    <t>Ce produit est-il ou contient-il une pile ou une batterie ?</t>
  </si>
  <si>
    <t>Piles fournies</t>
  </si>
  <si>
    <t>Composition des piles ou batteries</t>
  </si>
  <si>
    <t>Type/dimensions des piles ou batteries</t>
  </si>
  <si>
    <t>Nombre de piles ou batteries</t>
  </si>
  <si>
    <t>Poids de la pile ou batterie (en grammes)</t>
  </si>
  <si>
    <t>battery_weight_unit_of_measure</t>
  </si>
  <si>
    <t>Nombre de cellules Lithium-Métal</t>
  </si>
  <si>
    <t>Nombre de cellules Lithium-Ion</t>
  </si>
  <si>
    <t>Emballage de la batterie lithium</t>
  </si>
  <si>
    <t>Wattheures par pile ou batterie</t>
  </si>
  <si>
    <t>lithium_battery_energy_content_unit_of_measure</t>
  </si>
  <si>
    <t>Teneur en lithium (en grammes)</t>
  </si>
  <si>
    <t>lithium_battery_weight_unit_of_measure</t>
  </si>
  <si>
    <t>Réglementations applicables aux matières dangereuses</t>
  </si>
  <si>
    <t>Numéro ONU</t>
  </si>
  <si>
    <t>URL de la fiche de données de sécurité (FDS)</t>
  </si>
  <si>
    <t>Poids de l'article</t>
  </si>
  <si>
    <t>item_weight_unit_of_measure</t>
  </si>
  <si>
    <t>Volume d'eau</t>
  </si>
  <si>
    <t>item_volume_unit_of_measure</t>
  </si>
  <si>
    <t>Point d'éclair (°C) ?</t>
  </si>
  <si>
    <t>Pictogrammes de catégorisation/SGH (sélectionnez tout ce qui s'applique)</t>
  </si>
  <si>
    <t>Etat de l’article</t>
  </si>
  <si>
    <t>condition_note</t>
  </si>
  <si>
    <t>Devise</t>
  </si>
  <si>
    <t>délai de traitement</t>
  </si>
  <si>
    <t>Prix réduit</t>
  </si>
  <si>
    <t>Date de début de la remise</t>
  </si>
  <si>
    <t>Date de fin de la remise</t>
  </si>
  <si>
    <t>Nombre produits identiques en une fois</t>
  </si>
  <si>
    <t>Quantité de lot</t>
  </si>
  <si>
    <t>nombre d'articles</t>
  </si>
  <si>
    <t>Message cadeau disponible</t>
  </si>
  <si>
    <t>Emballage cadeau disponible</t>
  </si>
  <si>
    <t>Le fabricant a arrêté la production du produit</t>
  </si>
  <si>
    <t>Date de sortie</t>
  </si>
  <si>
    <t>Date de remise en stock</t>
  </si>
  <si>
    <t>Prix de vente au détail suggéré par le fabricant</t>
  </si>
  <si>
    <t>Date de fin de la vente</t>
  </si>
  <si>
    <t>quantité maximale pouvant être commandée</t>
  </si>
  <si>
    <t>Régions d’expéditions du vendeur</t>
  </si>
  <si>
    <t>Date de commercialisation de l'offre</t>
  </si>
  <si>
    <t>delivery_schedule_group_id</t>
  </si>
  <si>
    <t>Code d'imposition du produit</t>
  </si>
  <si>
    <t>Prix professionnel</t>
  </si>
  <si>
    <t>Type de prix selon la quantité</t>
  </si>
  <si>
    <t>Seuil inférieur de quantité 1</t>
  </si>
  <si>
    <t>Prix selon la quantité 1</t>
  </si>
  <si>
    <t>Seuil inférieur de quantité 2</t>
  </si>
  <si>
    <t>Prix selon la quantité 2</t>
  </si>
  <si>
    <t>Seuil inférieur de quantité 3</t>
  </si>
  <si>
    <t>Prix selon la quantité 3</t>
  </si>
  <si>
    <t>Seuil inférieur de quantité 4</t>
  </si>
  <si>
    <t>Prix selon la quantité 4</t>
  </si>
  <si>
    <t>Seuil inférieur de quantité 5</t>
  </si>
  <si>
    <t>Prix selon la quantité 5</t>
  </si>
  <si>
    <t>Type de remise progressive</t>
  </si>
  <si>
    <t>Limite inférieure de la remise progressive 1</t>
  </si>
  <si>
    <t>Remise progressive de valeur 1</t>
  </si>
  <si>
    <t>Limite inférieure de la remise progressive 2</t>
  </si>
  <si>
    <t>Remise progressive de valeur 2</t>
  </si>
  <si>
    <t>Limite inférieure de la remise progressive 3</t>
  </si>
  <si>
    <t>Remise progressive de valeur 3</t>
  </si>
  <si>
    <t>Numéro de nomenclature OTAN </t>
  </si>
  <si>
    <t>Classification normalisée des produits et des services des Nations Unies </t>
  </si>
  <si>
    <t>Action de tarification</t>
  </si>
  <si>
    <t>feed_product_type</t>
  </si>
  <si>
    <t>item_sku</t>
  </si>
  <si>
    <t>brand_name</t>
  </si>
  <si>
    <t>external_product_id</t>
  </si>
  <si>
    <t>external_product_id_type</t>
  </si>
  <si>
    <t>item_name</t>
  </si>
  <si>
    <t>outer_material_type</t>
  </si>
  <si>
    <t>material_composition</t>
  </si>
  <si>
    <t>color_map</t>
  </si>
  <si>
    <t>color_name</t>
  </si>
  <si>
    <t>size_name</t>
  </si>
  <si>
    <t>pattern_type</t>
  </si>
  <si>
    <t>lifestyle</t>
  </si>
  <si>
    <t>style_name</t>
  </si>
  <si>
    <t>neck_style</t>
  </si>
  <si>
    <t>department_name</t>
  </si>
  <si>
    <t>size_map</t>
  </si>
  <si>
    <t>item_length_description</t>
  </si>
  <si>
    <t>is_adult_product</t>
  </si>
  <si>
    <t>standard_price</t>
  </si>
  <si>
    <t>quantity</t>
  </si>
  <si>
    <t>main_image_url</t>
  </si>
  <si>
    <t>other_image_url1</t>
  </si>
  <si>
    <t>other_image_url2</t>
  </si>
  <si>
    <t>other_image_url3</t>
  </si>
  <si>
    <t>other_image_url4</t>
  </si>
  <si>
    <t>other_image_url5</t>
  </si>
  <si>
    <t>other_image_url6</t>
  </si>
  <si>
    <t>other_image_url7</t>
  </si>
  <si>
    <t>other_image_url8</t>
  </si>
  <si>
    <t>parent_child</t>
  </si>
  <si>
    <t>parent_sku</t>
  </si>
  <si>
    <t>relationship_type</t>
  </si>
  <si>
    <t>variation_theme</t>
  </si>
  <si>
    <t>update_delete</t>
  </si>
  <si>
    <t>product_description</t>
  </si>
  <si>
    <t>recommended_browse_nodes</t>
  </si>
  <si>
    <t>inner_material_type</t>
  </si>
  <si>
    <t>care_instructions</t>
  </si>
  <si>
    <t>model_name</t>
  </si>
  <si>
    <t>model</t>
  </si>
  <si>
    <t>part_number</t>
  </si>
  <si>
    <t>apparel_size_system</t>
  </si>
  <si>
    <t>target_gender</t>
  </si>
  <si>
    <t>age_range_description</t>
  </si>
  <si>
    <t>apparel_size_class</t>
  </si>
  <si>
    <t>apparel_size</t>
  </si>
  <si>
    <t>apparel_size_to</t>
  </si>
  <si>
    <t>apparel_body_type</t>
  </si>
  <si>
    <t>apparel_height_type</t>
  </si>
  <si>
    <t>generic_keywords</t>
  </si>
  <si>
    <t>collection_name</t>
  </si>
  <si>
    <t>bullet_point1</t>
  </si>
  <si>
    <t>bullet_point2</t>
  </si>
  <si>
    <t>bullet_point3</t>
  </si>
  <si>
    <t>bullet_point4</t>
  </si>
  <si>
    <t>bullet_point5</t>
  </si>
  <si>
    <t>special_size_type</t>
  </si>
  <si>
    <t>platinum_keywords1</t>
  </si>
  <si>
    <t>platinum_keywords2</t>
  </si>
  <si>
    <t>platinum_keywords3</t>
  </si>
  <si>
    <t>platinum_keywords4</t>
  </si>
  <si>
    <t>platinum_keywords5</t>
  </si>
  <si>
    <t>seasons</t>
  </si>
  <si>
    <t>sleeve_type</t>
  </si>
  <si>
    <t>closure_type</t>
  </si>
  <si>
    <t>fit_type</t>
  </si>
  <si>
    <t>website_shipping_weight</t>
  </si>
  <si>
    <t>website_shipping_weight_unit_of_measure</t>
  </si>
  <si>
    <t>item_dimensions_unit_of_measure</t>
  </si>
  <si>
    <t>fulfillment_center_id</t>
  </si>
  <si>
    <t>package_length</t>
  </si>
  <si>
    <t>package_width</t>
  </si>
  <si>
    <t>package_height</t>
  </si>
  <si>
    <t>package_weight</t>
  </si>
  <si>
    <t>package_weight_unit_of_measure</t>
  </si>
  <si>
    <t>package_dimensions_unit_of_measure</t>
  </si>
  <si>
    <t>eu_toys_safety_directive_age_warning</t>
  </si>
  <si>
    <t>eu_toys_safety_directive_warning</t>
  </si>
  <si>
    <t>eu_toys_safety_directive_language</t>
  </si>
  <si>
    <t>country_of_origin</t>
  </si>
  <si>
    <t>batteries_required</t>
  </si>
  <si>
    <t>are_batteries_included</t>
  </si>
  <si>
    <t>battery_cell_composition</t>
  </si>
  <si>
    <t>battery_type1</t>
  </si>
  <si>
    <t>battery_type2</t>
  </si>
  <si>
    <t>battery_type3</t>
  </si>
  <si>
    <t>number_of_batteries1</t>
  </si>
  <si>
    <t>number_of_batteries2</t>
  </si>
  <si>
    <t>number_of_batteries3</t>
  </si>
  <si>
    <t>battery_weight</t>
  </si>
  <si>
    <t>number_of_lithium_metal_cells</t>
  </si>
  <si>
    <t>number_of_lithium_ion_cells</t>
  </si>
  <si>
    <t>lithium_battery_packaging</t>
  </si>
  <si>
    <t>lithium_battery_energy_content</t>
  </si>
  <si>
    <t>lithium_battery_weight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</si>
  <si>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</si>
  <si>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</si>
  <si>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</si>
  <si>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</si>
  <si>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</si>
  <si>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</si>
  <si>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</si>
  <si>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item_weight</t>
  </si>
  <si>
    <t>item_volume</t>
  </si>
  <si>
    <t>flash_point</t>
  </si>
  <si>
    <t>ghs_classification_class1</t>
  </si>
  <si>
    <t>ghs_classification_class2</t>
  </si>
  <si>
    <t>ghs_classification_class3</t>
  </si>
  <si>
    <t>currency</t>
  </si>
  <si>
    <t>fulfillment_latency</t>
  </si>
  <si>
    <t>sale_price</t>
  </si>
  <si>
    <t>sale_from_date</t>
  </si>
  <si>
    <t>sale_end_date</t>
  </si>
  <si>
    <t>max_aggregate_ship_quantity</t>
  </si>
  <si>
    <t>item_package_quantity</t>
  </si>
  <si>
    <t>number_of_items</t>
  </si>
  <si>
    <t>offering_can_be_gift_messaged</t>
  </si>
  <si>
    <t>offering_can_be_giftwrapped</t>
  </si>
  <si>
    <t>is_discontinued_by_manufacturer</t>
  </si>
  <si>
    <t>product_site_launch_date</t>
  </si>
  <si>
    <t>restock_date</t>
  </si>
  <si>
    <t>list_price</t>
  </si>
  <si>
    <t>offering_end_date</t>
  </si>
  <si>
    <t>max_order_quantity</t>
  </si>
  <si>
    <t>merchant_shipping_group_name</t>
  </si>
  <si>
    <t>offering_start_date</t>
  </si>
  <si>
    <t>product_tax_code</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</si>
  <si>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</si>
  <si>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</si>
  <si>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</si>
  <si>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</si>
  <si>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</si>
  <si>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</si>
  <si>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</si>
  <si>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</si>
  <si>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</si>
  <si>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</si>
  <si>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</si>
  <si>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</si>
  <si>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progressive_discount_type</t>
  </si>
  <si>
    <t>progressive_discount_lower_bound1</t>
  </si>
  <si>
    <t>progressive_discount_value1</t>
  </si>
  <si>
    <t>progressive_discount_lower_bound2</t>
  </si>
  <si>
    <t>progressive_discount_value2</t>
  </si>
  <si>
    <t>progressive_discount_lower_bound3</t>
  </si>
  <si>
    <t>progressive_discount_value3</t>
  </si>
  <si>
    <t>national_stock_number</t>
  </si>
  <si>
    <t>unspsc_code</t>
  </si>
  <si>
    <t>pricing_action</t>
  </si>
  <si>
    <t>dress</t>
  </si>
  <si>
    <t>ES01749</t>
  </si>
  <si>
    <t>Ever-Pretty</t>
  </si>
  <si>
    <t>Ever-Pretty Robe Pour Mariage Invité Femme Longue Asymétrique Manches Courtes Col V Fendue Fluide Chic ES01749</t>
  </si>
  <si>
    <t>Synthétique</t>
  </si>
  <si>
    <t>Polyester</t>
  </si>
  <si>
    <t>A Line</t>
  </si>
  <si>
    <t>Soirée</t>
  </si>
  <si>
    <t>Taille empire</t>
  </si>
  <si>
    <t>Col V</t>
  </si>
  <si>
    <t>Femme</t>
  </si>
  <si>
    <t>Maxi</t>
  </si>
  <si>
    <t>Parent</t>
  </si>
  <si>
    <t>SizeName-ColorName</t>
  </si>
  <si>
    <t>Actualisation partielle</t>
  </si>
  <si>
    <t>Silhouette: A Line &lt;br/&gt;Encolure : Col V &lt;br/&gt;Type de manche : Manches Courtes &lt;br/&gt;Longueur de robe: Longue &lt;br/&gt;Élasticité : Non&lt;br/&gt; Doublure : Oui&lt;br/&gt;Soutien-gorge intégré : Non&lt;br/&gt;Entretien des vêtements : lavage à la main&lt;br/&gt;EVER-PRETTY a toujours suivi les tendances pour aider chaque femme à trouver la robe de ses rêves. Nous proposons des robes élégantes pour toutes sortes d'occasions spéciales, y compris robe de soirée, robe demoiselle d'honneur, robe invité de mariage, robe de mariée, robe de cocktail, robe de bal, robe de gala, robe de baptême etc. Nous espérons que chaque femme trouvera de quoi briller pour les moments importants de sa vie !&lt;br/&gt;Vous pouvez retourner votre article dans leur état d'origine dans les 30 jours après la réception, quelle qu'en soit la raison.&lt;br/&gt;</t>
  </si>
  <si>
    <t>Lavage à la main. Veuillez utiliser de la vapeur pour éliminer les plis à l'arrivée. La température de repassage doit être ≤ 110 ° C. Des températures supérieures à 110 ° C pourraient ruiner votre robe.</t>
  </si>
  <si>
    <t>Pour choisir la bonne taille, veuillez vous référer à notre tableau des tailles dans les images</t>
  </si>
  <si>
    <t>fermeture à glissière dissimulée dans le dos</t>
  </si>
  <si>
    <t>ES01749BK04</t>
  </si>
  <si>
    <t>Ever-Pretty Robe Pour Mariage Invité Femme Longue Asymétrique Manches Courtes Col V Fendue Fluide Chic Noir 36</t>
  </si>
  <si>
    <t>Noir</t>
  </si>
  <si>
    <t>59.99</t>
  </si>
  <si>
    <t>https://eppic.s3.amazonaws.com/ES01749BK-L1.jpg</t>
  </si>
  <si>
    <t>https://eppic.s3.amazonaws.com/ES01749BK-L2.jpg</t>
  </si>
  <si>
    <t>https://eppic.s3.amazonaws.com/ES01749BK-L3.jpg</t>
  </si>
  <si>
    <t>https://eppic.s3.amazonaws.com/ES01749BK-L4.jpg</t>
  </si>
  <si>
    <t>https://eppic.s3.amazonaws.com/ES01749BK-L5.jpg</t>
  </si>
  <si>
    <t>https://eppic.s3.amazonaws.com/ES01749BK-L.jpg</t>
  </si>
  <si>
    <t>https://eppic.s3.amazonaws.com/ES01749-S.jpg</t>
  </si>
  <si>
    <t>Child</t>
  </si>
  <si>
    <t>Silhouette: A Line &lt;br/&gt;Encolure : Col V &lt;br/&gt;Type de manche : Manches Courtes &lt;br/&gt;Longueur de robe: Longue &lt;br/&gt;Élasticité : Non&lt;br/&gt; Doublure : Oui&lt;br/&gt;Soutien-gorge intégré : Non&lt;br/&gt;Entretien des vêtements : lavage à la main&lt;br/&gt;EVER-PRETTY a toujours suivi les tendances pour aider chaque femme à trouver la robe de ses rêves. Nous proposons des robes élégantes pour toutes sortes d'occasions spéciales, y compris robe de soirée, robe demoiselle d'honneur, robe invité de mariage, robe de mariée, robe de cocktail, robe de bal, robe de gala, robe de baptême etc. Nous espérons que chaque femme trouvera de quoi briller pour les moments importants de sa vie !&lt;br/&gt;Vous pouvez retourner votre article dans leur état d'origine dans les 32 jours après la réception, quelle qu'en soit la raison.&lt;br/&gt;</t>
  </si>
  <si>
    <t>FR / ES</t>
  </si>
  <si>
    <t>Féminin</t>
  </si>
  <si>
    <t>Adulte</t>
  </si>
  <si>
    <t>Numérique</t>
  </si>
  <si>
    <t>Taille normale</t>
  </si>
  <si>
    <t xml:space="preserve">robe femme chic et elegant robe longue femme robe de soiree femme robe pour mariage invité femme robe de mariée robe de soirée robe ceremonie femme ensemble femme chic et elegant robe demoiselle d'honneur femme robe habillée grande taille robe tendance chic </t>
  </si>
  <si>
    <t>KG</t>
  </si>
  <si>
    <t>IN</t>
  </si>
  <si>
    <t>Chine</t>
  </si>
  <si>
    <t>100% Polyester</t>
  </si>
  <si>
    <t>No</t>
  </si>
  <si>
    <t>Not Applicable</t>
  </si>
  <si>
    <t>Neuf</t>
  </si>
  <si>
    <t>ES01749BK06</t>
  </si>
  <si>
    <t>Ever-Pretty Robe Pour Mariage Invité Femme Longue Asymétrique Manches Courtes Col V Fendue Fluide Chic Noir 38</t>
  </si>
  <si>
    <t>Silhouette: A Line &lt;br/&gt;Encolure : Col V &lt;br/&gt;Type de manche : Manches Courtes &lt;br/&gt;Longueur de robe: Longue &lt;br/&gt;Élasticité : Non&lt;br/&gt; Doublure : Oui&lt;br/&gt;Soutien-gorge intégré : Non&lt;br/&gt;Entretien des vêtements : lavage à la main&lt;br/&gt;EVER-PRETTY a toujours suivi les tendances pour aider chaque femme à trouver la robe de ses rêves. Nous proposons des robes élégantes pour toutes sortes d'occasions spéciales, y compris robe de soirée, robe demoiselle d'honneur, robe invité de mariage, robe de mariée, robe de cocktail, robe de bal, robe de gala, robe de baptême etc. Nous espérons que chaque femme trouvera de quoi briller pour les moments importants de sa vie !&lt;br/&gt;Vous pouvez retourner votre article dans leur état d'origine dans les 33 jours après la réception, quelle qu'en soit la raison.&lt;br/&gt;</t>
  </si>
  <si>
    <t/>
  </si>
  <si>
    <t>Accessory</t>
  </si>
  <si>
    <t>Grande taille</t>
  </si>
  <si>
    <t>XK</t>
  </si>
  <si>
    <t>Batteries fournies avec l'équipement</t>
  </si>
  <si>
    <t>GTIN</t>
  </si>
  <si>
    <t>ItemPackageQuantity-Material</t>
  </si>
  <si>
    <t>Unisexe</t>
  </si>
  <si>
    <t>JPY</t>
  </si>
  <si>
    <t>GHS</t>
  </si>
  <si>
    <t>Yes</t>
  </si>
  <si>
    <t>lead_acid_agm</t>
  </si>
  <si>
    <t>LB</t>
  </si>
  <si>
    <t>Actualisation</t>
  </si>
  <si>
    <t>Taille Petite</t>
  </si>
  <si>
    <t>Argenté</t>
  </si>
  <si>
    <t>Taille unique</t>
  </si>
  <si>
    <t>automne-hiver</t>
  </si>
  <si>
    <t>Grec</t>
  </si>
  <si>
    <t>Automne-hiver 12</t>
  </si>
  <si>
    <t>Angstrom</t>
  </si>
  <si>
    <t>fixed</t>
  </si>
  <si>
    <t>AMAZON_EU</t>
  </si>
  <si>
    <t>Casual</t>
  </si>
  <si>
    <t>Au genou</t>
  </si>
  <si>
    <t>explosive</t>
  </si>
  <si>
    <t>30</t>
  </si>
  <si>
    <t>Kilowatts-heures</t>
  </si>
  <si>
    <t>Pile type aa</t>
  </si>
  <si>
    <t>Alpaca</t>
  </si>
  <si>
    <t>Contient des substances parfumantes susceptibles de causer des allergies</t>
  </si>
  <si>
    <t>Âge</t>
  </si>
  <si>
    <t>Bébé fille</t>
  </si>
  <si>
    <t>De collection- Très bon état</t>
  </si>
  <si>
    <t>Long</t>
  </si>
  <si>
    <t>9.99</t>
  </si>
  <si>
    <t>part</t>
  </si>
  <si>
    <t>cups</t>
  </si>
  <si>
    <t>delete business_price</t>
  </si>
  <si>
    <t>Ever Pretty</t>
  </si>
  <si>
    <t>Ne convient pas aux enfants de moins de 11 ans. À utiliser sous la surveillance d’un adulte</t>
  </si>
  <si>
    <t>A_BABY_BIBCLOTH</t>
  </si>
  <si>
    <t>Ajourée</t>
  </si>
  <si>
    <t>2308890031</t>
  </si>
  <si>
    <t>Nourrisson</t>
  </si>
  <si>
    <t>Île de l'Ascension</t>
  </si>
  <si>
    <t>Batteries inclues dans l'équipement</t>
  </si>
  <si>
    <t>EAN</t>
  </si>
  <si>
    <t>ItemPackageQuantity</t>
  </si>
  <si>
    <t>MXN</t>
  </si>
  <si>
    <t>Unknown</t>
  </si>
  <si>
    <t>lithium_air</t>
  </si>
  <si>
    <t>Taille courte</t>
  </si>
  <si>
    <t>Beige</t>
  </si>
  <si>
    <t>34</t>
  </si>
  <si>
    <t>printemps-été</t>
  </si>
  <si>
    <t>Suédois</t>
  </si>
  <si>
    <t>Automne-hiver 13</t>
  </si>
  <si>
    <t>Mils</t>
  </si>
  <si>
    <t>percent</t>
  </si>
  <si>
    <t>DEFAULT</t>
  </si>
  <si>
    <t>Cérémonie</t>
  </si>
  <si>
    <t>flammable</t>
  </si>
  <si>
    <t>32</t>
  </si>
  <si>
    <t>Joules</t>
  </si>
  <si>
    <t>Batterie AAA</t>
  </si>
  <si>
    <t>Angora</t>
  </si>
  <si>
    <t>À utiliser avec équipement de protection. Ne pas utiliser sur la voie publique</t>
  </si>
  <si>
    <t>Alpha/lettres</t>
  </si>
  <si>
    <t>Bébé garçon</t>
  </si>
  <si>
    <t>Occasion - Bon état</t>
  </si>
  <si>
    <t>court</t>
  </si>
  <si>
    <t>11</t>
  </si>
  <si>
    <t>bundle</t>
  </si>
  <si>
    <t>microliters</t>
  </si>
  <si>
    <t>delete quantity_price</t>
  </si>
  <si>
    <t>Ne convient pas aux enfants de moins de 5 ans. À utiliser sous la surveillance d’un adulte</t>
  </si>
  <si>
    <t>A_BABY_CARSEAT</t>
  </si>
  <si>
    <t>Asymétrique</t>
  </si>
  <si>
    <t>13880100031</t>
  </si>
  <si>
    <t>variation</t>
  </si>
  <si>
    <t>Enfant</t>
  </si>
  <si>
    <t>Tristan da Cunha</t>
  </si>
  <si>
    <t>Batteries seulement</t>
  </si>
  <si>
    <t>GCID</t>
  </si>
  <si>
    <t>Color</t>
  </si>
  <si>
    <t>Masculin</t>
  </si>
  <si>
    <t>EUR</t>
  </si>
  <si>
    <t>Other</t>
  </si>
  <si>
    <t>lithium_cobalt</t>
  </si>
  <si>
    <t>GR</t>
  </si>
  <si>
    <t>Supprimer</t>
  </si>
  <si>
    <t>Blanc</t>
  </si>
  <si>
    <t>36</t>
  </si>
  <si>
    <t>Allemand</t>
  </si>
  <si>
    <t>Automne-hiver 14</t>
  </si>
  <si>
    <t>Verges</t>
  </si>
  <si>
    <t>Midi</t>
  </si>
  <si>
    <t>oxidizing</t>
  </si>
  <si>
    <t>Pieds cubes</t>
  </si>
  <si>
    <t>Pile type lithium ion</t>
  </si>
  <si>
    <t>Cachemire</t>
  </si>
  <si>
    <t>Afin d’éviter tout risque d’étranglement, ôter le jouet dès que l’enfant tente de se mettre à quatre pattes ou de ramper</t>
  </si>
  <si>
    <t>Club</t>
  </si>
  <si>
    <t>large</t>
  </si>
  <si>
    <t>12.99</t>
  </si>
  <si>
    <t>cubic_feet</t>
  </si>
  <si>
    <t>delete progressive_discount</t>
  </si>
  <si>
    <t>Ne convient pas aux enfants de moins de 36 mois</t>
  </si>
  <si>
    <t>A_BABY_NAPPIES</t>
  </si>
  <si>
    <t>Boule</t>
  </si>
  <si>
    <t>13880099031</t>
  </si>
  <si>
    <t>Tout-petit</t>
  </si>
  <si>
    <t>Curaçao</t>
  </si>
  <si>
    <t>UPC</t>
  </si>
  <si>
    <t>color-size</t>
  </si>
  <si>
    <t>GBP</t>
  </si>
  <si>
    <t>lithium_nickel_cobalt_aluminum</t>
  </si>
  <si>
    <t>Centièmes de livre</t>
  </si>
  <si>
    <t>Taille Tall</t>
  </si>
  <si>
    <t>Bleu</t>
  </si>
  <si>
    <t>38</t>
  </si>
  <si>
    <t>Espanol</t>
  </si>
  <si>
    <t>Automne-hiver 15</t>
  </si>
  <si>
    <t>Picomètre</t>
  </si>
  <si>
    <t>Ville</t>
  </si>
  <si>
    <t>Mini</t>
  </si>
  <si>
    <t>compressed_gas</t>
  </si>
  <si>
    <t>watt_hours</t>
  </si>
  <si>
    <t>Pile type a</t>
  </si>
  <si>
    <t>Caoutchouc</t>
  </si>
  <si>
    <t>À utiliser sous la surveillance d’un adulte</t>
  </si>
  <si>
    <t>Fille</t>
  </si>
  <si>
    <t>De collection - Etat correct</t>
  </si>
  <si>
    <t>maternité</t>
  </si>
  <si>
    <t>6.99</t>
  </si>
  <si>
    <t>centiliters</t>
  </si>
  <si>
    <t>Ne convient pas aux enfants de moins de 4 ans. À utiliser sous la surveillance d’un adulte</t>
  </si>
  <si>
    <t>A_BOOK_ADULT</t>
  </si>
  <si>
    <t>Bustier</t>
  </si>
  <si>
    <t>13880102031</t>
  </si>
  <si>
    <t>Bonaire, Saint-Eustache et Saba</t>
  </si>
  <si>
    <t>ASIN</t>
  </si>
  <si>
    <t>Size</t>
  </si>
  <si>
    <t>USD</t>
  </si>
  <si>
    <t>Transportation</t>
  </si>
  <si>
    <t>lithium_nickel_manganese_cobalt</t>
  </si>
  <si>
    <t>MG</t>
  </si>
  <si>
    <t>Extra Tall</t>
  </si>
  <si>
    <t>Ecru</t>
  </si>
  <si>
    <t>40</t>
  </si>
  <si>
    <t>Danois</t>
  </si>
  <si>
    <t>Automne-hiver 16</t>
  </si>
  <si>
    <t>Miles</t>
  </si>
  <si>
    <t>corrosive</t>
  </si>
  <si>
    <t>Milliampère-heure (mAh)</t>
  </si>
  <si>
    <t>Pile type cr2</t>
  </si>
  <si>
    <t>Chanvre</t>
  </si>
  <si>
    <t>Ce jouet n’assure pas une protection</t>
  </si>
  <si>
    <t>Garçon</t>
  </si>
  <si>
    <t>De collection- Comme neuf</t>
  </si>
  <si>
    <t>4.99</t>
  </si>
  <si>
    <t>gallon</t>
  </si>
  <si>
    <t>Ne convient pas aux enfants de moins de 9 ans. À utiliser sous la surveillance d’un adulte</t>
  </si>
  <si>
    <t>A_BOOK_ATLAS</t>
  </si>
  <si>
    <t>Chemise</t>
  </si>
  <si>
    <t>13880101031</t>
  </si>
  <si>
    <t>Soudan du Sud</t>
  </si>
  <si>
    <t>Material</t>
  </si>
  <si>
    <t>CAD</t>
  </si>
  <si>
    <t>Waste</t>
  </si>
  <si>
    <t>lithium_phosphate</t>
  </si>
  <si>
    <t>Tonnes</t>
  </si>
  <si>
    <t>Gris</t>
  </si>
  <si>
    <t>42</t>
  </si>
  <si>
    <t>Slovaque</t>
  </si>
  <si>
    <t>Automne-hiver 17</t>
  </si>
  <si>
    <t>DM</t>
  </si>
  <si>
    <t>toxic</t>
  </si>
  <si>
    <t>Mètres cubes</t>
  </si>
  <si>
    <t>Pile type c</t>
  </si>
  <si>
    <t>Cotton</t>
  </si>
  <si>
    <t>Réservé à un usage familial</t>
  </si>
  <si>
    <t>Homme</t>
  </si>
  <si>
    <t>Occasion - Comme neuf</t>
  </si>
  <si>
    <t>3.99</t>
  </si>
  <si>
    <t>quarts</t>
  </si>
  <si>
    <t>Ne convient pas aux enfants de moins de 7 ans. À utiliser sous la surveillance d’un adulte</t>
  </si>
  <si>
    <t>A_BOOK_AUDIOBOOK</t>
  </si>
  <si>
    <t>Cocktail</t>
  </si>
  <si>
    <t>Saint-Barthélemy</t>
  </si>
  <si>
    <t>Size-Material</t>
  </si>
  <si>
    <t>INR</t>
  </si>
  <si>
    <t>Storage</t>
  </si>
  <si>
    <t>lithium_titanate</t>
  </si>
  <si>
    <t>OZ</t>
  </si>
  <si>
    <t>Jaune</t>
  </si>
  <si>
    <t>44</t>
  </si>
  <si>
    <t>Italien</t>
  </si>
  <si>
    <t>Automne-hiver 18</t>
  </si>
  <si>
    <t>MM</t>
  </si>
  <si>
    <t>irritant</t>
  </si>
  <si>
    <t>Milliampères-heures (mAh)</t>
  </si>
  <si>
    <t>Pile type d</t>
  </si>
  <si>
    <t>Cuir</t>
  </si>
  <si>
    <t>Aucun avertissement applicable</t>
  </si>
  <si>
    <t>De collection- Bon état</t>
  </si>
  <si>
    <t>8.99</t>
  </si>
  <si>
    <t>nanoliters</t>
  </si>
  <si>
    <t>Ne convient pas aux enfants de moins de 10 ans. À utiliser sous la surveillance d’un adulte</t>
  </si>
  <si>
    <t>A_BOOK_GLOBE</t>
  </si>
  <si>
    <t>Colonne</t>
  </si>
  <si>
    <t>Monténégro</t>
  </si>
  <si>
    <t>Color-ItemPackageQuantity</t>
  </si>
  <si>
    <t>CNY</t>
  </si>
  <si>
    <t>nickel_iron</t>
  </si>
  <si>
    <t>Marron</t>
  </si>
  <si>
    <t>46</t>
  </si>
  <si>
    <t>Lituanien</t>
  </si>
  <si>
    <t>Printemps-été 12</t>
  </si>
  <si>
    <t>M</t>
  </si>
  <si>
    <t>health_hazard</t>
  </si>
  <si>
    <t>Milliampère-seconde (mAs)</t>
  </si>
  <si>
    <t>Pile type cr5</t>
  </si>
  <si>
    <t>Cuir lisse</t>
  </si>
  <si>
    <t>À n’utiliser qu’en eau où l’enfant a pied et sous la surveillance d’un adulte</t>
  </si>
  <si>
    <t>0</t>
  </si>
  <si>
    <t>liter</t>
  </si>
  <si>
    <t>Ne convient pas aux enfants de moins de 13 ans. À utiliser sous la surveillance d’un adulte</t>
  </si>
  <si>
    <t>A_BOOK_MAGAZINE</t>
  </si>
  <si>
    <t>Crayon</t>
  </si>
  <si>
    <t>Saint Martin</t>
  </si>
  <si>
    <t>ItemPackageQuantity-Size</t>
  </si>
  <si>
    <t>nickel_zinc</t>
  </si>
  <si>
    <t>Multicolore</t>
  </si>
  <si>
    <t>48</t>
  </si>
  <si>
    <t>Hongrois</t>
  </si>
  <si>
    <t>Printemps-été 13</t>
  </si>
  <si>
    <t>environmentally_damaging</t>
  </si>
  <si>
    <t>Unités thermiques britanniques (BTU)</t>
  </si>
  <si>
    <t>Pile type aaaa</t>
  </si>
  <si>
    <t>Cuir vernis</t>
  </si>
  <si>
    <t>Contient un jouet. La surveillance d’un adulte est recommandée</t>
  </si>
  <si>
    <t>Occasion - Très bon état</t>
  </si>
  <si>
    <t>picoliters</t>
  </si>
  <si>
    <t>Ne convient pas aux enfants de moins de 3 ans. À utiliser sous la surveillance d’un adulte</t>
  </si>
  <si>
    <t>A_BOOK_MAP</t>
  </si>
  <si>
    <t>Dos nu</t>
  </si>
  <si>
    <t>Timor oriental</t>
  </si>
  <si>
    <t>Color-Material</t>
  </si>
  <si>
    <t>silver_calcium</t>
  </si>
  <si>
    <t>50</t>
  </si>
  <si>
    <t>Néerlandaise</t>
  </si>
  <si>
    <t>Printemps-été 14</t>
  </si>
  <si>
    <t>FT</t>
  </si>
  <si>
    <t>amzn_specific_no_label_with_warning</t>
  </si>
  <si>
    <t>Pile type p76</t>
  </si>
  <si>
    <t>Denim</t>
  </si>
  <si>
    <t>Occasion - Etat correct</t>
  </si>
  <si>
    <t>Unknown modifier</t>
  </si>
  <si>
    <t>Ne convient pas aux enfants de moins de 12 ans. À utiliser sous la surveillance d’un adulte</t>
  </si>
  <si>
    <t>A_BOOKS_GEN</t>
  </si>
  <si>
    <t>Kimono</t>
  </si>
  <si>
    <t>Royaume-Uni</t>
  </si>
  <si>
    <t>Material-Size</t>
  </si>
  <si>
    <t>silver_zinc</t>
  </si>
  <si>
    <t>Or</t>
  </si>
  <si>
    <t>52</t>
  </si>
  <si>
    <t>Finlandais</t>
  </si>
  <si>
    <t>Printemps-été 15</t>
  </si>
  <si>
    <t>CM</t>
  </si>
  <si>
    <t>Pile type produit spécifique</t>
  </si>
  <si>
    <t>Duvet</t>
  </si>
  <si>
    <t>fluid-oz</t>
  </si>
  <si>
    <t>Ne convient pas aux enfants de moins de 6 ans. À utiliser sous la surveillance d’un adulte</t>
  </si>
  <si>
    <t>A_CLTH_BABY</t>
  </si>
  <si>
    <t>Moulante</t>
  </si>
  <si>
    <t>Pays-Bas</t>
  </si>
  <si>
    <t>Material-Color</t>
  </si>
  <si>
    <t>zinc_air</t>
  </si>
  <si>
    <t>Orange</t>
  </si>
  <si>
    <t>54</t>
  </si>
  <si>
    <t>Estonien</t>
  </si>
  <si>
    <t>Printemps-été 16</t>
  </si>
  <si>
    <t>Centièmes de pouces</t>
  </si>
  <si>
    <t>Lithium Polymère</t>
  </si>
  <si>
    <t>Fausse fourrure</t>
  </si>
  <si>
    <t>cubic_meters</t>
  </si>
  <si>
    <t>A_CLTH_CHILD</t>
  </si>
  <si>
    <t>Patineuse</t>
  </si>
  <si>
    <t>Les Samoa américaines</t>
  </si>
  <si>
    <t>lithium_thionyl_chloride</t>
  </si>
  <si>
    <t>Rose</t>
  </si>
  <si>
    <t>56</t>
  </si>
  <si>
    <t>Slovène</t>
  </si>
  <si>
    <t>Printemps-été 17</t>
  </si>
  <si>
    <t>Nanomètre</t>
  </si>
  <si>
    <t>Inconnu</t>
  </si>
  <si>
    <t>Feutre</t>
  </si>
  <si>
    <t>pints</t>
  </si>
  <si>
    <t>Ne convient pas aux enfants de moins de 14 ans. À utiliser sous la surveillance d’un adulte</t>
  </si>
  <si>
    <t>A_CLTH_PROTECTIVE</t>
  </si>
  <si>
    <t>Peplum</t>
  </si>
  <si>
    <t>Burkina Faso</t>
  </si>
  <si>
    <t>SizeColor</t>
  </si>
  <si>
    <t>nickel_oxyhydroxide</t>
  </si>
  <si>
    <t>Rouge</t>
  </si>
  <si>
    <t>58</t>
  </si>
  <si>
    <t>Anglais</t>
  </si>
  <si>
    <t>Printemps-été 18</t>
  </si>
  <si>
    <t>µM</t>
  </si>
  <si>
    <t>Pile type lithium metal</t>
  </si>
  <si>
    <t>Fourrure</t>
  </si>
  <si>
    <t>cubic_yards</t>
  </si>
  <si>
    <t>Ne convient pas aux enfants de moins de 8 ans. À utiliser sous la surveillance d’un adulte</t>
  </si>
  <si>
    <t>A_FOOD_ANIMALFOOD</t>
  </si>
  <si>
    <t>Plissée</t>
  </si>
  <si>
    <t>Porto Rico</t>
  </si>
  <si>
    <t>SizeName</t>
  </si>
  <si>
    <t>zinc_chloride</t>
  </si>
  <si>
    <t>Turquoise</t>
  </si>
  <si>
    <t>Portugais</t>
  </si>
  <si>
    <t>Kilomètres</t>
  </si>
  <si>
    <t>Batterie non Standard</t>
  </si>
  <si>
    <t>Laine</t>
  </si>
  <si>
    <t>cubic_inches</t>
  </si>
  <si>
    <t>A_FOOD_ANIMALMED</t>
  </si>
  <si>
    <t>Portefeuille</t>
  </si>
  <si>
    <t>Nouvelle-Zélande</t>
  </si>
  <si>
    <t>ItemPackageQuantity-Color</t>
  </si>
  <si>
    <t>lithium</t>
  </si>
  <si>
    <t>Vert</t>
  </si>
  <si>
    <t>62</t>
  </si>
  <si>
    <t>Bulgare</t>
  </si>
  <si>
    <t>Pile type cr123a</t>
  </si>
  <si>
    <t>Lin</t>
  </si>
  <si>
    <t>imperial_gallons</t>
  </si>
  <si>
    <t>A_FOOD_ANIMALVITAMINS</t>
  </si>
  <si>
    <t>Pull</t>
  </si>
  <si>
    <t>Lituanie</t>
  </si>
  <si>
    <t>ColorName</t>
  </si>
  <si>
    <t>zinc_carbon</t>
  </si>
  <si>
    <t>Violet</t>
  </si>
  <si>
    <t>64</t>
  </si>
  <si>
    <t>Polonais</t>
  </si>
  <si>
    <t>LR44</t>
  </si>
  <si>
    <t>Merino</t>
  </si>
  <si>
    <t>milliliter</t>
  </si>
  <si>
    <t>A_FOOD_CAKEDECOR</t>
  </si>
  <si>
    <t>Sans bretelle</t>
  </si>
  <si>
    <t>Italie</t>
  </si>
  <si>
    <t>mercury_oxide</t>
  </si>
  <si>
    <t>66</t>
  </si>
  <si>
    <t>Roumain</t>
  </si>
  <si>
    <t>Pile 12v</t>
  </si>
  <si>
    <t>Mohair</t>
  </si>
  <si>
    <t>cubic_centimeters</t>
  </si>
  <si>
    <t>A_FOOD_CANFRUIT</t>
  </si>
  <si>
    <t>Maroc</t>
  </si>
  <si>
    <t>sealed_lead_acid</t>
  </si>
  <si>
    <t>Pile 9v</t>
  </si>
  <si>
    <t>Pailleté</t>
  </si>
  <si>
    <t>deciliters</t>
  </si>
  <si>
    <t>A_FOOD_CEREALBARS</t>
  </si>
  <si>
    <t>Trapèze</t>
  </si>
  <si>
    <t>Lesotho</t>
  </si>
  <si>
    <t>NiMh</t>
  </si>
  <si>
    <t>Tchèque</t>
  </si>
  <si>
    <t>68</t>
  </si>
  <si>
    <t>Polaire</t>
  </si>
  <si>
    <t>A_FOOD_CEREALCHOCBARS</t>
  </si>
  <si>
    <t>Tulipe</t>
  </si>
  <si>
    <t>Guyane française</t>
  </si>
  <si>
    <t>alkaline</t>
  </si>
  <si>
    <t>Letton</t>
  </si>
  <si>
    <t>70</t>
  </si>
  <si>
    <t>Satin</t>
  </si>
  <si>
    <t>A_FOOD_CHOCEREAL</t>
  </si>
  <si>
    <t>Tunique</t>
  </si>
  <si>
    <t>Kenya</t>
  </si>
  <si>
    <t>lithium_polymer</t>
  </si>
  <si>
    <t>72</t>
  </si>
  <si>
    <t>Soie</t>
  </si>
  <si>
    <t>A_FOOD_CNDY</t>
  </si>
  <si>
    <t>République démocratique du Congo</t>
  </si>
  <si>
    <t>NiCAD</t>
  </si>
  <si>
    <t>74</t>
  </si>
  <si>
    <t>Suède</t>
  </si>
  <si>
    <t>A_FOOD_COFFEE</t>
  </si>
  <si>
    <t>XY</t>
  </si>
  <si>
    <t>silver_oxide</t>
  </si>
  <si>
    <t>76</t>
  </si>
  <si>
    <t>A_FOOD_DAIRY</t>
  </si>
  <si>
    <t>États-Unis</t>
  </si>
  <si>
    <t>lithium_manganese_dioxide</t>
  </si>
  <si>
    <t>80</t>
  </si>
  <si>
    <t>Velours</t>
  </si>
  <si>
    <t>A_FOOD_DESSERT</t>
  </si>
  <si>
    <t>La Slovaquie</t>
  </si>
  <si>
    <t>lead_calcium</t>
  </si>
  <si>
    <t>86</t>
  </si>
  <si>
    <t>Velours côtelé</t>
  </si>
  <si>
    <t>A_FOOD_DRIEDFRUIT</t>
  </si>
  <si>
    <t>Arménie</t>
  </si>
  <si>
    <t>lithium_metal</t>
  </si>
  <si>
    <t>92</t>
  </si>
  <si>
    <t>A_FOOD_FLOUR</t>
  </si>
  <si>
    <t>Îles Mariannes du Nord</t>
  </si>
  <si>
    <t>polymer</t>
  </si>
  <si>
    <t>98</t>
  </si>
  <si>
    <t>A_FOOD_GEN</t>
  </si>
  <si>
    <t>Mali</t>
  </si>
  <si>
    <t>aluminum_oxygen</t>
  </si>
  <si>
    <t>104</t>
  </si>
  <si>
    <t>A_FOOD_MEATCHICKEN</t>
  </si>
  <si>
    <t>Indonésie</t>
  </si>
  <si>
    <t>lead_acid</t>
  </si>
  <si>
    <t>110</t>
  </si>
  <si>
    <t>A_FOOD_MISCBEVERAGE</t>
  </si>
  <si>
    <t>El Salvador</t>
  </si>
  <si>
    <t>zinc</t>
  </si>
  <si>
    <t>116</t>
  </si>
  <si>
    <t>A_FOOD_NAAN</t>
  </si>
  <si>
    <t>Nioué</t>
  </si>
  <si>
    <t>manganese</t>
  </si>
  <si>
    <t>120</t>
  </si>
  <si>
    <t>A_FOOD_NCARBWTR</t>
  </si>
  <si>
    <t>Cameroun</t>
  </si>
  <si>
    <t>lithium_ion</t>
  </si>
  <si>
    <t>122</t>
  </si>
  <si>
    <t>A_FOOD_OIL</t>
  </si>
  <si>
    <t>Serbie</t>
  </si>
  <si>
    <t>128</t>
  </si>
  <si>
    <t>A_FOOD_PASTANOODLE</t>
  </si>
  <si>
    <t>Népal</t>
  </si>
  <si>
    <t>130</t>
  </si>
  <si>
    <t>A_FOOD_PASTRYCASE</t>
  </si>
  <si>
    <t>Ile Maurice</t>
  </si>
  <si>
    <t>134</t>
  </si>
  <si>
    <t>A_FOOD_PETFOOD</t>
  </si>
  <si>
    <t>Pays-Bas Antilles</t>
  </si>
  <si>
    <t>140</t>
  </si>
  <si>
    <t>A_FOOD_PLAINBISCUIT</t>
  </si>
  <si>
    <t>Guadeloupe</t>
  </si>
  <si>
    <t>146</t>
  </si>
  <si>
    <t>A_FOOD_PLAINCRACKER</t>
  </si>
  <si>
    <t>Gabon</t>
  </si>
  <si>
    <t>150</t>
  </si>
  <si>
    <t>A_FOOD_PLAINNUT</t>
  </si>
  <si>
    <t>L'île Bouvet</t>
  </si>
  <si>
    <t>152</t>
  </si>
  <si>
    <t>A_FOOD_RICE</t>
  </si>
  <si>
    <t>Equateur</t>
  </si>
  <si>
    <t>158</t>
  </si>
  <si>
    <t>A_FOOD_SEASONINGS</t>
  </si>
  <si>
    <t>Finlande</t>
  </si>
  <si>
    <t>160</t>
  </si>
  <si>
    <t>A_FOOD_SNACK</t>
  </si>
  <si>
    <t>Svalbard</t>
  </si>
  <si>
    <t>164</t>
  </si>
  <si>
    <t>A_FOOD_SODAJUICE</t>
  </si>
  <si>
    <t>Mongolie</t>
  </si>
  <si>
    <t>170</t>
  </si>
  <si>
    <t>A_FOOD_SPREAD</t>
  </si>
  <si>
    <t>Samoa</t>
  </si>
  <si>
    <t>176</t>
  </si>
  <si>
    <t>A_FOOD_SWEETNER</t>
  </si>
  <si>
    <t>Belize</t>
  </si>
  <si>
    <t>numeric_182</t>
  </si>
  <si>
    <t>A_FOOD_TEA</t>
  </si>
  <si>
    <t>Pologne</t>
  </si>
  <si>
    <t>188</t>
  </si>
  <si>
    <t>A_FOOD_VEGETABLE</t>
  </si>
  <si>
    <t>Angola</t>
  </si>
  <si>
    <t>A_GEN_NOTAX</t>
  </si>
  <si>
    <t>Martinique</t>
  </si>
  <si>
    <t>6XS</t>
  </si>
  <si>
    <t>A_GEN_STANDARD</t>
  </si>
  <si>
    <t>Vanuatu</t>
  </si>
  <si>
    <t>5XS</t>
  </si>
  <si>
    <t>A_HLTH_NUTRITIONBAR</t>
  </si>
  <si>
    <t>Guinée</t>
  </si>
  <si>
    <t>4XS</t>
  </si>
  <si>
    <t>A_HLTH_NUTRITIONDRINK</t>
  </si>
  <si>
    <t>Uruguay</t>
  </si>
  <si>
    <t>3XS</t>
  </si>
  <si>
    <t>A_HLTH_PILLCAPSULETABLET</t>
  </si>
  <si>
    <t>Sainte-Hélène</t>
  </si>
  <si>
    <t>XXS</t>
  </si>
  <si>
    <t>A_HLTH_SMOKINGCESSATION</t>
  </si>
  <si>
    <t>Sahara Occidental</t>
  </si>
  <si>
    <t>XS</t>
  </si>
  <si>
    <t>A_HLTH_SMOKINGGUM</t>
  </si>
  <si>
    <t>Yougoslavie</t>
  </si>
  <si>
    <t>S</t>
  </si>
  <si>
    <t>A_HLTH_VITAMINS</t>
  </si>
  <si>
    <t>Guinée-Bissau</t>
  </si>
  <si>
    <t>A_HPC_CONTRACEPTIVE</t>
  </si>
  <si>
    <t>Brésil</t>
  </si>
  <si>
    <t>L</t>
  </si>
  <si>
    <t>A_HPC_DIETARYSUPPL</t>
  </si>
  <si>
    <t>Koweit</t>
  </si>
  <si>
    <t>XL</t>
  </si>
  <si>
    <t>A_HPC_INCONTINENCE</t>
  </si>
  <si>
    <t>Antarctique</t>
  </si>
  <si>
    <t>XXL</t>
  </si>
  <si>
    <t>A_HPC_MEDICINE</t>
  </si>
  <si>
    <t>Côte-d'Ivoire</t>
  </si>
  <si>
    <t>3XL</t>
  </si>
  <si>
    <t>A_HPC_SANITARYPRODUCTS</t>
  </si>
  <si>
    <t>Macédoine</t>
  </si>
  <si>
    <t>4XL</t>
  </si>
  <si>
    <t>A_HPC_WALKINGSTICK</t>
  </si>
  <si>
    <t>Tuvalu</t>
  </si>
  <si>
    <t>5XL</t>
  </si>
  <si>
    <t>A_OUTDOOR_FERTILIZER</t>
  </si>
  <si>
    <t>Venezuela</t>
  </si>
  <si>
    <t>6XL</t>
  </si>
  <si>
    <t>A_OUTDOOR_LAWNCONTROL</t>
  </si>
  <si>
    <t>Djibouti</t>
  </si>
  <si>
    <t>7XL</t>
  </si>
  <si>
    <t>A_OUTDOOR_PLANTFOOD</t>
  </si>
  <si>
    <t>Tunisie</t>
  </si>
  <si>
    <t>8XL</t>
  </si>
  <si>
    <t>A_OUTDOOR_PLANTS</t>
  </si>
  <si>
    <t>Palau</t>
  </si>
  <si>
    <t>9XL</t>
  </si>
  <si>
    <t>A_OUTDOOR_SEEDS</t>
  </si>
  <si>
    <t>Malaisie</t>
  </si>
  <si>
    <t>10XL</t>
  </si>
  <si>
    <t>Tadjikistan</t>
  </si>
  <si>
    <t>Prématuré</t>
  </si>
  <si>
    <t>La Guinée équatoriale</t>
  </si>
  <si>
    <t>0 mois</t>
  </si>
  <si>
    <t>Costa Rica</t>
  </si>
  <si>
    <t>3 mois</t>
  </si>
  <si>
    <t>Sénégal</t>
  </si>
  <si>
    <t>6 mois</t>
  </si>
  <si>
    <t>Réunion</t>
  </si>
  <si>
    <t>9 mois</t>
  </si>
  <si>
    <t>Laos</t>
  </si>
  <si>
    <t>12 mois</t>
  </si>
  <si>
    <t>Birmanie (Myanmar)</t>
  </si>
  <si>
    <t>18 mois</t>
  </si>
  <si>
    <t>Grenade</t>
  </si>
  <si>
    <t>24 mois</t>
  </si>
  <si>
    <t>République centrafricaine</t>
  </si>
  <si>
    <t>1 an</t>
  </si>
  <si>
    <t>La Barbade</t>
  </si>
  <si>
    <t>2 ans</t>
  </si>
  <si>
    <t>Iles Pitcairn</t>
  </si>
  <si>
    <t>3 ans</t>
  </si>
  <si>
    <t>Wallis et Futuna</t>
  </si>
  <si>
    <t>4 ans</t>
  </si>
  <si>
    <t>Cambodge</t>
  </si>
  <si>
    <t>5 ans</t>
  </si>
  <si>
    <t>Andorre</t>
  </si>
  <si>
    <t>6 ans</t>
  </si>
  <si>
    <t>7 ans</t>
  </si>
  <si>
    <t>Grèce</t>
  </si>
  <si>
    <t>8 ans</t>
  </si>
  <si>
    <t>Israël</t>
  </si>
  <si>
    <t>9 ans</t>
  </si>
  <si>
    <t>British Indian Ocean Territory</t>
  </si>
  <si>
    <t>10 ans</t>
  </si>
  <si>
    <t>Corée du Nord</t>
  </si>
  <si>
    <t>11 ans</t>
  </si>
  <si>
    <t>Egypte</t>
  </si>
  <si>
    <t>12 ans</t>
  </si>
  <si>
    <t>Comores</t>
  </si>
  <si>
    <t>13 ans</t>
  </si>
  <si>
    <t>Les îles Heard et McDonald</t>
  </si>
  <si>
    <t>14 ans</t>
  </si>
  <si>
    <t>Haïti</t>
  </si>
  <si>
    <t>15 ans</t>
  </si>
  <si>
    <t>Libéria</t>
  </si>
  <si>
    <t>16 ans</t>
  </si>
  <si>
    <t>L'Ouzbékistan</t>
  </si>
  <si>
    <t>17 ans</t>
  </si>
  <si>
    <t>Afghanistan</t>
  </si>
  <si>
    <t>18 ans</t>
  </si>
  <si>
    <t>Bermudes</t>
  </si>
  <si>
    <t>Tanzanie</t>
  </si>
  <si>
    <t>Jersey</t>
  </si>
  <si>
    <t>Pakistan</t>
  </si>
  <si>
    <t>L'Erythrée</t>
  </si>
  <si>
    <t>Taiwan</t>
  </si>
  <si>
    <t>Corée du Sud</t>
  </si>
  <si>
    <t>Guyane</t>
  </si>
  <si>
    <t>Iles Turques et Caïques</t>
  </si>
  <si>
    <t>Polynésie française</t>
  </si>
  <si>
    <t>Saint-Kitts-et-Nevis</t>
  </si>
  <si>
    <t>Îles Falkland</t>
  </si>
  <si>
    <t>Saint-Pierre-et-Miquelon</t>
  </si>
  <si>
    <t>Sainte-Lucie</t>
  </si>
  <si>
    <t>Jamaïque</t>
  </si>
  <si>
    <t>XE</t>
  </si>
  <si>
    <t>Burundi</t>
  </si>
  <si>
    <t>Honduras</t>
  </si>
  <si>
    <t>République du Congo</t>
  </si>
  <si>
    <t>Kirghizistan</t>
  </si>
  <si>
    <t>Bolivie</t>
  </si>
  <si>
    <t>Canada</t>
  </si>
  <si>
    <t>Ghana</t>
  </si>
  <si>
    <t>Iles Aland</t>
  </si>
  <si>
    <t>Irlande</t>
  </si>
  <si>
    <t>Monaco</t>
  </si>
  <si>
    <t>Vietnam</t>
  </si>
  <si>
    <t>Guatemala</t>
  </si>
  <si>
    <t>Islande</t>
  </si>
  <si>
    <t>Iles Cook</t>
  </si>
  <si>
    <t>Le Liechtenstein</t>
  </si>
  <si>
    <t>Cuba</t>
  </si>
  <si>
    <t>Saint-Vincent-et-les Grenadines</t>
  </si>
  <si>
    <t>Cocos (Keeling)</t>
  </si>
  <si>
    <t>Botswana</t>
  </si>
  <si>
    <t>Zambie</t>
  </si>
  <si>
    <t>Trinité-et-Tobago</t>
  </si>
  <si>
    <t>Îles Vierges américaines</t>
  </si>
  <si>
    <t>Roumanie</t>
  </si>
  <si>
    <t>Danemark</t>
  </si>
  <si>
    <t>Micronésie</t>
  </si>
  <si>
    <t>Ethiopie</t>
  </si>
  <si>
    <t>Irak</t>
  </si>
  <si>
    <t>Somalie</t>
  </si>
  <si>
    <t>Iles Marshall</t>
  </si>
  <si>
    <t>Mozambique</t>
  </si>
  <si>
    <t>Tchad</t>
  </si>
  <si>
    <t>Le Cap-Vert</t>
  </si>
  <si>
    <t>Nouvelle-Calédonie</t>
  </si>
  <si>
    <t>Suisse</t>
  </si>
  <si>
    <t>Kiribati</t>
  </si>
  <si>
    <t>Moldavie</t>
  </si>
  <si>
    <t>Bulgarie</t>
  </si>
  <si>
    <t>Bhoutan</t>
  </si>
  <si>
    <t>Montserrat</t>
  </si>
  <si>
    <t>Chypre</t>
  </si>
  <si>
    <t>Liban</t>
  </si>
  <si>
    <t>Bahamas</t>
  </si>
  <si>
    <t>L'île de Norfolk</t>
  </si>
  <si>
    <t>Fidji</t>
  </si>
  <si>
    <t>Brunei</t>
  </si>
  <si>
    <t>Iles Féroé</t>
  </si>
  <si>
    <t>Norvège</t>
  </si>
  <si>
    <t>XC</t>
  </si>
  <si>
    <t>Iles Salomon</t>
  </si>
  <si>
    <t>Aruba</t>
  </si>
  <si>
    <t>Soudan</t>
  </si>
  <si>
    <t>XN</t>
  </si>
  <si>
    <t>Albanie</t>
  </si>
  <si>
    <t>Sierra Leone</t>
  </si>
  <si>
    <t>Isle of Man</t>
  </si>
  <si>
    <t>Russie</t>
  </si>
  <si>
    <t>Îles Canaries</t>
  </si>
  <si>
    <t>Iles Caïmans</t>
  </si>
  <si>
    <t>Émirats arabes unis</t>
  </si>
  <si>
    <t>Iran</t>
  </si>
  <si>
    <t>Qatar</t>
  </si>
  <si>
    <t>Hong-Kong</t>
  </si>
  <si>
    <t>Christmas Island</t>
  </si>
  <si>
    <t>Bosnie-Herzégovine</t>
  </si>
  <si>
    <t>Le Turkménistan</t>
  </si>
  <si>
    <t>Colombie</t>
  </si>
  <si>
    <t>Algérie</t>
  </si>
  <si>
    <t>Turquie</t>
  </si>
  <si>
    <t>Mexique</t>
  </si>
  <si>
    <t>Gibraltar</t>
  </si>
  <si>
    <t>Territoire palestinien</t>
  </si>
  <si>
    <t>Bahreïn</t>
  </si>
  <si>
    <t>Yémen</t>
  </si>
  <si>
    <t>Maldives</t>
  </si>
  <si>
    <t>Tonga</t>
  </si>
  <si>
    <t>Sao Tomé et Principe</t>
  </si>
  <si>
    <t>Togo</t>
  </si>
  <si>
    <t>Arabie Saoudite</t>
  </si>
  <si>
    <t>Japon</t>
  </si>
  <si>
    <t>Nauru</t>
  </si>
  <si>
    <t>Espagne</t>
  </si>
  <si>
    <t>Bangladesh</t>
  </si>
  <si>
    <t>Bénin</t>
  </si>
  <si>
    <t>Jordanie</t>
  </si>
  <si>
    <t>Serbie-et-Monténégro</t>
  </si>
  <si>
    <t>République dominicaine</t>
  </si>
  <si>
    <t>Kazakhstan</t>
  </si>
  <si>
    <t>Zaïre</t>
  </si>
  <si>
    <t>Thaïlande</t>
  </si>
  <si>
    <t>Terres australes françaises</t>
  </si>
  <si>
    <t>Suriname</t>
  </si>
  <si>
    <t>Iles Vierges Britanniques</t>
  </si>
  <si>
    <t>Zimbabwe</t>
  </si>
  <si>
    <t>Gambie</t>
  </si>
  <si>
    <t>Géorgie</t>
  </si>
  <si>
    <t>Saint-Siège (Vatican)</t>
  </si>
  <si>
    <t>Belgique</t>
  </si>
  <si>
    <t>Mayotte</t>
  </si>
  <si>
    <t>Oman</t>
  </si>
  <si>
    <t>Sri Lanka</t>
  </si>
  <si>
    <t>Îles mineures éloignées des États-Unis</t>
  </si>
  <si>
    <t>Croatie</t>
  </si>
  <si>
    <t>XB</t>
  </si>
  <si>
    <t>Azerbaïdjan</t>
  </si>
  <si>
    <t>Libye</t>
  </si>
  <si>
    <t>Géorgie du Sud et Sandwich du S. ISL.</t>
  </si>
  <si>
    <t>Hongrie</t>
  </si>
  <si>
    <t>Papouasie-Nouvelle-Guinée</t>
  </si>
  <si>
    <t>Malawi</t>
  </si>
  <si>
    <t>Chili</t>
  </si>
  <si>
    <t>France</t>
  </si>
  <si>
    <t>Malte</t>
  </si>
  <si>
    <t>Groenland</t>
  </si>
  <si>
    <t>Nicaragua</t>
  </si>
  <si>
    <t>Niger</t>
  </si>
  <si>
    <t>Paraguay</t>
  </si>
  <si>
    <t>WZ</t>
  </si>
  <si>
    <t>Saint-Martin</t>
  </si>
  <si>
    <t>Philippines</t>
  </si>
  <si>
    <t>Autriche</t>
  </si>
  <si>
    <t>Australie</t>
  </si>
  <si>
    <t>Seychelles</t>
  </si>
  <si>
    <t>Rwanda</t>
  </si>
  <si>
    <t>Lettonie</t>
  </si>
  <si>
    <t>Timor-Leste</t>
  </si>
  <si>
    <t>La Slovénie</t>
  </si>
  <si>
    <t>Ukraine</t>
  </si>
  <si>
    <t>Syrie</t>
  </si>
  <si>
    <t>Tokélaou</t>
  </si>
  <si>
    <t>Luxembourg</t>
  </si>
  <si>
    <t>WD</t>
  </si>
  <si>
    <t>Madagascar</t>
  </si>
  <si>
    <t>Inde</t>
  </si>
  <si>
    <t>Guernesey</t>
  </si>
  <si>
    <t>Antigua et Barbuda</t>
  </si>
  <si>
    <t>Saint-Marin</t>
  </si>
  <si>
    <t>Afrique du Sud</t>
  </si>
  <si>
    <t>Nigeria</t>
  </si>
  <si>
    <t>Macau</t>
  </si>
  <si>
    <t>Portugal</t>
  </si>
  <si>
    <t>Grande-Bretagne</t>
  </si>
  <si>
    <t>Singapour</t>
  </si>
  <si>
    <t>Anguilla</t>
  </si>
  <si>
    <t>Pérou</t>
  </si>
  <si>
    <t>Guam</t>
  </si>
  <si>
    <t>République tchèque</t>
  </si>
  <si>
    <t>Estonie</t>
  </si>
  <si>
    <t>Dominique</t>
  </si>
  <si>
    <t>Mauritanie</t>
  </si>
  <si>
    <t>Ouganda</t>
  </si>
  <si>
    <t>XM</t>
  </si>
  <si>
    <t>Panama</t>
  </si>
  <si>
    <t>Belarus</t>
  </si>
  <si>
    <t>Argentine</t>
  </si>
  <si>
    <t>La Namibie</t>
  </si>
  <si>
    <t>Allemagne</t>
  </si>
  <si>
    <t>Swaziland</t>
  </si>
  <si>
    <t>shaft_style_type</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</si>
</sst>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_ \¥* #,##0.00_ ;_ \¥* \-#,##0.00_ ;_ \¥* &quot;-&quot;??_ ;_ @_ "/>
    <numFmt numFmtId="177" formatCode="_ \¥* #,##0_ ;_ \¥* \-#,##0_ ;_ \¥* &quot;-&quot;_ ;_ @_ "/>
    <numFmt numFmtId="178" formatCode="mmmm\ d\,\ yyyy\ \-\ h:mm:ss\ AM/PM;@"/>
    <numFmt numFmtId="179" formatCode="mmmm\ d\,\ yyyy\ h:mmAM/PM"/>
  </numFmts>
  <fonts count="56">
    <font>
      <sz val="11"/>
      <color indexed="8"/>
      <name val="DengXian"/>
      <charset val="134"/>
      <scheme val="minor"/>
    </font>
    <font>
      <sz val="11"/>
      <color indexed="8"/>
      <name val="Calibri"/>
      <charset val="134"/>
    </font>
    <font>
      <b/>
      <sz val="11"/>
      <color rgb="FF000000"/>
      <name val="Calibri"/>
      <charset val="134"/>
    </font>
    <font>
      <sz val="11"/>
      <color rgb="FF000000"/>
      <name val="Calibri"/>
      <charset val="134"/>
    </font>
    <font>
      <sz val="11"/>
      <color theme="0"/>
      <name val="Calibri"/>
      <charset val="134"/>
    </font>
    <font>
      <sz val="11"/>
      <color theme="1"/>
      <name val="DengXian"/>
      <charset val="134"/>
      <scheme val="minor"/>
    </font>
    <font>
      <sz val="11"/>
      <name val="DengXian"/>
      <charset val="134"/>
      <scheme val="minor"/>
    </font>
    <font>
      <sz val="10"/>
      <color theme="1"/>
      <name val="Arial"/>
      <charset val="134"/>
    </font>
    <font>
      <u/>
      <sz val="11"/>
      <color rgb="FF800080"/>
      <name val="DengXian"/>
      <charset val="0"/>
      <scheme val="minor"/>
    </font>
    <font>
      <u/>
      <sz val="11"/>
      <color rgb="FF0000FF"/>
      <name val="DengXian"/>
      <charset val="0"/>
      <scheme val="minor"/>
    </font>
    <font>
      <sz val="11"/>
      <color rgb="FFFF0000"/>
      <name val="DengXian"/>
      <charset val="134"/>
      <scheme val="minor"/>
    </font>
    <font>
      <sz val="10"/>
      <name val="Verdana"/>
      <charset val="134"/>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b/>
      <sz val="10"/>
      <name val="Verdana"/>
      <charset val="134"/>
    </font>
    <font>
      <sz val="10"/>
      <color indexed="30"/>
      <name val="Arial"/>
      <charset val="134"/>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b/>
      <i/>
      <sz val="9"/>
      <name val="Arial"/>
      <charset val="134"/>
    </font>
    <font>
      <sz val="8"/>
      <name val="Arial"/>
      <charset val="134"/>
    </font>
    <font>
      <b/>
      <sz val="9"/>
      <color indexed="24"/>
      <name val="Arial"/>
      <charset val="134"/>
    </font>
    <font>
      <b/>
      <u/>
      <sz val="12"/>
      <color indexed="10"/>
      <name val="Arial"/>
      <charset val="134"/>
    </font>
    <font>
      <b/>
      <sz val="8"/>
      <color indexed="37"/>
      <name val="Tahoma"/>
      <charset val="134"/>
    </font>
    <font>
      <b/>
      <i/>
      <sz val="8"/>
      <name val="Verdana"/>
      <charset val="134"/>
    </font>
    <font>
      <b/>
      <sz val="8"/>
      <name val="Tahoma"/>
      <charset val="134"/>
    </font>
    <font>
      <sz val="8"/>
      <name val="Verdana"/>
      <charset val="134"/>
    </font>
    <font>
      <b/>
      <sz val="8"/>
      <color indexed="10"/>
      <name val="Verdana"/>
      <charset val="134"/>
    </font>
    <font>
      <b/>
      <sz val="9"/>
      <name val="Arial"/>
      <charset val="134"/>
    </font>
    <font>
      <i/>
      <sz val="8"/>
      <color indexed="63"/>
      <name val="Verdana"/>
      <charset val="134"/>
    </font>
    <font>
      <sz val="10"/>
      <name val="宋体"/>
      <charset val="134"/>
    </font>
    <font>
      <i/>
      <sz val="8"/>
      <color indexed="39"/>
      <name val="Verdana"/>
      <charset val="134"/>
    </font>
    <font>
      <sz val="8"/>
      <color indexed="39"/>
      <name val="Verdana"/>
      <charset val="134"/>
    </font>
    <font>
      <i/>
      <sz val="8"/>
      <color indexed="24"/>
      <name val="Arial"/>
      <charset val="134"/>
    </font>
    <font>
      <i/>
      <sz val="8"/>
      <name val="Verdana"/>
      <charset val="134"/>
    </font>
    <font>
      <sz val="1"/>
      <name val="Verdana"/>
      <charset val="134"/>
    </font>
    <font>
      <b/>
      <sz val="8"/>
      <color indexed="63"/>
      <name val="Verdana"/>
      <charset val="134"/>
    </font>
    <font>
      <b/>
      <sz val="8"/>
      <name val="Verdana"/>
      <charset val="134"/>
    </font>
  </fonts>
  <fills count="4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theme="3"/>
        <bgColor indexed="64"/>
      </patternFill>
    </fill>
    <fill>
      <patternFill patternType="solid">
        <fgColor indexed="43"/>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xf numFmtId="43" fontId="5" fillId="0" borderId="0" applyFont="0" applyFill="0" applyBorder="0" applyAlignment="0" applyProtection="0">
      <alignment vertical="center"/>
    </xf>
    <xf numFmtId="44" fontId="5" fillId="0" borderId="0" applyFont="0" applyFill="0" applyBorder="0" applyAlignment="0" applyProtection="0">
      <alignment vertical="center"/>
    </xf>
    <xf numFmtId="9" fontId="5" fillId="0" borderId="0" applyFont="0" applyFill="0" applyBorder="0" applyAlignment="0" applyProtection="0">
      <alignment vertical="center"/>
    </xf>
    <xf numFmtId="41" fontId="5" fillId="0" borderId="0" applyFont="0" applyFill="0" applyBorder="0" applyAlignment="0" applyProtection="0">
      <alignment vertical="center"/>
    </xf>
    <xf numFmtId="42" fontId="5" fillId="0" borderId="0" applyFon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5" fillId="14" borderId="3"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4" applyNumberFormat="0" applyFill="0" applyAlignment="0" applyProtection="0">
      <alignment vertical="center"/>
    </xf>
    <xf numFmtId="0" fontId="24" fillId="0" borderId="4" applyNumberFormat="0" applyFill="0" applyAlignment="0" applyProtection="0">
      <alignment vertical="center"/>
    </xf>
    <xf numFmtId="0" fontId="25" fillId="0" borderId="5" applyNumberFormat="0" applyFill="0" applyAlignment="0" applyProtection="0">
      <alignment vertical="center"/>
    </xf>
    <xf numFmtId="0" fontId="25" fillId="0" borderId="0" applyNumberFormat="0" applyFill="0" applyBorder="0" applyAlignment="0" applyProtection="0">
      <alignment vertical="center"/>
    </xf>
    <xf numFmtId="0" fontId="26" fillId="15" borderId="6" applyNumberFormat="0" applyAlignment="0" applyProtection="0">
      <alignment vertical="center"/>
    </xf>
    <xf numFmtId="0" fontId="27" fillId="16" borderId="7" applyNumberFormat="0" applyAlignment="0" applyProtection="0">
      <alignment vertical="center"/>
    </xf>
    <xf numFmtId="0" fontId="28" fillId="16" borderId="6" applyNumberFormat="0" applyAlignment="0" applyProtection="0">
      <alignment vertical="center"/>
    </xf>
    <xf numFmtId="0" fontId="29" fillId="17" borderId="8" applyNumberFormat="0" applyAlignment="0" applyProtection="0">
      <alignment vertical="center"/>
    </xf>
    <xf numFmtId="0" fontId="30" fillId="0" borderId="9" applyNumberFormat="0" applyFill="0" applyAlignment="0" applyProtection="0">
      <alignment vertical="center"/>
    </xf>
    <xf numFmtId="0" fontId="31" fillId="0" borderId="10" applyNumberFormat="0" applyFill="0" applyAlignment="0" applyProtection="0">
      <alignment vertical="center"/>
    </xf>
    <xf numFmtId="0" fontId="32" fillId="18" borderId="0" applyNumberFormat="0" applyBorder="0" applyAlignment="0" applyProtection="0">
      <alignment vertical="center"/>
    </xf>
    <xf numFmtId="0" fontId="33" fillId="19"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15" fillId="0" borderId="0" applyNumberFormat="0" applyFill="0" applyBorder="0" applyAlignment="0" applyProtection="0"/>
    <xf numFmtId="176" fontId="13" fillId="0" borderId="0" applyFont="0" applyFill="0" applyBorder="0" applyAlignment="0" applyProtection="0"/>
    <xf numFmtId="0" fontId="5" fillId="0" borderId="0">
      <alignment vertical="center"/>
    </xf>
    <xf numFmtId="0" fontId="13" fillId="0" borderId="0"/>
    <xf numFmtId="0" fontId="5" fillId="0" borderId="0"/>
    <xf numFmtId="177" fontId="13" fillId="0" borderId="0" applyFont="0" applyFill="0" applyBorder="0" applyAlignment="0" applyProtection="0"/>
    <xf numFmtId="0" fontId="13" fillId="0" borderId="0"/>
    <xf numFmtId="0" fontId="5" fillId="0" borderId="0"/>
    <xf numFmtId="41" fontId="13" fillId="0" borderId="0" applyFont="0" applyFill="0" applyBorder="0" applyAlignment="0" applyProtection="0"/>
    <xf numFmtId="43" fontId="13" fillId="0" borderId="0" applyFont="0" applyFill="0" applyBorder="0" applyAlignment="0" applyProtection="0"/>
    <xf numFmtId="0" fontId="0" fillId="0" borderId="0"/>
    <xf numFmtId="0" fontId="13" fillId="0" borderId="0"/>
    <xf numFmtId="0" fontId="13" fillId="0" borderId="0"/>
    <xf numFmtId="0" fontId="11" fillId="0" borderId="0"/>
    <xf numFmtId="9" fontId="13" fillId="0" borderId="0" applyFont="0" applyFill="0" applyBorder="0" applyAlignment="0" applyProtection="0"/>
    <xf numFmtId="0" fontId="7" fillId="0" borderId="0"/>
  </cellStyleXfs>
  <cellXfs count="90">
    <xf numFmtId="0" fontId="0" fillId="0" borderId="0" xfId="0"/>
    <xf numFmtId="0" fontId="1" fillId="0" borderId="0" xfId="59" applyFont="1"/>
    <xf numFmtId="0" fontId="0" fillId="0" borderId="0" xfId="59" applyFont="1" applyFill="1" applyProtection="1">
      <protection locked="0"/>
    </xf>
    <xf numFmtId="0" fontId="0" fillId="2" borderId="0" xfId="59" applyFont="1" applyFill="1" applyProtection="1">
      <protection locked="0"/>
    </xf>
    <xf numFmtId="0" fontId="0" fillId="0" borderId="0" xfId="59" applyFont="1" applyProtection="1">
      <protection locked="0"/>
    </xf>
    <xf numFmtId="49" fontId="0" fillId="0" borderId="0" xfId="59" applyNumberFormat="1" applyFont="1" applyProtection="1">
      <protection locked="0"/>
    </xf>
    <xf numFmtId="0" fontId="0" fillId="3" borderId="0" xfId="59" applyFont="1" applyFill="1" applyProtection="1">
      <protection locked="0"/>
    </xf>
    <xf numFmtId="0" fontId="2" fillId="4" borderId="1" xfId="59" applyFont="1" applyFill="1" applyBorder="1" applyAlignment="1">
      <alignment horizontal="left" vertical="center"/>
    </xf>
    <xf numFmtId="49" fontId="2" fillId="4" borderId="1" xfId="59" applyNumberFormat="1" applyFont="1" applyFill="1" applyBorder="1" applyAlignment="1">
      <alignment horizontal="left" vertical="center"/>
    </xf>
    <xf numFmtId="0" fontId="2" fillId="3" borderId="1" xfId="59" applyFont="1" applyFill="1" applyBorder="1" applyAlignment="1">
      <alignment horizontal="left" vertical="center"/>
    </xf>
    <xf numFmtId="0" fontId="2" fillId="2" borderId="1" xfId="59" applyFont="1" applyFill="1" applyBorder="1" applyAlignment="1">
      <alignment horizontal="left" vertical="center"/>
    </xf>
    <xf numFmtId="0" fontId="2" fillId="5" borderId="1" xfId="59" applyFont="1" applyFill="1" applyBorder="1" applyAlignment="1">
      <alignment horizontal="left" vertical="center"/>
    </xf>
    <xf numFmtId="0" fontId="2" fillId="6" borderId="1" xfId="59" applyFont="1" applyFill="1" applyBorder="1" applyAlignment="1">
      <alignment horizontal="left" vertical="center"/>
    </xf>
    <xf numFmtId="0" fontId="2" fillId="7" borderId="1" xfId="59" applyFont="1" applyFill="1" applyBorder="1" applyAlignment="1">
      <alignment horizontal="left" vertical="center"/>
    </xf>
    <xf numFmtId="0" fontId="2" fillId="8" borderId="1" xfId="59" applyFont="1" applyFill="1" applyBorder="1" applyAlignment="1">
      <alignment horizontal="left" vertical="center"/>
    </xf>
    <xf numFmtId="0" fontId="2" fillId="9" borderId="1" xfId="59" applyFont="1" applyFill="1" applyBorder="1" applyAlignment="1">
      <alignment horizontal="left" vertical="center"/>
    </xf>
    <xf numFmtId="0" fontId="2" fillId="10" borderId="1" xfId="59" applyFont="1" applyFill="1" applyBorder="1" applyAlignment="1">
      <alignment horizontal="left" vertical="center"/>
    </xf>
    <xf numFmtId="0" fontId="2" fillId="11" borderId="1" xfId="59" applyFont="1" applyFill="1" applyBorder="1" applyAlignment="1">
      <alignment horizontal="left" vertical="center"/>
    </xf>
    <xf numFmtId="0" fontId="3" fillId="4" borderId="2" xfId="59" applyFont="1" applyFill="1" applyBorder="1" applyAlignment="1">
      <alignment horizontal="left" vertical="center"/>
    </xf>
    <xf numFmtId="49" fontId="3" fillId="4" borderId="2" xfId="59" applyNumberFormat="1" applyFont="1" applyFill="1" applyBorder="1" applyAlignment="1">
      <alignment horizontal="left" vertical="center"/>
    </xf>
    <xf numFmtId="0" fontId="4" fillId="12" borderId="2" xfId="59" applyFont="1" applyFill="1" applyBorder="1" applyAlignment="1">
      <alignment horizontal="left" vertical="center"/>
    </xf>
    <xf numFmtId="0" fontId="3" fillId="3" borderId="2" xfId="59" applyFont="1" applyFill="1" applyBorder="1" applyAlignment="1">
      <alignment horizontal="left" vertical="center"/>
    </xf>
    <xf numFmtId="0" fontId="3" fillId="2" borderId="2" xfId="59" applyFont="1" applyFill="1" applyBorder="1" applyAlignment="1">
      <alignment horizontal="left" vertical="center"/>
    </xf>
    <xf numFmtId="0" fontId="3" fillId="5" borderId="2" xfId="59" applyFont="1" applyFill="1" applyBorder="1" applyAlignment="1">
      <alignment horizontal="left" vertical="center"/>
    </xf>
    <xf numFmtId="0" fontId="3" fillId="6" borderId="2" xfId="59" applyFont="1" applyFill="1" applyBorder="1" applyAlignment="1">
      <alignment horizontal="left" vertical="center"/>
    </xf>
    <xf numFmtId="0" fontId="3" fillId="7" borderId="2" xfId="59" applyFont="1" applyFill="1" applyBorder="1" applyAlignment="1">
      <alignment horizontal="left" vertical="center"/>
    </xf>
    <xf numFmtId="0" fontId="3" fillId="8" borderId="2" xfId="59" applyFont="1" applyFill="1" applyBorder="1" applyAlignment="1">
      <alignment horizontal="left" vertical="center"/>
    </xf>
    <xf numFmtId="0" fontId="3" fillId="9" borderId="2" xfId="59" applyFont="1" applyFill="1" applyBorder="1" applyAlignment="1">
      <alignment horizontal="left" vertical="center"/>
    </xf>
    <xf numFmtId="0" fontId="3" fillId="10" borderId="2" xfId="59" applyFont="1" applyFill="1" applyBorder="1" applyAlignment="1">
      <alignment horizontal="left" vertical="center"/>
    </xf>
    <xf numFmtId="0" fontId="3" fillId="11" borderId="2" xfId="59" applyFont="1" applyFill="1" applyBorder="1" applyAlignment="1">
      <alignment horizontal="left" vertical="center"/>
    </xf>
    <xf numFmtId="0" fontId="5" fillId="0" borderId="0" xfId="0" applyFont="1" applyAlignment="1">
      <alignment vertical="center"/>
    </xf>
    <xf numFmtId="0" fontId="6" fillId="2" borderId="0" xfId="59" applyFont="1" applyFill="1" applyProtection="1">
      <protection locked="0"/>
    </xf>
    <xf numFmtId="0" fontId="7" fillId="0" borderId="0" xfId="0" applyFont="1" applyFill="1" applyAlignment="1"/>
    <xf numFmtId="0" fontId="5" fillId="0" borderId="0" xfId="0" applyFont="1"/>
    <xf numFmtId="0" fontId="5" fillId="3" borderId="0" xfId="0" applyFont="1" applyFill="1"/>
    <xf numFmtId="0" fontId="0" fillId="3" borderId="0" xfId="59" applyFont="1" applyFill="1" applyAlignment="1" applyProtection="1">
      <alignment horizontal="left"/>
      <protection locked="0"/>
    </xf>
    <xf numFmtId="0" fontId="8" fillId="0" borderId="0" xfId="6" applyNumberFormat="1" applyFont="1" applyFill="1" applyBorder="1" applyAlignment="1" applyProtection="1">
      <protection locked="0"/>
    </xf>
    <xf numFmtId="0" fontId="9" fillId="0" borderId="0" xfId="6" applyNumberFormat="1" applyFill="1" applyBorder="1" applyAlignment="1" applyProtection="1">
      <protection locked="0"/>
    </xf>
    <xf numFmtId="0" fontId="7" fillId="3" borderId="0" xfId="64" applyFill="1"/>
    <xf numFmtId="0" fontId="10" fillId="10" borderId="0" xfId="59" applyFont="1" applyFill="1" applyProtection="1">
      <protection locked="0"/>
    </xf>
    <xf numFmtId="14" fontId="0" fillId="2" borderId="0" xfId="59" applyNumberFormat="1" applyFont="1" applyFill="1" applyProtection="1">
      <protection locked="0"/>
    </xf>
    <xf numFmtId="49" fontId="0" fillId="0" borderId="0" xfId="59" applyNumberFormat="1" applyFont="1" applyFill="1" applyProtection="1">
      <protection locked="0"/>
    </xf>
    <xf numFmtId="0" fontId="5" fillId="0" borderId="0" xfId="0" applyFont="1" applyFill="1" applyAlignment="1">
      <alignment vertical="center"/>
    </xf>
    <xf numFmtId="0" fontId="5" fillId="0" borderId="0" xfId="0" applyFont="1" applyFill="1"/>
    <xf numFmtId="0" fontId="0" fillId="0" borderId="0" xfId="59" applyFont="1" applyFill="1" applyAlignment="1" applyProtection="1">
      <alignment horizontal="left"/>
      <protection locked="0"/>
    </xf>
    <xf numFmtId="0" fontId="7" fillId="0" borderId="0" xfId="64" applyFill="1"/>
    <xf numFmtId="0" fontId="6" fillId="0" borderId="0" xfId="59" applyFont="1" applyFill="1" applyProtection="1">
      <protection locked="0"/>
    </xf>
    <xf numFmtId="0" fontId="0" fillId="0" borderId="0" xfId="0" applyFill="1"/>
    <xf numFmtId="0" fontId="10" fillId="0" borderId="0" xfId="59" applyFont="1" applyFill="1" applyProtection="1">
      <protection locked="0"/>
    </xf>
    <xf numFmtId="14" fontId="0" fillId="0" borderId="0" xfId="59" applyNumberFormat="1" applyFont="1" applyFill="1" applyProtection="1">
      <protection locked="0"/>
    </xf>
    <xf numFmtId="49" fontId="0" fillId="2" borderId="0" xfId="59" applyNumberFormat="1" applyFont="1" applyFill="1" applyProtection="1">
      <protection locked="0"/>
    </xf>
    <xf numFmtId="0" fontId="5" fillId="2" borderId="0" xfId="0" applyFont="1" applyFill="1"/>
    <xf numFmtId="0" fontId="5" fillId="2" borderId="0" xfId="0" applyFont="1" applyFill="1" applyAlignment="1">
      <alignment vertical="center"/>
    </xf>
    <xf numFmtId="0" fontId="0" fillId="2" borderId="0" xfId="59" applyFont="1" applyFill="1" applyAlignment="1" applyProtection="1">
      <alignment horizontal="left"/>
      <protection locked="0"/>
    </xf>
    <xf numFmtId="0" fontId="8" fillId="2" borderId="0" xfId="6" applyNumberFormat="1" applyFont="1" applyFill="1" applyBorder="1" applyAlignment="1" applyProtection="1">
      <protection locked="0"/>
    </xf>
    <xf numFmtId="0" fontId="9" fillId="2" borderId="0" xfId="6" applyNumberFormat="1" applyFill="1" applyBorder="1" applyAlignment="1" applyProtection="1">
      <protection locked="0"/>
    </xf>
    <xf numFmtId="0" fontId="7" fillId="2" borderId="0" xfId="64" applyFill="1"/>
    <xf numFmtId="0" fontId="0" fillId="2" borderId="0" xfId="0" applyFill="1"/>
    <xf numFmtId="0" fontId="10" fillId="2" borderId="0" xfId="59" applyFont="1" applyFill="1" applyProtection="1">
      <protection locked="0"/>
    </xf>
    <xf numFmtId="49" fontId="0" fillId="0" borderId="0" xfId="59" applyNumberFormat="1" applyFont="1"/>
    <xf numFmtId="49" fontId="5" fillId="0" borderId="0" xfId="51" applyNumberFormat="1">
      <alignment vertical="center"/>
    </xf>
    <xf numFmtId="0" fontId="5" fillId="0" borderId="0" xfId="51">
      <alignment vertical="center"/>
    </xf>
    <xf numFmtId="0" fontId="0" fillId="0" borderId="0" xfId="59" applyFont="1"/>
    <xf numFmtId="0" fontId="0" fillId="0" borderId="0" xfId="59" applyFont="1" applyAlignment="1">
      <alignment horizontal="center"/>
    </xf>
    <xf numFmtId="0" fontId="0" fillId="0" borderId="0" xfId="59" applyFont="1" applyAlignment="1">
      <alignment horizontal="center" vertical="center"/>
    </xf>
    <xf numFmtId="0" fontId="6" fillId="0" borderId="0" xfId="59" applyFont="1"/>
    <xf numFmtId="49" fontId="6" fillId="0" borderId="0" xfId="59" applyNumberFormat="1" applyFont="1" applyAlignment="1">
      <alignment horizontal="center" vertical="center"/>
    </xf>
    <xf numFmtId="49" fontId="5" fillId="0" borderId="0" xfId="53" applyNumberFormat="1" applyAlignment="1">
      <alignment horizontal="center" vertical="center"/>
    </xf>
    <xf numFmtId="0" fontId="11" fillId="0" borderId="0" xfId="59" applyFont="1"/>
    <xf numFmtId="0" fontId="11" fillId="0" borderId="0" xfId="52" applyFont="1"/>
    <xf numFmtId="0" fontId="12" fillId="0" borderId="0" xfId="52" applyFont="1"/>
    <xf numFmtId="0" fontId="11" fillId="13" borderId="0" xfId="52" applyFont="1" applyFill="1" applyAlignment="1">
      <alignment horizontal="center"/>
    </xf>
    <xf numFmtId="0" fontId="11" fillId="0" borderId="0" xfId="52" applyFont="1" applyAlignment="1">
      <alignment horizontal="center"/>
    </xf>
    <xf numFmtId="0" fontId="11" fillId="13" borderId="0" xfId="60" applyFont="1" applyFill="1" applyAlignment="1">
      <alignment horizontal="center"/>
    </xf>
    <xf numFmtId="0" fontId="12" fillId="0" borderId="0" xfId="60" applyFont="1"/>
    <xf numFmtId="178" fontId="13" fillId="13" borderId="0" xfId="52" applyNumberFormat="1" applyFill="1"/>
    <xf numFmtId="0" fontId="13" fillId="0" borderId="0" xfId="52"/>
    <xf numFmtId="0" fontId="14" fillId="0" borderId="0" xfId="60" applyFont="1"/>
    <xf numFmtId="0" fontId="15" fillId="0" borderId="0" xfId="49" applyAlignment="1" applyProtection="1"/>
    <xf numFmtId="0" fontId="16" fillId="0" borderId="0" xfId="52" applyFont="1"/>
    <xf numFmtId="179" fontId="11" fillId="0" borderId="0" xfId="52" applyNumberFormat="1" applyFont="1" applyAlignment="1">
      <alignment horizontal="center"/>
    </xf>
    <xf numFmtId="0" fontId="17" fillId="0" borderId="0" xfId="59" applyFont="1" applyAlignment="1">
      <alignment horizontal="center" vertical="center"/>
    </xf>
    <xf numFmtId="49" fontId="11" fillId="0" borderId="0" xfId="52" applyNumberFormat="1" applyFont="1" applyAlignment="1">
      <alignment horizontal="center"/>
    </xf>
    <xf numFmtId="0" fontId="11" fillId="0" borderId="0" xfId="52" applyFont="1" applyAlignment="1">
      <alignment wrapText="1"/>
    </xf>
    <xf numFmtId="49" fontId="13" fillId="0" borderId="0" xfId="52" applyNumberFormat="1"/>
    <xf numFmtId="49" fontId="18" fillId="0" borderId="0" xfId="52" applyNumberFormat="1" applyFont="1"/>
    <xf numFmtId="49" fontId="11" fillId="0" borderId="0" xfId="52" applyNumberFormat="1" applyFont="1"/>
    <xf numFmtId="49" fontId="19" fillId="0" borderId="0" xfId="52" applyNumberFormat="1" applyFont="1"/>
    <xf numFmtId="0" fontId="11" fillId="0" borderId="0" xfId="62"/>
    <xf numFmtId="0" fontId="11" fillId="0" borderId="0" xfId="59" applyFont="1" applyAlignment="1">
      <alignment horizontal="left"/>
    </xf>
    <xf numFmtId="0" fontId="0" fillId="0" borderId="0" xfId="59" applyFont="1" quotePrefix="1"/>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Hyperlink" xfId="49"/>
    <cellStyle name="Currency" xfId="50"/>
    <cellStyle name="Normal 6" xfId="51"/>
    <cellStyle name="Normal 2 2" xfId="52"/>
    <cellStyle name="Normal 2 3 10" xfId="53"/>
    <cellStyle name="Currency [0]" xfId="54"/>
    <cellStyle name="Normal 2" xfId="55"/>
    <cellStyle name="Normal 3" xfId="56"/>
    <cellStyle name="Comma [0]" xfId="57"/>
    <cellStyle name="Comma" xfId="58"/>
    <cellStyle name="Normal" xfId="59"/>
    <cellStyle name="Normal 10 2" xfId="60"/>
    <cellStyle name="Normal 2 3" xfId="61"/>
    <cellStyle name="Normal 7" xfId="62"/>
    <cellStyle name="Percent" xfId="63"/>
    <cellStyle name="常规 2" xfId="64"/>
  </cellStyles>
  <dxfs count="7">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B8B8B8"/>
        </left>
        <right style="thin">
          <color rgb="FFB8B8B8"/>
        </right>
        <top style="thin">
          <color rgb="FFB8B8B8"/>
        </top>
        <bottom style="thin">
          <color rgb="FFB8B8B8"/>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bgColor rgb="FF808080"/>
        </patternFill>
      </fill>
      <border>
        <left/>
        <right/>
        <top/>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808080"/>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theme" Target="theme/theme1.xml"/><Relationship Id="rId17" Type="http://schemas.openxmlformats.org/officeDocument/2006/relationships/externalLink" Target="externalLinks/externalLink2.xml"/><Relationship Id="rId16" Type="http://schemas.openxmlformats.org/officeDocument/2006/relationships/externalLink" Target="externalLinks/externalLink1.xml"/><Relationship Id="rId15" Type="http://schemas.openxmlformats.org/officeDocument/2006/relationships/customXml" Target="../customXml/item5.xml"/><Relationship Id="rId14" Type="http://schemas.openxmlformats.org/officeDocument/2006/relationships/customXml" Target="../customXml/item4.xml"/><Relationship Id="rId13" Type="http://schemas.openxmlformats.org/officeDocument/2006/relationships/customXml" Target="../customXml/item3.xml"/><Relationship Id="rId12" Type="http://schemas.openxmlformats.org/officeDocument/2006/relationships/customXml" Target="../customXml/item2.xml"/><Relationship Id="rId11" Type="http://schemas.openxmlformats.org/officeDocument/2006/relationships/customXml" Target="../customXml/item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023860" y="223520"/>
          <a:ext cx="137160" cy="177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93040"/>
          <a:ext cx="10226675" cy="164909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elodylu/Downloads//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elodylu/Downloads///192.168.0.220/Amazon&#37096;/3.BU5/&#21508;&#31449;&#28857;&#39068;&#33394;&#19982;&#19978;&#26032;&#34920;&#26684;&#30041;&#23384;/FR/FR%20Color&#21644;Size&#35268;&#33539;&#34920;.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efreshError="1">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efreshError="1"/>
      <sheetData sheetId="15"/>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s>
    <sheetDataSet>
      <sheetData sheetId="0">
        <row r="1">
          <cell r="A1" t="str">
            <v>颜色</v>
          </cell>
          <cell r="B1" t="str">
            <v>Color name</v>
          </cell>
        </row>
        <row r="1">
          <cell r="F1" t="str">
            <v>尺码数字</v>
          </cell>
          <cell r="G1" t="str">
            <v>FR Size name</v>
          </cell>
          <cell r="H1" t="str">
            <v>FR Size map</v>
          </cell>
        </row>
        <row r="2">
          <cell r="A2" t="str">
            <v>BD</v>
          </cell>
          <cell r="B2" t="str">
            <v>Bordeaux</v>
          </cell>
        </row>
        <row r="2">
          <cell r="F2" t="str">
            <v>04</v>
          </cell>
          <cell r="G2">
            <v>36</v>
          </cell>
          <cell r="H2">
            <v>36</v>
          </cell>
        </row>
        <row r="3">
          <cell r="A3" t="str">
            <v>OD</v>
          </cell>
          <cell r="B3" t="str">
            <v>Orchidée</v>
          </cell>
        </row>
        <row r="3">
          <cell r="F3" t="str">
            <v>06</v>
          </cell>
          <cell r="G3">
            <v>38</v>
          </cell>
          <cell r="H3">
            <v>38</v>
          </cell>
        </row>
        <row r="4">
          <cell r="A4" t="str">
            <v>TE</v>
          </cell>
          <cell r="B4" t="str">
            <v>Bleu sarcelle</v>
          </cell>
        </row>
        <row r="4">
          <cell r="F4" t="str">
            <v>08</v>
          </cell>
          <cell r="G4">
            <v>40</v>
          </cell>
          <cell r="H4">
            <v>40</v>
          </cell>
        </row>
        <row r="5">
          <cell r="A5" t="str">
            <v>DB</v>
          </cell>
          <cell r="B5" t="str">
            <v>Bleu fumé</v>
          </cell>
        </row>
        <row r="5">
          <cell r="F5" t="str">
            <v>10</v>
          </cell>
          <cell r="G5">
            <v>42</v>
          </cell>
          <cell r="H5">
            <v>42</v>
          </cell>
        </row>
        <row r="6">
          <cell r="A6" t="str">
            <v>GB</v>
          </cell>
          <cell r="B6" t="str">
            <v>Vert mousse</v>
          </cell>
        </row>
        <row r="6">
          <cell r="F6" t="str">
            <v>12</v>
          </cell>
          <cell r="G6">
            <v>44</v>
          </cell>
          <cell r="H6">
            <v>44</v>
          </cell>
        </row>
        <row r="7">
          <cell r="A7" t="str">
            <v>BK</v>
          </cell>
          <cell r="B7" t="str">
            <v>Noir</v>
          </cell>
        </row>
        <row r="7">
          <cell r="F7" t="str">
            <v>14</v>
          </cell>
          <cell r="G7">
            <v>46</v>
          </cell>
          <cell r="H7">
            <v>46</v>
          </cell>
        </row>
        <row r="8">
          <cell r="A8" t="str">
            <v>PK</v>
          </cell>
          <cell r="B8" t="str">
            <v>Rose Clair</v>
          </cell>
        </row>
        <row r="8">
          <cell r="F8" t="str">
            <v>16</v>
          </cell>
          <cell r="G8">
            <v>48</v>
          </cell>
          <cell r="H8">
            <v>48</v>
          </cell>
        </row>
        <row r="9">
          <cell r="A9" t="str">
            <v>BH</v>
          </cell>
          <cell r="B9" t="str">
            <v>Nude</v>
          </cell>
        </row>
        <row r="9">
          <cell r="F9" t="str">
            <v>18</v>
          </cell>
          <cell r="G9">
            <v>50</v>
          </cell>
          <cell r="H9">
            <v>50</v>
          </cell>
        </row>
        <row r="10">
          <cell r="A10" t="str">
            <v>CO</v>
          </cell>
          <cell r="B10" t="str">
            <v>Corail</v>
          </cell>
        </row>
        <row r="10">
          <cell r="F10" t="str">
            <v>20</v>
          </cell>
          <cell r="G10">
            <v>52</v>
          </cell>
          <cell r="H10">
            <v>52</v>
          </cell>
        </row>
        <row r="11">
          <cell r="A11" t="str">
            <v>DP</v>
          </cell>
          <cell r="B11" t="str">
            <v>Violet Foncé</v>
          </cell>
        </row>
        <row r="11">
          <cell r="F11" t="str">
            <v>22</v>
          </cell>
          <cell r="G11">
            <v>54</v>
          </cell>
          <cell r="H11">
            <v>54</v>
          </cell>
        </row>
        <row r="12">
          <cell r="A12" t="str">
            <v>DG</v>
          </cell>
          <cell r="B12" t="str">
            <v>Vert Foncé</v>
          </cell>
        </row>
        <row r="12">
          <cell r="F12" t="str">
            <v>24</v>
          </cell>
          <cell r="G12">
            <v>56</v>
          </cell>
          <cell r="H12">
            <v>56</v>
          </cell>
        </row>
        <row r="13">
          <cell r="A13" t="str">
            <v>NB</v>
          </cell>
          <cell r="B13" t="str">
            <v>Bleu marine</v>
          </cell>
        </row>
        <row r="13">
          <cell r="F13" t="str">
            <v>26</v>
          </cell>
          <cell r="G13">
            <v>58</v>
          </cell>
          <cell r="H13">
            <v>58</v>
          </cell>
        </row>
        <row r="14">
          <cell r="A14" t="str">
            <v>SB</v>
          </cell>
          <cell r="B14" t="str">
            <v>Bleu saphir</v>
          </cell>
        </row>
        <row r="14">
          <cell r="F14" t="str">
            <v>尺码字母</v>
          </cell>
          <cell r="G14" t="str">
            <v>FR Size name</v>
          </cell>
          <cell r="H14" t="str">
            <v>FR Size map</v>
          </cell>
        </row>
        <row r="15">
          <cell r="A15" t="str">
            <v>RD</v>
          </cell>
          <cell r="B15" t="str">
            <v>Rouge</v>
          </cell>
        </row>
        <row r="15">
          <cell r="F15" t="str">
            <v>0S</v>
          </cell>
          <cell r="G15" t="str">
            <v>S</v>
          </cell>
          <cell r="H15" t="str">
            <v>small</v>
          </cell>
        </row>
        <row r="16">
          <cell r="A16" t="str">
            <v>WH</v>
          </cell>
          <cell r="B16" t="str">
            <v>Blanc</v>
          </cell>
        </row>
        <row r="16">
          <cell r="F16" t="str">
            <v>0M</v>
          </cell>
          <cell r="G16" t="str">
            <v>M</v>
          </cell>
          <cell r="H16" t="str">
            <v>medium</v>
          </cell>
        </row>
        <row r="17">
          <cell r="A17" t="str">
            <v>GY</v>
          </cell>
          <cell r="B17" t="str">
            <v>Gris</v>
          </cell>
        </row>
        <row r="17">
          <cell r="F17" t="str">
            <v>0L</v>
          </cell>
          <cell r="G17" t="str">
            <v>L</v>
          </cell>
          <cell r="H17" t="str">
            <v>large</v>
          </cell>
        </row>
        <row r="18">
          <cell r="A18" t="str">
            <v>BL</v>
          </cell>
          <cell r="B18" t="str">
            <v>Bleu</v>
          </cell>
        </row>
        <row r="18">
          <cell r="F18" t="str">
            <v>1L</v>
          </cell>
          <cell r="G18" t="str">
            <v>XL</v>
          </cell>
          <cell r="H18" t="str">
            <v>x-large</v>
          </cell>
        </row>
        <row r="19">
          <cell r="A19" t="str">
            <v>LV</v>
          </cell>
          <cell r="B19" t="str">
            <v>Lavande</v>
          </cell>
        </row>
        <row r="19">
          <cell r="F19" t="str">
            <v>2L</v>
          </cell>
          <cell r="G19" t="str">
            <v>XXL</v>
          </cell>
          <cell r="H19" t="str">
            <v>xx-large</v>
          </cell>
        </row>
        <row r="20">
          <cell r="A20" t="str">
            <v>MG</v>
          </cell>
          <cell r="B20" t="str">
            <v>Vert Menthe</v>
          </cell>
        </row>
        <row r="20">
          <cell r="F20" t="str">
            <v>3L</v>
          </cell>
          <cell r="G20" t="str">
            <v>3XL</v>
          </cell>
          <cell r="H20" t="str">
            <v>xxx-large</v>
          </cell>
        </row>
        <row r="21">
          <cell r="A21" t="str">
            <v>GR</v>
          </cell>
          <cell r="B21" t="str">
            <v>Vert</v>
          </cell>
        </row>
        <row r="21">
          <cell r="F21" t="str">
            <v>4L</v>
          </cell>
          <cell r="G21" t="str">
            <v>4XL</v>
          </cell>
          <cell r="H21" t="str">
            <v>xxxx-large</v>
          </cell>
        </row>
        <row r="22">
          <cell r="A22" t="str">
            <v>TQ</v>
          </cell>
          <cell r="B22" t="str">
            <v>Turquoise
</v>
          </cell>
        </row>
        <row r="23">
          <cell r="A23" t="str">
            <v>PW</v>
          </cell>
          <cell r="B23" t="str">
            <v>Iris</v>
          </cell>
        </row>
        <row r="24">
          <cell r="A24" t="str">
            <v>AQ</v>
          </cell>
          <cell r="B24" t="str">
            <v>Aqua</v>
          </cell>
        </row>
        <row r="25">
          <cell r="A25" t="str">
            <v>PP</v>
          </cell>
          <cell r="B25" t="str">
            <v>Violet</v>
          </cell>
        </row>
        <row r="26">
          <cell r="A26" t="str">
            <v>YL</v>
          </cell>
          <cell r="B26" t="str">
            <v>Jaune</v>
          </cell>
        </row>
        <row r="27">
          <cell r="A27" t="str">
            <v>HP</v>
          </cell>
          <cell r="B27" t="str">
            <v>Rose fuschia</v>
          </cell>
        </row>
        <row r="28">
          <cell r="A28" t="str">
            <v>MV</v>
          </cell>
          <cell r="B28" t="str">
            <v>Mauve</v>
          </cell>
        </row>
        <row r="29">
          <cell r="A29" t="str">
            <v>DE</v>
          </cell>
          <cell r="B29" t="str">
            <v>Bleu Jean</v>
          </cell>
        </row>
        <row r="30">
          <cell r="A30" t="str">
            <v>DN</v>
          </cell>
          <cell r="B30" t="str">
            <v>Bleu Denim</v>
          </cell>
        </row>
        <row r="31">
          <cell r="A31" t="str">
            <v>BO</v>
          </cell>
          <cell r="B31" t="str">
            <v>Orange Brûlée</v>
          </cell>
        </row>
        <row r="32">
          <cell r="A32" t="str">
            <v>BY</v>
          </cell>
          <cell r="B32" t="str">
            <v>Jaune brûlé</v>
          </cell>
        </row>
        <row r="33">
          <cell r="A33" t="str">
            <v>IB</v>
          </cell>
          <cell r="B33" t="str">
            <v>Glace bleue</v>
          </cell>
        </row>
        <row r="34">
          <cell r="A34" t="str">
            <v>LP</v>
          </cell>
          <cell r="B34" t="str">
            <v>Rose millénaire</v>
          </cell>
        </row>
        <row r="35">
          <cell r="A35" t="str">
            <v>KD</v>
          </cell>
          <cell r="B35" t="str">
            <v>Rouge Brique</v>
          </cell>
        </row>
        <row r="36">
          <cell r="A36" t="str">
            <v>BP</v>
          </cell>
          <cell r="B36" t="str">
            <v>Noir et imprimé</v>
          </cell>
        </row>
        <row r="37">
          <cell r="A37" t="str">
            <v>CB</v>
          </cell>
          <cell r="B37" t="str">
            <v>est venu brun</v>
          </cell>
        </row>
        <row r="38">
          <cell r="A38" t="str">
            <v>SV</v>
          </cell>
          <cell r="B38" t="str">
            <v>Argent</v>
          </cell>
        </row>
        <row r="39">
          <cell r="A39" t="str">
            <v>KG</v>
          </cell>
          <cell r="B39" t="str">
            <v>Or noir</v>
          </cell>
        </row>
        <row r="40">
          <cell r="A40" t="str">
            <v>RG</v>
          </cell>
          <cell r="B40" t="str">
            <v>Or rose</v>
          </cell>
        </row>
        <row r="41">
          <cell r="A41" t="str">
            <v>RD</v>
          </cell>
          <cell r="B41" t="str">
            <v>Rouge</v>
          </cell>
        </row>
        <row r="42">
          <cell r="A42" t="str">
            <v>LL</v>
          </cell>
          <cell r="B42" t="str">
            <v>Lilas</v>
          </cell>
        </row>
        <row r="43">
          <cell r="A43" t="str">
            <v>CH</v>
          </cell>
          <cell r="B43" t="str">
            <v>Champagne</v>
          </cell>
        </row>
        <row r="44">
          <cell r="A44" t="str">
            <v>SG</v>
          </cell>
          <cell r="B44" t="str">
            <v>Vert sauge</v>
          </cell>
        </row>
        <row r="45">
          <cell r="A45" t="str">
            <v>MR</v>
          </cell>
          <cell r="B45" t="str">
            <v>Champignon</v>
          </cell>
        </row>
        <row r="46">
          <cell r="A46" t="str">
            <v>IV</v>
          </cell>
          <cell r="B46" t="str">
            <v>Ivoire</v>
          </cell>
        </row>
        <row r="47">
          <cell r="A47" t="str">
            <v>MS</v>
          </cell>
          <cell r="B47" t="str">
            <v>Brume</v>
          </cell>
        </row>
        <row r="48">
          <cell r="A48" t="str">
            <v>CP</v>
          </cell>
          <cell r="B48" t="str">
            <v>Imprimé crème</v>
          </cell>
        </row>
        <row r="49">
          <cell r="A49" t="str">
            <v>DR</v>
          </cell>
          <cell r="B49" t="str">
            <v>Rose poussiéreuse</v>
          </cell>
        </row>
        <row r="50">
          <cell r="A50" t="str">
            <v>DE</v>
          </cell>
          <cell r="B50" t="str">
            <v>Bleu brume</v>
          </cell>
        </row>
        <row r="51">
          <cell r="A51" t="str">
            <v>BG</v>
          </cell>
          <cell r="B51" t="str">
            <v>Beige</v>
          </cell>
        </row>
        <row r="52">
          <cell r="A52" t="str">
            <v>BR</v>
          </cell>
          <cell r="B52" t="str">
            <v>Marron</v>
          </cell>
        </row>
        <row r="53">
          <cell r="A53" t="str">
            <v>CF</v>
          </cell>
          <cell r="B53" t="str">
            <v>Café</v>
          </cell>
        </row>
        <row r="54">
          <cell r="A54" t="str">
            <v>TQ</v>
          </cell>
          <cell r="B54" t="str">
            <v>Turquoise</v>
          </cell>
        </row>
        <row r="55">
          <cell r="A55" t="str">
            <v>RB</v>
          </cell>
          <cell r="B55" t="str">
            <v>Bleu Foncé</v>
          </cell>
        </row>
        <row r="56">
          <cell r="A56" t="str">
            <v>MU</v>
          </cell>
          <cell r="B56" t="str">
            <v>Mûre</v>
          </cell>
        </row>
        <row r="57">
          <cell r="A57" t="str">
            <v>VE</v>
          </cell>
          <cell r="B57" t="str">
            <v>Vermillon</v>
          </cell>
        </row>
        <row r="58">
          <cell r="A58" t="str">
            <v>AG</v>
          </cell>
          <cell r="B58" t="str">
            <v>Pomme verte</v>
          </cell>
        </row>
        <row r="59">
          <cell r="A59" t="str">
            <v>HP</v>
          </cell>
          <cell r="B59" t="str">
            <v>Rose Chaud</v>
          </cell>
        </row>
        <row r="60">
          <cell r="A60" t="str">
            <v>GD</v>
          </cell>
          <cell r="B60" t="str">
            <v>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7" Type="http://schemas.openxmlformats.org/officeDocument/2006/relationships/hyperlink" Target="https://eppic.s3.amazonaws.com/ES01749-S.jpg" TargetMode="External"/><Relationship Id="rId6" Type="http://schemas.openxmlformats.org/officeDocument/2006/relationships/hyperlink" Target="https://eppic.s3.amazonaws.com/ES01749BK-L.jpg" TargetMode="External"/><Relationship Id="rId5" Type="http://schemas.openxmlformats.org/officeDocument/2006/relationships/hyperlink" Target="https://eppic.s3.amazonaws.com/ES01749BK-L5.jpg" TargetMode="External"/><Relationship Id="rId4" Type="http://schemas.openxmlformats.org/officeDocument/2006/relationships/hyperlink" Target="https://eppic.s3.amazonaws.com/ES01749BK-L4.jpg" TargetMode="External"/><Relationship Id="rId3" Type="http://schemas.openxmlformats.org/officeDocument/2006/relationships/hyperlink" Target="https://eppic.s3.amazonaws.com/ES01749BK-L3.jpg" TargetMode="External"/><Relationship Id="rId2" Type="http://schemas.openxmlformats.org/officeDocument/2006/relationships/hyperlink" Target="https://eppic.s3.amazonaws.com/ES01749BK-L2.jpg" TargetMode="External"/><Relationship Id="rId1" Type="http://schemas.openxmlformats.org/officeDocument/2006/relationships/hyperlink" Target="https://eppic.s3.amazonaws.com/ES01749BK-L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0714285714286" defaultRowHeight="15.2"/>
  <cols>
    <col min="1" max="1" width="9.10714285714286" style="76" customWidth="1"/>
    <col min="2" max="16384" width="9.10714285714286" style="76"/>
  </cols>
  <sheetData/>
  <sheetProtection formatCells="0" insertHyperlinks="0" autoFilter="0"/>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0714285714286" defaultRowHeight="15.2" outlineLevelCol="1"/>
  <cols>
    <col min="1" max="1" width="17.8928571428571" style="84" customWidth="1"/>
    <col min="2" max="2" width="33.2232142857143" style="84" customWidth="1"/>
    <col min="3" max="256" width="9.10714285714286" style="84" customWidth="1"/>
    <col min="257" max="257" width="17.8928571428571" style="84" customWidth="1"/>
    <col min="258" max="258" width="33.2232142857143" style="84" customWidth="1"/>
    <col min="259" max="512" width="9.10714285714286" style="84" customWidth="1"/>
    <col min="513" max="513" width="17.8928571428571" style="84" customWidth="1"/>
    <col min="514" max="514" width="33.2232142857143" style="84" customWidth="1"/>
    <col min="515" max="768" width="9.10714285714286" style="84" customWidth="1"/>
    <col min="769" max="769" width="17.8928571428571" style="84" customWidth="1"/>
    <col min="770" max="770" width="33.2232142857143" style="84" customWidth="1"/>
    <col min="771" max="1024" width="9.10714285714286" style="84" customWidth="1"/>
    <col min="1025" max="1025" width="17.8928571428571" style="84" customWidth="1"/>
    <col min="1026" max="1026" width="33.2232142857143" style="84" customWidth="1"/>
    <col min="1027" max="1280" width="9.10714285714286" style="84" customWidth="1"/>
    <col min="1281" max="1281" width="17.8928571428571" style="84" customWidth="1"/>
    <col min="1282" max="1282" width="33.2232142857143" style="84" customWidth="1"/>
    <col min="1283" max="1536" width="9.10714285714286" style="84" customWidth="1"/>
    <col min="1537" max="1537" width="17.8928571428571" style="84" customWidth="1"/>
    <col min="1538" max="1538" width="33.2232142857143" style="84" customWidth="1"/>
    <col min="1539" max="1792" width="9.10714285714286" style="84" customWidth="1"/>
    <col min="1793" max="1793" width="17.8928571428571" style="84" customWidth="1"/>
    <col min="1794" max="1794" width="33.2232142857143" style="84" customWidth="1"/>
    <col min="1795" max="2048" width="9.10714285714286" style="84" customWidth="1"/>
    <col min="2049" max="2049" width="17.8928571428571" style="84" customWidth="1"/>
    <col min="2050" max="2050" width="33.2232142857143" style="84" customWidth="1"/>
    <col min="2051" max="2304" width="9.10714285714286" style="84" customWidth="1"/>
    <col min="2305" max="2305" width="17.8928571428571" style="84" customWidth="1"/>
    <col min="2306" max="2306" width="33.2232142857143" style="84" customWidth="1"/>
    <col min="2307" max="2560" width="9.10714285714286" style="84" customWidth="1"/>
    <col min="2561" max="2561" width="17.8928571428571" style="84" customWidth="1"/>
    <col min="2562" max="2562" width="33.2232142857143" style="84" customWidth="1"/>
    <col min="2563" max="2816" width="9.10714285714286" style="84" customWidth="1"/>
    <col min="2817" max="2817" width="17.8928571428571" style="84" customWidth="1"/>
    <col min="2818" max="2818" width="33.2232142857143" style="84" customWidth="1"/>
    <col min="2819" max="3072" width="9.10714285714286" style="84" customWidth="1"/>
    <col min="3073" max="3073" width="17.8928571428571" style="84" customWidth="1"/>
    <col min="3074" max="3074" width="33.2232142857143" style="84" customWidth="1"/>
    <col min="3075" max="3328" width="9.10714285714286" style="84" customWidth="1"/>
    <col min="3329" max="3329" width="17.8928571428571" style="84" customWidth="1"/>
    <col min="3330" max="3330" width="33.2232142857143" style="84" customWidth="1"/>
    <col min="3331" max="3584" width="9.10714285714286" style="84" customWidth="1"/>
    <col min="3585" max="3585" width="17.8928571428571" style="84" customWidth="1"/>
    <col min="3586" max="3586" width="33.2232142857143" style="84" customWidth="1"/>
    <col min="3587" max="3840" width="9.10714285714286" style="84" customWidth="1"/>
    <col min="3841" max="3841" width="17.8928571428571" style="84" customWidth="1"/>
    <col min="3842" max="3842" width="33.2232142857143" style="84" customWidth="1"/>
    <col min="3843" max="4096" width="9.10714285714286" style="84" customWidth="1"/>
    <col min="4097" max="4097" width="17.8928571428571" style="84" customWidth="1"/>
    <col min="4098" max="4098" width="33.2232142857143" style="84" customWidth="1"/>
    <col min="4099" max="4352" width="9.10714285714286" style="84" customWidth="1"/>
    <col min="4353" max="4353" width="17.8928571428571" style="84" customWidth="1"/>
    <col min="4354" max="4354" width="33.2232142857143" style="84" customWidth="1"/>
    <col min="4355" max="4608" width="9.10714285714286" style="84" customWidth="1"/>
    <col min="4609" max="4609" width="17.8928571428571" style="84" customWidth="1"/>
    <col min="4610" max="4610" width="33.2232142857143" style="84" customWidth="1"/>
    <col min="4611" max="4864" width="9.10714285714286" style="84" customWidth="1"/>
    <col min="4865" max="4865" width="17.8928571428571" style="84" customWidth="1"/>
    <col min="4866" max="4866" width="33.2232142857143" style="84" customWidth="1"/>
    <col min="4867" max="5120" width="9.10714285714286" style="84" customWidth="1"/>
    <col min="5121" max="5121" width="17.8928571428571" style="84" customWidth="1"/>
    <col min="5122" max="5122" width="33.2232142857143" style="84" customWidth="1"/>
    <col min="5123" max="5376" width="9.10714285714286" style="84" customWidth="1"/>
    <col min="5377" max="5377" width="17.8928571428571" style="84" customWidth="1"/>
    <col min="5378" max="5378" width="33.2232142857143" style="84" customWidth="1"/>
    <col min="5379" max="5632" width="9.10714285714286" style="84" customWidth="1"/>
    <col min="5633" max="5633" width="17.8928571428571" style="84" customWidth="1"/>
    <col min="5634" max="5634" width="33.2232142857143" style="84" customWidth="1"/>
    <col min="5635" max="5888" width="9.10714285714286" style="84" customWidth="1"/>
    <col min="5889" max="5889" width="17.8928571428571" style="84" customWidth="1"/>
    <col min="5890" max="5890" width="33.2232142857143" style="84" customWidth="1"/>
    <col min="5891" max="6144" width="9.10714285714286" style="84" customWidth="1"/>
    <col min="6145" max="6145" width="17.8928571428571" style="84" customWidth="1"/>
    <col min="6146" max="6146" width="33.2232142857143" style="84" customWidth="1"/>
    <col min="6147" max="6400" width="9.10714285714286" style="84" customWidth="1"/>
    <col min="6401" max="6401" width="17.8928571428571" style="84" customWidth="1"/>
    <col min="6402" max="6402" width="33.2232142857143" style="84" customWidth="1"/>
    <col min="6403" max="6656" width="9.10714285714286" style="84" customWidth="1"/>
    <col min="6657" max="6657" width="17.8928571428571" style="84" customWidth="1"/>
    <col min="6658" max="6658" width="33.2232142857143" style="84" customWidth="1"/>
    <col min="6659" max="6912" width="9.10714285714286" style="84" customWidth="1"/>
    <col min="6913" max="6913" width="17.8928571428571" style="84" customWidth="1"/>
    <col min="6914" max="6914" width="33.2232142857143" style="84" customWidth="1"/>
    <col min="6915" max="7168" width="9.10714285714286" style="84" customWidth="1"/>
    <col min="7169" max="7169" width="17.8928571428571" style="84" customWidth="1"/>
    <col min="7170" max="7170" width="33.2232142857143" style="84" customWidth="1"/>
    <col min="7171" max="7424" width="9.10714285714286" style="84" customWidth="1"/>
    <col min="7425" max="7425" width="17.8928571428571" style="84" customWidth="1"/>
    <col min="7426" max="7426" width="33.2232142857143" style="84" customWidth="1"/>
    <col min="7427" max="7680" width="9.10714285714286" style="84" customWidth="1"/>
    <col min="7681" max="7681" width="17.8928571428571" style="84" customWidth="1"/>
    <col min="7682" max="7682" width="33.2232142857143" style="84" customWidth="1"/>
    <col min="7683" max="7936" width="9.10714285714286" style="84" customWidth="1"/>
    <col min="7937" max="7937" width="17.8928571428571" style="84" customWidth="1"/>
    <col min="7938" max="7938" width="33.2232142857143" style="84" customWidth="1"/>
    <col min="7939" max="8192" width="9.10714285714286" style="84" customWidth="1"/>
    <col min="8193" max="8193" width="17.8928571428571" style="84" customWidth="1"/>
    <col min="8194" max="8194" width="33.2232142857143" style="84" customWidth="1"/>
    <col min="8195" max="8448" width="9.10714285714286" style="84" customWidth="1"/>
    <col min="8449" max="8449" width="17.8928571428571" style="84" customWidth="1"/>
    <col min="8450" max="8450" width="33.2232142857143" style="84" customWidth="1"/>
    <col min="8451" max="8704" width="9.10714285714286" style="84" customWidth="1"/>
    <col min="8705" max="8705" width="17.8928571428571" style="84" customWidth="1"/>
    <col min="8706" max="8706" width="33.2232142857143" style="84" customWidth="1"/>
    <col min="8707" max="8960" width="9.10714285714286" style="84" customWidth="1"/>
    <col min="8961" max="8961" width="17.8928571428571" style="84" customWidth="1"/>
    <col min="8962" max="8962" width="33.2232142857143" style="84" customWidth="1"/>
    <col min="8963" max="9216" width="9.10714285714286" style="84" customWidth="1"/>
    <col min="9217" max="9217" width="17.8928571428571" style="84" customWidth="1"/>
    <col min="9218" max="9218" width="33.2232142857143" style="84" customWidth="1"/>
    <col min="9219" max="9472" width="9.10714285714286" style="84" customWidth="1"/>
    <col min="9473" max="9473" width="17.8928571428571" style="84" customWidth="1"/>
    <col min="9474" max="9474" width="33.2232142857143" style="84" customWidth="1"/>
    <col min="9475" max="9728" width="9.10714285714286" style="84" customWidth="1"/>
    <col min="9729" max="9729" width="17.8928571428571" style="84" customWidth="1"/>
    <col min="9730" max="9730" width="33.2232142857143" style="84" customWidth="1"/>
    <col min="9731" max="9984" width="9.10714285714286" style="84" customWidth="1"/>
    <col min="9985" max="9985" width="17.8928571428571" style="84" customWidth="1"/>
    <col min="9986" max="9986" width="33.2232142857143" style="84" customWidth="1"/>
    <col min="9987" max="10240" width="9.10714285714286" style="84" customWidth="1"/>
    <col min="10241" max="10241" width="17.8928571428571" style="84" customWidth="1"/>
    <col min="10242" max="10242" width="33.2232142857143" style="84" customWidth="1"/>
    <col min="10243" max="10496" width="9.10714285714286" style="84" customWidth="1"/>
    <col min="10497" max="10497" width="17.8928571428571" style="84" customWidth="1"/>
    <col min="10498" max="10498" width="33.2232142857143" style="84" customWidth="1"/>
    <col min="10499" max="10752" width="9.10714285714286" style="84" customWidth="1"/>
    <col min="10753" max="10753" width="17.8928571428571" style="84" customWidth="1"/>
    <col min="10754" max="10754" width="33.2232142857143" style="84" customWidth="1"/>
    <col min="10755" max="11008" width="9.10714285714286" style="84" customWidth="1"/>
    <col min="11009" max="11009" width="17.8928571428571" style="84" customWidth="1"/>
    <col min="11010" max="11010" width="33.2232142857143" style="84" customWidth="1"/>
    <col min="11011" max="11264" width="9.10714285714286" style="84" customWidth="1"/>
    <col min="11265" max="11265" width="17.8928571428571" style="84" customWidth="1"/>
    <col min="11266" max="11266" width="33.2232142857143" style="84" customWidth="1"/>
    <col min="11267" max="11520" width="9.10714285714286" style="84" customWidth="1"/>
    <col min="11521" max="11521" width="17.8928571428571" style="84" customWidth="1"/>
    <col min="11522" max="11522" width="33.2232142857143" style="84" customWidth="1"/>
    <col min="11523" max="11776" width="9.10714285714286" style="84" customWidth="1"/>
    <col min="11777" max="11777" width="17.8928571428571" style="84" customWidth="1"/>
    <col min="11778" max="11778" width="33.2232142857143" style="84" customWidth="1"/>
    <col min="11779" max="12032" width="9.10714285714286" style="84" customWidth="1"/>
    <col min="12033" max="12033" width="17.8928571428571" style="84" customWidth="1"/>
    <col min="12034" max="12034" width="33.2232142857143" style="84" customWidth="1"/>
    <col min="12035" max="12288" width="9.10714285714286" style="84" customWidth="1"/>
    <col min="12289" max="12289" width="17.8928571428571" style="84" customWidth="1"/>
    <col min="12290" max="12290" width="33.2232142857143" style="84" customWidth="1"/>
    <col min="12291" max="12544" width="9.10714285714286" style="84" customWidth="1"/>
    <col min="12545" max="12545" width="17.8928571428571" style="84" customWidth="1"/>
    <col min="12546" max="12546" width="33.2232142857143" style="84" customWidth="1"/>
    <col min="12547" max="12800" width="9.10714285714286" style="84" customWidth="1"/>
    <col min="12801" max="12801" width="17.8928571428571" style="84" customWidth="1"/>
    <col min="12802" max="12802" width="33.2232142857143" style="84" customWidth="1"/>
    <col min="12803" max="13056" width="9.10714285714286" style="84" customWidth="1"/>
    <col min="13057" max="13057" width="17.8928571428571" style="84" customWidth="1"/>
    <col min="13058" max="13058" width="33.2232142857143" style="84" customWidth="1"/>
    <col min="13059" max="13312" width="9.10714285714286" style="84" customWidth="1"/>
    <col min="13313" max="13313" width="17.8928571428571" style="84" customWidth="1"/>
    <col min="13314" max="13314" width="33.2232142857143" style="84" customWidth="1"/>
    <col min="13315" max="13568" width="9.10714285714286" style="84" customWidth="1"/>
    <col min="13569" max="13569" width="17.8928571428571" style="84" customWidth="1"/>
    <col min="13570" max="13570" width="33.2232142857143" style="84" customWidth="1"/>
    <col min="13571" max="13824" width="9.10714285714286" style="84" customWidth="1"/>
    <col min="13825" max="13825" width="17.8928571428571" style="84" customWidth="1"/>
    <col min="13826" max="13826" width="33.2232142857143" style="84" customWidth="1"/>
    <col min="13827" max="14080" width="9.10714285714286" style="84" customWidth="1"/>
    <col min="14081" max="14081" width="17.8928571428571" style="84" customWidth="1"/>
    <col min="14082" max="14082" width="33.2232142857143" style="84" customWidth="1"/>
    <col min="14083" max="14336" width="9.10714285714286" style="84" customWidth="1"/>
    <col min="14337" max="14337" width="17.8928571428571" style="84" customWidth="1"/>
    <col min="14338" max="14338" width="33.2232142857143" style="84" customWidth="1"/>
    <col min="14339" max="14592" width="9.10714285714286" style="84" customWidth="1"/>
    <col min="14593" max="14593" width="17.8928571428571" style="84" customWidth="1"/>
    <col min="14594" max="14594" width="33.2232142857143" style="84" customWidth="1"/>
    <col min="14595" max="14848" width="9.10714285714286" style="84" customWidth="1"/>
    <col min="14849" max="14849" width="17.8928571428571" style="84" customWidth="1"/>
    <col min="14850" max="14850" width="33.2232142857143" style="84" customWidth="1"/>
    <col min="14851" max="15104" width="9.10714285714286" style="84" customWidth="1"/>
    <col min="15105" max="15105" width="17.8928571428571" style="84" customWidth="1"/>
    <col min="15106" max="15106" width="33.2232142857143" style="84" customWidth="1"/>
    <col min="15107" max="15360" width="9.10714285714286" style="84" customWidth="1"/>
    <col min="15361" max="15361" width="17.8928571428571" style="84" customWidth="1"/>
    <col min="15362" max="15362" width="33.2232142857143" style="84" customWidth="1"/>
    <col min="15363" max="15616" width="9.10714285714286" style="84" customWidth="1"/>
    <col min="15617" max="15617" width="17.8928571428571" style="84" customWidth="1"/>
    <col min="15618" max="15618" width="33.2232142857143" style="84" customWidth="1"/>
    <col min="15619" max="15872" width="9.10714285714286" style="84" customWidth="1"/>
    <col min="15873" max="15873" width="17.8928571428571" style="84" customWidth="1"/>
    <col min="15874" max="15874" width="33.2232142857143" style="84" customWidth="1"/>
    <col min="15875" max="16128" width="9.10714285714286" style="84" customWidth="1"/>
    <col min="16129" max="16129" width="17.8928571428571" style="84" customWidth="1"/>
    <col min="16130" max="16130" width="33.2232142857143" style="84" customWidth="1"/>
    <col min="16131" max="16384" width="9.10714285714286" style="84" customWidth="1"/>
  </cols>
  <sheetData>
    <row r="13" spans="1:2">
      <c r="A13" s="85" t="s">
        <v>0</v>
      </c>
      <c r="B13" s="85" t="s">
        <v>1</v>
      </c>
    </row>
    <row r="14" spans="1:2">
      <c r="A14" s="86" t="s">
        <v>2</v>
      </c>
      <c r="B14" s="76" t="s">
        <v>3</v>
      </c>
    </row>
    <row r="15" spans="1:2">
      <c r="A15" s="86" t="s">
        <v>4</v>
      </c>
      <c r="B15" s="76" t="s">
        <v>5</v>
      </c>
    </row>
    <row r="16" spans="1:2">
      <c r="A16" s="86" t="s">
        <v>6</v>
      </c>
      <c r="B16" s="76" t="s">
        <v>7</v>
      </c>
    </row>
    <row r="17" spans="1:2">
      <c r="A17" s="86" t="s">
        <v>8</v>
      </c>
      <c r="B17" s="76" t="s">
        <v>9</v>
      </c>
    </row>
    <row r="18" spans="1:2">
      <c r="A18" s="86" t="s">
        <v>10</v>
      </c>
      <c r="B18" s="76" t="s">
        <v>11</v>
      </c>
    </row>
    <row r="19" spans="1:2">
      <c r="A19" s="86" t="s">
        <v>12</v>
      </c>
      <c r="B19" s="76" t="s">
        <v>7</v>
      </c>
    </row>
    <row r="20" spans="1:2">
      <c r="A20" s="86" t="s">
        <v>13</v>
      </c>
      <c r="B20" s="76" t="s">
        <v>7</v>
      </c>
    </row>
    <row r="21" spans="1:2">
      <c r="A21" s="86" t="s">
        <v>14</v>
      </c>
      <c r="B21" s="76" t="s">
        <v>15</v>
      </c>
    </row>
    <row r="22" spans="1:2">
      <c r="A22" s="87" t="s">
        <v>16</v>
      </c>
    </row>
    <row r="23" spans="1:2">
      <c r="A23" s="87"/>
    </row>
    <row r="24" spans="1:2">
      <c r="A24" s="85" t="s">
        <v>0</v>
      </c>
      <c r="B24" s="85" t="s">
        <v>17</v>
      </c>
    </row>
    <row r="25" spans="1:2">
      <c r="A25" s="86" t="s">
        <v>2</v>
      </c>
      <c r="B25" s="68" t="s">
        <v>18</v>
      </c>
    </row>
    <row r="26" spans="1:2">
      <c r="A26" s="86" t="s">
        <v>4</v>
      </c>
      <c r="B26" s="68" t="s">
        <v>18</v>
      </c>
    </row>
    <row r="27" spans="1:2">
      <c r="A27" s="86" t="s">
        <v>6</v>
      </c>
      <c r="B27" s="68" t="s">
        <v>19</v>
      </c>
    </row>
    <row r="28" spans="1:2">
      <c r="A28" s="86" t="s">
        <v>8</v>
      </c>
      <c r="B28" s="68" t="s">
        <v>20</v>
      </c>
    </row>
    <row r="29" spans="1:2">
      <c r="A29" s="86" t="s">
        <v>10</v>
      </c>
      <c r="B29" s="68" t="s">
        <v>21</v>
      </c>
    </row>
    <row r="30" spans="1:2">
      <c r="A30" s="86" t="s">
        <v>12</v>
      </c>
      <c r="B30" s="68" t="s">
        <v>22</v>
      </c>
    </row>
    <row r="31" spans="1:2">
      <c r="A31" s="86" t="s">
        <v>13</v>
      </c>
      <c r="B31" s="68" t="s">
        <v>23</v>
      </c>
    </row>
    <row r="32" spans="1:2">
      <c r="A32" s="86" t="s">
        <v>14</v>
      </c>
      <c r="B32" s="68" t="s">
        <v>24</v>
      </c>
    </row>
    <row r="33" spans="1:2">
      <c r="A33" s="86" t="s">
        <v>25</v>
      </c>
      <c r="B33" s="68" t="s">
        <v>26</v>
      </c>
    </row>
    <row r="34" spans="1:2">
      <c r="A34" s="87" t="s">
        <v>16</v>
      </c>
    </row>
    <row r="36" spans="1:2">
      <c r="A36" s="85" t="s">
        <v>0</v>
      </c>
      <c r="B36" s="85" t="s">
        <v>27</v>
      </c>
    </row>
    <row r="37" spans="1:2">
      <c r="A37" s="86" t="s">
        <v>2</v>
      </c>
      <c r="B37" s="88" t="s">
        <v>28</v>
      </c>
    </row>
    <row r="38" spans="1:2">
      <c r="A38" s="86" t="s">
        <v>4</v>
      </c>
      <c r="B38" s="88" t="s">
        <v>28</v>
      </c>
    </row>
    <row r="39" spans="1:2">
      <c r="A39" s="86" t="s">
        <v>6</v>
      </c>
      <c r="B39" s="88" t="s">
        <v>29</v>
      </c>
    </row>
    <row r="40" spans="1:2">
      <c r="A40" s="86" t="s">
        <v>8</v>
      </c>
      <c r="B40" s="88" t="s">
        <v>29</v>
      </c>
    </row>
    <row r="41" spans="1:2">
      <c r="A41" s="86" t="s">
        <v>10</v>
      </c>
      <c r="B41" s="88" t="s">
        <v>29</v>
      </c>
    </row>
    <row r="42" spans="1:2">
      <c r="A42" s="86" t="s">
        <v>12</v>
      </c>
      <c r="B42" s="88" t="s">
        <v>29</v>
      </c>
    </row>
    <row r="43" spans="1:2">
      <c r="A43" s="86" t="s">
        <v>13</v>
      </c>
      <c r="B43" s="88" t="s">
        <v>29</v>
      </c>
    </row>
    <row r="44" spans="1:2">
      <c r="A44" s="86" t="s">
        <v>14</v>
      </c>
      <c r="B44" s="88" t="s">
        <v>30</v>
      </c>
    </row>
    <row r="45" spans="1:2">
      <c r="A45" s="86" t="s">
        <v>25</v>
      </c>
      <c r="B45" s="88" t="s">
        <v>31</v>
      </c>
    </row>
    <row r="46" spans="1:2">
      <c r="A46" s="87" t="s">
        <v>16</v>
      </c>
    </row>
    <row r="48" spans="1:2">
      <c r="A48" s="85" t="s">
        <v>0</v>
      </c>
      <c r="B48" s="85" t="s">
        <v>32</v>
      </c>
    </row>
    <row r="49" spans="1:2">
      <c r="A49" s="86" t="s">
        <v>2</v>
      </c>
      <c r="B49" s="88" t="s">
        <v>33</v>
      </c>
    </row>
    <row r="50" spans="1:2">
      <c r="A50" s="86" t="s">
        <v>4</v>
      </c>
      <c r="B50" s="88" t="s">
        <v>33</v>
      </c>
    </row>
    <row r="51" spans="1:2">
      <c r="A51" s="86" t="s">
        <v>6</v>
      </c>
      <c r="B51" s="88" t="s">
        <v>34</v>
      </c>
    </row>
    <row r="52" spans="1:2">
      <c r="A52" s="86" t="s">
        <v>8</v>
      </c>
      <c r="B52" s="88" t="s">
        <v>34</v>
      </c>
    </row>
    <row r="53" spans="1:2">
      <c r="A53" s="86" t="s">
        <v>10</v>
      </c>
      <c r="B53" s="88" t="s">
        <v>34</v>
      </c>
    </row>
    <row r="54" spans="1:2">
      <c r="A54" s="86" t="s">
        <v>12</v>
      </c>
      <c r="B54" s="88" t="s">
        <v>34</v>
      </c>
    </row>
    <row r="55" spans="1:2">
      <c r="A55" s="86" t="s">
        <v>13</v>
      </c>
      <c r="B55" s="88" t="s">
        <v>34</v>
      </c>
    </row>
    <row r="56" spans="1:2">
      <c r="A56" s="86" t="s">
        <v>14</v>
      </c>
      <c r="B56" s="88" t="s">
        <v>35</v>
      </c>
    </row>
    <row r="57" spans="1:2">
      <c r="A57" s="86" t="s">
        <v>25</v>
      </c>
      <c r="B57" s="88" t="s">
        <v>36</v>
      </c>
    </row>
    <row r="58" spans="1:2">
      <c r="A58" s="87" t="s">
        <v>16</v>
      </c>
    </row>
    <row r="59" spans="1:2">
      <c r="A59" s="86"/>
      <c r="B59" s="88"/>
    </row>
    <row r="60" spans="1:2">
      <c r="A60" s="85" t="s">
        <v>0</v>
      </c>
      <c r="B60" s="85" t="s">
        <v>37</v>
      </c>
    </row>
    <row r="61" ht="16.8" spans="1:2">
      <c r="A61" s="86" t="s">
        <v>2</v>
      </c>
      <c r="B61" t="s">
        <v>38</v>
      </c>
    </row>
    <row r="62" ht="16.8" spans="1:2">
      <c r="A62" s="86" t="s">
        <v>4</v>
      </c>
      <c r="B62" t="s">
        <v>38</v>
      </c>
    </row>
    <row r="63" spans="1:2">
      <c r="A63" s="86" t="s">
        <v>6</v>
      </c>
      <c r="B63" s="68" t="s">
        <v>39</v>
      </c>
    </row>
    <row r="64" spans="1:2">
      <c r="A64" s="86" t="s">
        <v>8</v>
      </c>
      <c r="B64" s="68" t="s">
        <v>39</v>
      </c>
    </row>
    <row r="65" spans="1:2">
      <c r="A65" s="86" t="s">
        <v>10</v>
      </c>
      <c r="B65" s="68" t="s">
        <v>39</v>
      </c>
    </row>
    <row r="66" spans="1:2">
      <c r="A66" s="86" t="s">
        <v>12</v>
      </c>
      <c r="B66" s="68" t="s">
        <v>39</v>
      </c>
    </row>
    <row r="67" spans="1:2">
      <c r="A67" s="86" t="s">
        <v>13</v>
      </c>
      <c r="B67" s="68" t="s">
        <v>39</v>
      </c>
    </row>
    <row r="68" spans="1:2">
      <c r="A68" s="86" t="s">
        <v>14</v>
      </c>
      <c r="B68" s="68" t="s">
        <v>40</v>
      </c>
    </row>
    <row r="69" spans="1:2">
      <c r="A69" s="86" t="s">
        <v>25</v>
      </c>
      <c r="B69" s="68" t="s">
        <v>41</v>
      </c>
    </row>
    <row r="70" spans="1:2">
      <c r="A70" s="87" t="s">
        <v>16</v>
      </c>
    </row>
    <row r="71" spans="1:2">
      <c r="A71" s="86"/>
      <c r="B71" s="89"/>
    </row>
    <row r="72" spans="1:2">
      <c r="A72" s="85" t="s">
        <v>0</v>
      </c>
      <c r="B72" s="85" t="s">
        <v>42</v>
      </c>
    </row>
    <row r="73" ht="16.8" spans="1:2">
      <c r="A73" s="86" t="s">
        <v>2</v>
      </c>
      <c r="B73" t="s">
        <v>43</v>
      </c>
    </row>
    <row r="74" ht="16.8" spans="1:2">
      <c r="A74" s="86" t="s">
        <v>4</v>
      </c>
      <c r="B74" t="s">
        <v>43</v>
      </c>
    </row>
    <row r="75" spans="1:2">
      <c r="A75" s="86" t="s">
        <v>6</v>
      </c>
      <c r="B75" s="68" t="s">
        <v>44</v>
      </c>
    </row>
    <row r="76" spans="1:2">
      <c r="A76" s="86" t="s">
        <v>8</v>
      </c>
      <c r="B76" s="68" t="s">
        <v>44</v>
      </c>
    </row>
    <row r="77" spans="1:2">
      <c r="A77" s="86" t="s">
        <v>10</v>
      </c>
      <c r="B77" s="68" t="s">
        <v>44</v>
      </c>
    </row>
    <row r="78" spans="1:2">
      <c r="A78" s="86" t="s">
        <v>12</v>
      </c>
      <c r="B78" s="68" t="s">
        <v>44</v>
      </c>
    </row>
    <row r="79" spans="1:2">
      <c r="A79" s="86" t="s">
        <v>13</v>
      </c>
      <c r="B79" s="68" t="s">
        <v>44</v>
      </c>
    </row>
    <row r="80" spans="1:2">
      <c r="A80" s="86" t="s">
        <v>14</v>
      </c>
      <c r="B80" s="68" t="s">
        <v>45</v>
      </c>
    </row>
    <row r="81" spans="1:2">
      <c r="A81" s="86" t="s">
        <v>25</v>
      </c>
      <c r="B81" s="68" t="s">
        <v>46</v>
      </c>
    </row>
    <row r="82" spans="1:2">
      <c r="A82" s="87" t="s">
        <v>16</v>
      </c>
    </row>
    <row r="84" spans="1:2">
      <c r="A84" s="85" t="s">
        <v>0</v>
      </c>
      <c r="B84" s="85" t="s">
        <v>47</v>
      </c>
    </row>
    <row r="85" ht="16.8" spans="1:2">
      <c r="A85" s="86" t="s">
        <v>2</v>
      </c>
      <c r="B85" t="s">
        <v>48</v>
      </c>
    </row>
    <row r="86" ht="16.8" spans="1:2">
      <c r="A86" s="86" t="s">
        <v>4</v>
      </c>
      <c r="B86" t="s">
        <v>48</v>
      </c>
    </row>
    <row r="87" spans="1:2">
      <c r="A87" s="86" t="s">
        <v>6</v>
      </c>
      <c r="B87" s="68" t="s">
        <v>49</v>
      </c>
    </row>
    <row r="88" spans="1:2">
      <c r="A88" s="86" t="s">
        <v>8</v>
      </c>
      <c r="B88" s="68" t="s">
        <v>49</v>
      </c>
    </row>
    <row r="89" spans="1:2">
      <c r="A89" s="86" t="s">
        <v>10</v>
      </c>
      <c r="B89" s="68" t="s">
        <v>49</v>
      </c>
    </row>
    <row r="90" spans="1:2">
      <c r="A90" s="86" t="s">
        <v>12</v>
      </c>
      <c r="B90" s="68" t="s">
        <v>49</v>
      </c>
    </row>
    <row r="91" spans="1:2">
      <c r="A91" s="86" t="s">
        <v>13</v>
      </c>
      <c r="B91" s="68" t="s">
        <v>49</v>
      </c>
    </row>
    <row r="92" spans="1:2">
      <c r="A92" s="86" t="s">
        <v>14</v>
      </c>
      <c r="B92" s="68" t="s">
        <v>50</v>
      </c>
    </row>
    <row r="93" spans="1:2">
      <c r="A93" s="86" t="s">
        <v>25</v>
      </c>
      <c r="B93" s="68" t="s">
        <v>51</v>
      </c>
    </row>
    <row r="94" spans="1:2">
      <c r="A94" s="87" t="s">
        <v>16</v>
      </c>
    </row>
  </sheetData>
  <sheetProtection formatCells="0" insertHyperlinks="0" autoFilter="0"/>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0714285714286" defaultRowHeight="15.2"/>
  <cols>
    <col min="1" max="1" width="108.107142857143" style="69" customWidth="1"/>
    <col min="2" max="2" width="57.8928571428571" style="69" customWidth="1"/>
    <col min="3" max="256" width="9.10714285714286" style="69" customWidth="1"/>
    <col min="257" max="257" width="108.107142857143" style="69" customWidth="1"/>
    <col min="258" max="258" width="57.8928571428571" style="69" customWidth="1"/>
    <col min="259" max="512" width="9.10714285714286" style="69" customWidth="1"/>
    <col min="513" max="513" width="108.107142857143" style="69" customWidth="1"/>
    <col min="514" max="514" width="57.8928571428571" style="69" customWidth="1"/>
    <col min="515" max="768" width="9.10714285714286" style="69" customWidth="1"/>
    <col min="769" max="769" width="108.107142857143" style="69" customWidth="1"/>
    <col min="770" max="770" width="57.8928571428571" style="69" customWidth="1"/>
    <col min="771" max="1024" width="9.10714285714286" style="69" customWidth="1"/>
    <col min="1025" max="1025" width="108.107142857143" style="69" customWidth="1"/>
    <col min="1026" max="1026" width="57.8928571428571" style="69" customWidth="1"/>
    <col min="1027" max="1280" width="9.10714285714286" style="69" customWidth="1"/>
    <col min="1281" max="1281" width="108.107142857143" style="69" customWidth="1"/>
    <col min="1282" max="1282" width="57.8928571428571" style="69" customWidth="1"/>
    <col min="1283" max="1536" width="9.10714285714286" style="69" customWidth="1"/>
    <col min="1537" max="1537" width="108.107142857143" style="69" customWidth="1"/>
    <col min="1538" max="1538" width="57.8928571428571" style="69" customWidth="1"/>
    <col min="1539" max="1792" width="9.10714285714286" style="69" customWidth="1"/>
    <col min="1793" max="1793" width="108.107142857143" style="69" customWidth="1"/>
    <col min="1794" max="1794" width="57.8928571428571" style="69" customWidth="1"/>
    <col min="1795" max="2048" width="9.10714285714286" style="69" customWidth="1"/>
    <col min="2049" max="2049" width="108.107142857143" style="69" customWidth="1"/>
    <col min="2050" max="2050" width="57.8928571428571" style="69" customWidth="1"/>
    <col min="2051" max="2304" width="9.10714285714286" style="69" customWidth="1"/>
    <col min="2305" max="2305" width="108.107142857143" style="69" customWidth="1"/>
    <col min="2306" max="2306" width="57.8928571428571" style="69" customWidth="1"/>
    <col min="2307" max="2560" width="9.10714285714286" style="69" customWidth="1"/>
    <col min="2561" max="2561" width="108.107142857143" style="69" customWidth="1"/>
    <col min="2562" max="2562" width="57.8928571428571" style="69" customWidth="1"/>
    <col min="2563" max="2816" width="9.10714285714286" style="69" customWidth="1"/>
    <col min="2817" max="2817" width="108.107142857143" style="69" customWidth="1"/>
    <col min="2818" max="2818" width="57.8928571428571" style="69" customWidth="1"/>
    <col min="2819" max="3072" width="9.10714285714286" style="69" customWidth="1"/>
    <col min="3073" max="3073" width="108.107142857143" style="69" customWidth="1"/>
    <col min="3074" max="3074" width="57.8928571428571" style="69" customWidth="1"/>
    <col min="3075" max="3328" width="9.10714285714286" style="69" customWidth="1"/>
    <col min="3329" max="3329" width="108.107142857143" style="69" customWidth="1"/>
    <col min="3330" max="3330" width="57.8928571428571" style="69" customWidth="1"/>
    <col min="3331" max="3584" width="9.10714285714286" style="69" customWidth="1"/>
    <col min="3585" max="3585" width="108.107142857143" style="69" customWidth="1"/>
    <col min="3586" max="3586" width="57.8928571428571" style="69" customWidth="1"/>
    <col min="3587" max="3840" width="9.10714285714286" style="69" customWidth="1"/>
    <col min="3841" max="3841" width="108.107142857143" style="69" customWidth="1"/>
    <col min="3842" max="3842" width="57.8928571428571" style="69" customWidth="1"/>
    <col min="3843" max="4096" width="9.10714285714286" style="69" customWidth="1"/>
    <col min="4097" max="4097" width="108.107142857143" style="69" customWidth="1"/>
    <col min="4098" max="4098" width="57.8928571428571" style="69" customWidth="1"/>
    <col min="4099" max="4352" width="9.10714285714286" style="69" customWidth="1"/>
    <col min="4353" max="4353" width="108.107142857143" style="69" customWidth="1"/>
    <col min="4354" max="4354" width="57.8928571428571" style="69" customWidth="1"/>
    <col min="4355" max="4608" width="9.10714285714286" style="69" customWidth="1"/>
    <col min="4609" max="4609" width="108.107142857143" style="69" customWidth="1"/>
    <col min="4610" max="4610" width="57.8928571428571" style="69" customWidth="1"/>
    <col min="4611" max="4864" width="9.10714285714286" style="69" customWidth="1"/>
    <col min="4865" max="4865" width="108.107142857143" style="69" customWidth="1"/>
    <col min="4866" max="4866" width="57.8928571428571" style="69" customWidth="1"/>
    <col min="4867" max="5120" width="9.10714285714286" style="69" customWidth="1"/>
    <col min="5121" max="5121" width="108.107142857143" style="69" customWidth="1"/>
    <col min="5122" max="5122" width="57.8928571428571" style="69" customWidth="1"/>
    <col min="5123" max="5376" width="9.10714285714286" style="69" customWidth="1"/>
    <col min="5377" max="5377" width="108.107142857143" style="69" customWidth="1"/>
    <col min="5378" max="5378" width="57.8928571428571" style="69" customWidth="1"/>
    <col min="5379" max="5632" width="9.10714285714286" style="69" customWidth="1"/>
    <col min="5633" max="5633" width="108.107142857143" style="69" customWidth="1"/>
    <col min="5634" max="5634" width="57.8928571428571" style="69" customWidth="1"/>
    <col min="5635" max="5888" width="9.10714285714286" style="69" customWidth="1"/>
    <col min="5889" max="5889" width="108.107142857143" style="69" customWidth="1"/>
    <col min="5890" max="5890" width="57.8928571428571" style="69" customWidth="1"/>
    <col min="5891" max="6144" width="9.10714285714286" style="69" customWidth="1"/>
    <col min="6145" max="6145" width="108.107142857143" style="69" customWidth="1"/>
    <col min="6146" max="6146" width="57.8928571428571" style="69" customWidth="1"/>
    <col min="6147" max="6400" width="9.10714285714286" style="69" customWidth="1"/>
    <col min="6401" max="6401" width="108.107142857143" style="69" customWidth="1"/>
    <col min="6402" max="6402" width="57.8928571428571" style="69" customWidth="1"/>
    <col min="6403" max="6656" width="9.10714285714286" style="69" customWidth="1"/>
    <col min="6657" max="6657" width="108.107142857143" style="69" customWidth="1"/>
    <col min="6658" max="6658" width="57.8928571428571" style="69" customWidth="1"/>
    <col min="6659" max="6912" width="9.10714285714286" style="69" customWidth="1"/>
    <col min="6913" max="6913" width="108.107142857143" style="69" customWidth="1"/>
    <col min="6914" max="6914" width="57.8928571428571" style="69" customWidth="1"/>
    <col min="6915" max="7168" width="9.10714285714286" style="69" customWidth="1"/>
    <col min="7169" max="7169" width="108.107142857143" style="69" customWidth="1"/>
    <col min="7170" max="7170" width="57.8928571428571" style="69" customWidth="1"/>
    <col min="7171" max="7424" width="9.10714285714286" style="69" customWidth="1"/>
    <col min="7425" max="7425" width="108.107142857143" style="69" customWidth="1"/>
    <col min="7426" max="7426" width="57.8928571428571" style="69" customWidth="1"/>
    <col min="7427" max="7680" width="9.10714285714286" style="69" customWidth="1"/>
    <col min="7681" max="7681" width="108.107142857143" style="69" customWidth="1"/>
    <col min="7682" max="7682" width="57.8928571428571" style="69" customWidth="1"/>
    <col min="7683" max="7936" width="9.10714285714286" style="69" customWidth="1"/>
    <col min="7937" max="7937" width="108.107142857143" style="69" customWidth="1"/>
    <col min="7938" max="7938" width="57.8928571428571" style="69" customWidth="1"/>
    <col min="7939" max="8192" width="9.10714285714286" style="69" customWidth="1"/>
    <col min="8193" max="8193" width="108.107142857143" style="69" customWidth="1"/>
    <col min="8194" max="8194" width="57.8928571428571" style="69" customWidth="1"/>
    <col min="8195" max="8448" width="9.10714285714286" style="69" customWidth="1"/>
    <col min="8449" max="8449" width="108.107142857143" style="69" customWidth="1"/>
    <col min="8450" max="8450" width="57.8928571428571" style="69" customWidth="1"/>
    <col min="8451" max="8704" width="9.10714285714286" style="69" customWidth="1"/>
    <col min="8705" max="8705" width="108.107142857143" style="69" customWidth="1"/>
    <col min="8706" max="8706" width="57.8928571428571" style="69" customWidth="1"/>
    <col min="8707" max="8960" width="9.10714285714286" style="69" customWidth="1"/>
    <col min="8961" max="8961" width="108.107142857143" style="69" customWidth="1"/>
    <col min="8962" max="8962" width="57.8928571428571" style="69" customWidth="1"/>
    <col min="8963" max="9216" width="9.10714285714286" style="69" customWidth="1"/>
    <col min="9217" max="9217" width="108.107142857143" style="69" customWidth="1"/>
    <col min="9218" max="9218" width="57.8928571428571" style="69" customWidth="1"/>
    <col min="9219" max="9472" width="9.10714285714286" style="69" customWidth="1"/>
    <col min="9473" max="9473" width="108.107142857143" style="69" customWidth="1"/>
    <col min="9474" max="9474" width="57.8928571428571" style="69" customWidth="1"/>
    <col min="9475" max="9728" width="9.10714285714286" style="69" customWidth="1"/>
    <col min="9729" max="9729" width="108.107142857143" style="69" customWidth="1"/>
    <col min="9730" max="9730" width="57.8928571428571" style="69" customWidth="1"/>
    <col min="9731" max="9984" width="9.10714285714286" style="69" customWidth="1"/>
    <col min="9985" max="9985" width="108.107142857143" style="69" customWidth="1"/>
    <col min="9986" max="9986" width="57.8928571428571" style="69" customWidth="1"/>
    <col min="9987" max="10240" width="9.10714285714286" style="69" customWidth="1"/>
    <col min="10241" max="10241" width="108.107142857143" style="69" customWidth="1"/>
    <col min="10242" max="10242" width="57.8928571428571" style="69" customWidth="1"/>
    <col min="10243" max="10496" width="9.10714285714286" style="69" customWidth="1"/>
    <col min="10497" max="10497" width="108.107142857143" style="69" customWidth="1"/>
    <col min="10498" max="10498" width="57.8928571428571" style="69" customWidth="1"/>
    <col min="10499" max="10752" width="9.10714285714286" style="69" customWidth="1"/>
    <col min="10753" max="10753" width="108.107142857143" style="69" customWidth="1"/>
    <col min="10754" max="10754" width="57.8928571428571" style="69" customWidth="1"/>
    <col min="10755" max="11008" width="9.10714285714286" style="69" customWidth="1"/>
    <col min="11009" max="11009" width="108.107142857143" style="69" customWidth="1"/>
    <col min="11010" max="11010" width="57.8928571428571" style="69" customWidth="1"/>
    <col min="11011" max="11264" width="9.10714285714286" style="69" customWidth="1"/>
    <col min="11265" max="11265" width="108.107142857143" style="69" customWidth="1"/>
    <col min="11266" max="11266" width="57.8928571428571" style="69" customWidth="1"/>
    <col min="11267" max="11520" width="9.10714285714286" style="69" customWidth="1"/>
    <col min="11521" max="11521" width="108.107142857143" style="69" customWidth="1"/>
    <col min="11522" max="11522" width="57.8928571428571" style="69" customWidth="1"/>
    <col min="11523" max="11776" width="9.10714285714286" style="69" customWidth="1"/>
    <col min="11777" max="11777" width="108.107142857143" style="69" customWidth="1"/>
    <col min="11778" max="11778" width="57.8928571428571" style="69" customWidth="1"/>
    <col min="11779" max="12032" width="9.10714285714286" style="69" customWidth="1"/>
    <col min="12033" max="12033" width="108.107142857143" style="69" customWidth="1"/>
    <col min="12034" max="12034" width="57.8928571428571" style="69" customWidth="1"/>
    <col min="12035" max="12288" width="9.10714285714286" style="69" customWidth="1"/>
    <col min="12289" max="12289" width="108.107142857143" style="69" customWidth="1"/>
    <col min="12290" max="12290" width="57.8928571428571" style="69" customWidth="1"/>
    <col min="12291" max="12544" width="9.10714285714286" style="69" customWidth="1"/>
    <col min="12545" max="12545" width="108.107142857143" style="69" customWidth="1"/>
    <col min="12546" max="12546" width="57.8928571428571" style="69" customWidth="1"/>
    <col min="12547" max="12800" width="9.10714285714286" style="69" customWidth="1"/>
    <col min="12801" max="12801" width="108.107142857143" style="69" customWidth="1"/>
    <col min="12802" max="12802" width="57.8928571428571" style="69" customWidth="1"/>
    <col min="12803" max="13056" width="9.10714285714286" style="69" customWidth="1"/>
    <col min="13057" max="13057" width="108.107142857143" style="69" customWidth="1"/>
    <col min="13058" max="13058" width="57.8928571428571" style="69" customWidth="1"/>
    <col min="13059" max="13312" width="9.10714285714286" style="69" customWidth="1"/>
    <col min="13313" max="13313" width="108.107142857143" style="69" customWidth="1"/>
    <col min="13314" max="13314" width="57.8928571428571" style="69" customWidth="1"/>
    <col min="13315" max="13568" width="9.10714285714286" style="69" customWidth="1"/>
    <col min="13569" max="13569" width="108.107142857143" style="69" customWidth="1"/>
    <col min="13570" max="13570" width="57.8928571428571" style="69" customWidth="1"/>
    <col min="13571" max="13824" width="9.10714285714286" style="69" customWidth="1"/>
    <col min="13825" max="13825" width="108.107142857143" style="69" customWidth="1"/>
    <col min="13826" max="13826" width="57.8928571428571" style="69" customWidth="1"/>
    <col min="13827" max="14080" width="9.10714285714286" style="69" customWidth="1"/>
    <col min="14081" max="14081" width="108.107142857143" style="69" customWidth="1"/>
    <col min="14082" max="14082" width="57.8928571428571" style="69" customWidth="1"/>
    <col min="14083" max="14336" width="9.10714285714286" style="69" customWidth="1"/>
    <col min="14337" max="14337" width="108.107142857143" style="69" customWidth="1"/>
    <col min="14338" max="14338" width="57.8928571428571" style="69" customWidth="1"/>
    <col min="14339" max="14592" width="9.10714285714286" style="69" customWidth="1"/>
    <col min="14593" max="14593" width="108.107142857143" style="69" customWidth="1"/>
    <col min="14594" max="14594" width="57.8928571428571" style="69" customWidth="1"/>
    <col min="14595" max="14848" width="9.10714285714286" style="69" customWidth="1"/>
    <col min="14849" max="14849" width="108.107142857143" style="69" customWidth="1"/>
    <col min="14850" max="14850" width="57.8928571428571" style="69" customWidth="1"/>
    <col min="14851" max="15104" width="9.10714285714286" style="69" customWidth="1"/>
    <col min="15105" max="15105" width="108.107142857143" style="69" customWidth="1"/>
    <col min="15106" max="15106" width="57.8928571428571" style="69" customWidth="1"/>
    <col min="15107" max="15360" width="9.10714285714286" style="69" customWidth="1"/>
    <col min="15361" max="15361" width="108.107142857143" style="69" customWidth="1"/>
    <col min="15362" max="15362" width="57.8928571428571" style="69" customWidth="1"/>
    <col min="15363" max="15616" width="9.10714285714286" style="69" customWidth="1"/>
    <col min="15617" max="15617" width="108.107142857143" style="69" customWidth="1"/>
    <col min="15618" max="15618" width="57.8928571428571" style="69" customWidth="1"/>
    <col min="15619" max="15872" width="9.10714285714286" style="69" customWidth="1"/>
    <col min="15873" max="15873" width="108.107142857143" style="69" customWidth="1"/>
    <col min="15874" max="15874" width="57.8928571428571" style="69" customWidth="1"/>
    <col min="15875" max="16128" width="9.10714285714286" style="69" customWidth="1"/>
    <col min="16129" max="16129" width="108.107142857143" style="69" customWidth="1"/>
    <col min="16130" max="16130" width="57.8928571428571" style="69" customWidth="1"/>
    <col min="16131" max="16384" width="9.10714285714286" style="69" customWidth="1"/>
  </cols>
  <sheetData>
    <row r="1" spans="1:80">
      <c r="A1" s="69" t="b">
        <v>0</v>
      </c>
      <c r="B1" s="70" t="s">
        <v>52</v>
      </c>
    </row>
    <row r="2" spans="1:80">
      <c r="A2" s="71" t="s">
        <v>2</v>
      </c>
      <c r="B2" s="70" t="s">
        <v>53</v>
      </c>
    </row>
    <row r="3" spans="1:80">
      <c r="A3" s="72" t="s">
        <v>2</v>
      </c>
      <c r="B3" s="70" t="s">
        <v>54</v>
      </c>
    </row>
    <row r="4" spans="1:80">
      <c r="A4" s="73" t="s">
        <v>55</v>
      </c>
      <c r="B4" s="74" t="s">
        <v>56</v>
      </c>
      <c r="CB4" s="69"/>
    </row>
    <row r="5" spans="1:80">
      <c r="A5" s="73"/>
      <c r="B5" s="74" t="s">
        <v>57</v>
      </c>
    </row>
    <row r="6" ht="16" spans="1:80">
      <c r="A6" s="75"/>
      <c r="B6" s="74" t="s">
        <v>58</v>
      </c>
    </row>
    <row r="7" ht="16" spans="1:80">
      <c r="A7" s="75"/>
      <c r="B7" s="74" t="s">
        <v>59</v>
      </c>
    </row>
    <row r="8" ht="16" spans="1:80">
      <c r="A8" s="75"/>
      <c r="B8" s="74" t="s">
        <v>60</v>
      </c>
    </row>
    <row r="9" ht="16" spans="1:80">
      <c r="A9" s="76" t="s">
        <v>61</v>
      </c>
      <c r="B9" s="74" t="s">
        <v>62</v>
      </c>
    </row>
    <row r="10" ht="16" spans="1:80">
      <c r="A10" s="76" t="str">
        <f>$A$9</f>
        <v>http://g-ecx.images-amazon.com/images/G/01/rainier/help/ff/</v>
      </c>
      <c r="B10" s="74" t="s">
        <v>63</v>
      </c>
    </row>
    <row r="11" ht="16" spans="1:80">
      <c r="A11" s="76" t="str">
        <f>$A$9</f>
        <v>http://g-ecx.images-amazon.com/images/G/01/rainier/help/ff/</v>
      </c>
      <c r="B11" s="74" t="s">
        <v>64</v>
      </c>
    </row>
    <row r="12" ht="16" spans="1:80">
      <c r="A12" s="76" t="str">
        <f>A9&amp;"beta/"</f>
        <v>http://g-ecx.images-amazon.com/images/G/01/rainier/help/ff/beta/</v>
      </c>
      <c r="B12" s="74" t="s">
        <v>65</v>
      </c>
    </row>
    <row r="13" ht="16" spans="1:80">
      <c r="A13" s="76" t="str">
        <f>A10&amp;"beta/"</f>
        <v>http://g-ecx.images-amazon.com/images/G/01/rainier/help/ff/beta/</v>
      </c>
      <c r="B13" s="74" t="s">
        <v>66</v>
      </c>
    </row>
    <row r="14" ht="16" spans="1:80">
      <c r="A14" s="76" t="str">
        <f>A11&amp;"beta/"</f>
        <v>http://g-ecx.images-amazon.com/images/G/01/rainier/help/ff/beta/</v>
      </c>
      <c r="B14" s="74" t="s">
        <v>67</v>
      </c>
    </row>
    <row r="15" ht="16" spans="1:80">
      <c r="A15" s="76" t="s">
        <v>68</v>
      </c>
      <c r="B15" s="77" t="s">
        <v>69</v>
      </c>
    </row>
    <row r="16" ht="16" spans="1:80">
      <c r="A16" s="76" t="s">
        <v>70</v>
      </c>
      <c r="B16" s="77" t="s">
        <v>71</v>
      </c>
    </row>
    <row r="17" ht="16" spans="1:80">
      <c r="A17" s="76" t="s">
        <v>72</v>
      </c>
      <c r="B17" s="77" t="s">
        <v>73</v>
      </c>
    </row>
    <row r="18" ht="16.8" spans="1:80">
      <c r="A18" s="78"/>
      <c r="B18" s="74" t="s">
        <v>74</v>
      </c>
    </row>
    <row r="19" ht="16.8" spans="1:80">
      <c r="A19" s="78"/>
      <c r="B19" s="74" t="s">
        <v>75</v>
      </c>
    </row>
    <row r="20" ht="16.8" spans="1:80">
      <c r="A20" s="78"/>
      <c r="B20" s="74" t="s">
        <v>76</v>
      </c>
    </row>
    <row r="21" spans="1:80">
      <c r="A21" s="7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0" t="s">
        <v>77</v>
      </c>
      <c r="CB21" s="69"/>
    </row>
    <row r="22" spans="1:80">
      <c r="A22" s="7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0" t="s">
        <v>78</v>
      </c>
      <c r="CB22" s="69"/>
    </row>
    <row r="23" spans="1:80">
      <c r="A23" s="7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0" t="s">
        <v>79</v>
      </c>
    </row>
    <row r="24" spans="1:80">
      <c r="A24" s="71" t="s">
        <v>80</v>
      </c>
      <c r="B24" s="70" t="s">
        <v>81</v>
      </c>
    </row>
    <row r="25" spans="1:80">
      <c r="A25" s="76" t="b">
        <v>0</v>
      </c>
      <c r="B25" s="70" t="s">
        <v>82</v>
      </c>
    </row>
    <row r="26" spans="1:80">
      <c r="A26" s="68"/>
      <c r="B26" s="70" t="s">
        <v>83</v>
      </c>
    </row>
    <row r="27" spans="1:80">
      <c r="A27" s="80">
        <v>41070.8751041667</v>
      </c>
      <c r="B27" s="70" t="s">
        <v>84</v>
      </c>
    </row>
    <row r="28" spans="1:80">
      <c r="A28" s="69" t="b">
        <v>0</v>
      </c>
      <c r="B28" s="70" t="s">
        <v>85</v>
      </c>
    </row>
    <row r="29" spans="1:80">
      <c r="A29" s="72" t="s">
        <v>86</v>
      </c>
      <c r="B29" s="70" t="s">
        <v>87</v>
      </c>
    </row>
    <row r="30" spans="1:80">
      <c r="A30" s="81" t="s">
        <v>88</v>
      </c>
      <c r="B30" s="70" t="s">
        <v>89</v>
      </c>
    </row>
    <row r="31" spans="1:80">
      <c r="A31" s="81" t="s">
        <v>90</v>
      </c>
      <c r="B31" s="70" t="s">
        <v>91</v>
      </c>
    </row>
    <row r="32" spans="1:80">
      <c r="A32" s="81" t="s">
        <v>92</v>
      </c>
      <c r="B32" s="70" t="s">
        <v>93</v>
      </c>
    </row>
    <row r="33" spans="1:2">
      <c r="A33" s="81" t="s">
        <v>94</v>
      </c>
      <c r="B33" s="70" t="s">
        <v>95</v>
      </c>
    </row>
    <row r="34" spans="1:2">
      <c r="A34" s="81" t="s">
        <v>96</v>
      </c>
      <c r="B34" s="70" t="s">
        <v>97</v>
      </c>
    </row>
    <row r="35" spans="1:2">
      <c r="A35" s="71" t="s">
        <v>98</v>
      </c>
      <c r="B35" s="70" t="s">
        <v>99</v>
      </c>
    </row>
    <row r="36" spans="1:2">
      <c r="A36" s="82" t="s">
        <v>100</v>
      </c>
      <c r="B36" s="70" t="s">
        <v>101</v>
      </c>
    </row>
    <row r="37" spans="1:2">
      <c r="A37" s="71" t="s">
        <v>102</v>
      </c>
      <c r="B37" s="70" t="s">
        <v>103</v>
      </c>
    </row>
    <row r="38" spans="1:2">
      <c r="A38" s="71" t="s">
        <v>104</v>
      </c>
      <c r="B38" s="70" t="s">
        <v>105</v>
      </c>
    </row>
    <row r="39" spans="1:2">
      <c r="A39" s="83"/>
    </row>
  </sheetData>
  <sheetProtection formatCells="0" insertHyperlinks="0" autoFilter="0"/>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9285714285714" defaultRowHeight="16.8"/>
  <sheetData/>
  <sheetProtection formatCells="0" insertHyperlinks="0" autoFilter="0"/>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9285714285714" defaultRowHeight="16.8" outlineLevelCol="1"/>
  <cols>
    <col min="1" max="1" width="30.7767857142857" style="65" customWidth="1"/>
    <col min="2" max="2" width="21.8928571428571" customWidth="1"/>
    <col min="257" max="257" width="30.7767857142857" customWidth="1"/>
    <col min="258" max="258" width="21.8928571428571" customWidth="1"/>
    <col min="513" max="513" width="30.7767857142857" customWidth="1"/>
    <col min="514" max="514" width="21.8928571428571" customWidth="1"/>
    <col min="769" max="769" width="30.7767857142857" customWidth="1"/>
    <col min="770" max="770" width="21.8928571428571" customWidth="1"/>
    <col min="1025" max="1025" width="30.7767857142857" customWidth="1"/>
    <col min="1026" max="1026" width="21.8928571428571" customWidth="1"/>
    <col min="1281" max="1281" width="30.7767857142857" customWidth="1"/>
    <col min="1282" max="1282" width="21.8928571428571" customWidth="1"/>
    <col min="1537" max="1537" width="30.7767857142857" customWidth="1"/>
    <col min="1538" max="1538" width="21.8928571428571" customWidth="1"/>
    <col min="1793" max="1793" width="30.7767857142857" customWidth="1"/>
    <col min="1794" max="1794" width="21.8928571428571" customWidth="1"/>
    <col min="2049" max="2049" width="30.7767857142857" customWidth="1"/>
    <col min="2050" max="2050" width="21.8928571428571" customWidth="1"/>
    <col min="2305" max="2305" width="30.7767857142857" customWidth="1"/>
    <col min="2306" max="2306" width="21.8928571428571" customWidth="1"/>
    <col min="2561" max="2561" width="30.7767857142857" customWidth="1"/>
    <col min="2562" max="2562" width="21.8928571428571" customWidth="1"/>
    <col min="2817" max="2817" width="30.7767857142857" customWidth="1"/>
    <col min="2818" max="2818" width="21.8928571428571" customWidth="1"/>
    <col min="3073" max="3073" width="30.7767857142857" customWidth="1"/>
    <col min="3074" max="3074" width="21.8928571428571" customWidth="1"/>
    <col min="3329" max="3329" width="30.7767857142857" customWidth="1"/>
    <col min="3330" max="3330" width="21.8928571428571" customWidth="1"/>
    <col min="3585" max="3585" width="30.7767857142857" customWidth="1"/>
    <col min="3586" max="3586" width="21.8928571428571" customWidth="1"/>
    <col min="3841" max="3841" width="30.7767857142857" customWidth="1"/>
    <col min="3842" max="3842" width="21.8928571428571" customWidth="1"/>
    <col min="4097" max="4097" width="30.7767857142857" customWidth="1"/>
    <col min="4098" max="4098" width="21.8928571428571" customWidth="1"/>
    <col min="4353" max="4353" width="30.7767857142857" customWidth="1"/>
    <col min="4354" max="4354" width="21.8928571428571" customWidth="1"/>
    <col min="4609" max="4609" width="30.7767857142857" customWidth="1"/>
    <col min="4610" max="4610" width="21.8928571428571" customWidth="1"/>
    <col min="4865" max="4865" width="30.7767857142857" customWidth="1"/>
    <col min="4866" max="4866" width="21.8928571428571" customWidth="1"/>
    <col min="5121" max="5121" width="30.7767857142857" customWidth="1"/>
    <col min="5122" max="5122" width="21.8928571428571" customWidth="1"/>
    <col min="5377" max="5377" width="30.7767857142857" customWidth="1"/>
    <col min="5378" max="5378" width="21.8928571428571" customWidth="1"/>
    <col min="5633" max="5633" width="30.7767857142857" customWidth="1"/>
    <col min="5634" max="5634" width="21.8928571428571" customWidth="1"/>
    <col min="5889" max="5889" width="30.7767857142857" customWidth="1"/>
    <col min="5890" max="5890" width="21.8928571428571" customWidth="1"/>
    <col min="6145" max="6145" width="30.7767857142857" customWidth="1"/>
    <col min="6146" max="6146" width="21.8928571428571" customWidth="1"/>
    <col min="6401" max="6401" width="30.7767857142857" customWidth="1"/>
    <col min="6402" max="6402" width="21.8928571428571" customWidth="1"/>
    <col min="6657" max="6657" width="30.7767857142857" customWidth="1"/>
    <col min="6658" max="6658" width="21.8928571428571" customWidth="1"/>
    <col min="6913" max="6913" width="30.7767857142857" customWidth="1"/>
    <col min="6914" max="6914" width="21.8928571428571" customWidth="1"/>
    <col min="7169" max="7169" width="30.7767857142857" customWidth="1"/>
    <col min="7170" max="7170" width="21.8928571428571" customWidth="1"/>
    <col min="7425" max="7425" width="30.7767857142857" customWidth="1"/>
    <col min="7426" max="7426" width="21.8928571428571" customWidth="1"/>
    <col min="7681" max="7681" width="30.7767857142857" customWidth="1"/>
    <col min="7682" max="7682" width="21.8928571428571" customWidth="1"/>
    <col min="7937" max="7937" width="30.7767857142857" customWidth="1"/>
    <col min="7938" max="7938" width="21.8928571428571" customWidth="1"/>
    <col min="8193" max="8193" width="30.7767857142857" customWidth="1"/>
    <col min="8194" max="8194" width="21.8928571428571" customWidth="1"/>
    <col min="8449" max="8449" width="30.7767857142857" customWidth="1"/>
    <col min="8450" max="8450" width="21.8928571428571" customWidth="1"/>
    <col min="8705" max="8705" width="30.7767857142857" customWidth="1"/>
    <col min="8706" max="8706" width="21.8928571428571" customWidth="1"/>
    <col min="8961" max="8961" width="30.7767857142857" customWidth="1"/>
    <col min="8962" max="8962" width="21.8928571428571" customWidth="1"/>
    <col min="9217" max="9217" width="30.7767857142857" customWidth="1"/>
    <col min="9218" max="9218" width="21.8928571428571" customWidth="1"/>
    <col min="9473" max="9473" width="30.7767857142857" customWidth="1"/>
    <col min="9474" max="9474" width="21.8928571428571" customWidth="1"/>
    <col min="9729" max="9729" width="30.7767857142857" customWidth="1"/>
    <col min="9730" max="9730" width="21.8928571428571" customWidth="1"/>
    <col min="9985" max="9985" width="30.7767857142857" customWidth="1"/>
    <col min="9986" max="9986" width="21.8928571428571" customWidth="1"/>
    <col min="10241" max="10241" width="30.7767857142857" customWidth="1"/>
    <col min="10242" max="10242" width="21.8928571428571" customWidth="1"/>
    <col min="10497" max="10497" width="30.7767857142857" customWidth="1"/>
    <col min="10498" max="10498" width="21.8928571428571" customWidth="1"/>
    <col min="10753" max="10753" width="30.7767857142857" customWidth="1"/>
    <col min="10754" max="10754" width="21.8928571428571" customWidth="1"/>
    <col min="11009" max="11009" width="30.7767857142857" customWidth="1"/>
    <col min="11010" max="11010" width="21.8928571428571" customWidth="1"/>
    <col min="11265" max="11265" width="30.7767857142857" customWidth="1"/>
    <col min="11266" max="11266" width="21.8928571428571" customWidth="1"/>
    <col min="11521" max="11521" width="30.7767857142857" customWidth="1"/>
    <col min="11522" max="11522" width="21.8928571428571" customWidth="1"/>
    <col min="11777" max="11777" width="30.7767857142857" customWidth="1"/>
    <col min="11778" max="11778" width="21.8928571428571" customWidth="1"/>
    <col min="12033" max="12033" width="30.7767857142857" customWidth="1"/>
    <col min="12034" max="12034" width="21.8928571428571" customWidth="1"/>
    <col min="12289" max="12289" width="30.7767857142857" customWidth="1"/>
    <col min="12290" max="12290" width="21.8928571428571" customWidth="1"/>
    <col min="12545" max="12545" width="30.7767857142857" customWidth="1"/>
    <col min="12546" max="12546" width="21.8928571428571" customWidth="1"/>
    <col min="12801" max="12801" width="30.7767857142857" customWidth="1"/>
    <col min="12802" max="12802" width="21.8928571428571" customWidth="1"/>
    <col min="13057" max="13057" width="30.7767857142857" customWidth="1"/>
    <col min="13058" max="13058" width="21.8928571428571" customWidth="1"/>
    <col min="13313" max="13313" width="30.7767857142857" customWidth="1"/>
    <col min="13314" max="13314" width="21.8928571428571" customWidth="1"/>
    <col min="13569" max="13569" width="30.7767857142857" customWidth="1"/>
    <col min="13570" max="13570" width="21.8928571428571" customWidth="1"/>
    <col min="13825" max="13825" width="30.7767857142857" customWidth="1"/>
    <col min="13826" max="13826" width="21.8928571428571" customWidth="1"/>
    <col min="14081" max="14081" width="30.7767857142857" customWidth="1"/>
    <col min="14082" max="14082" width="21.8928571428571" customWidth="1"/>
    <col min="14337" max="14337" width="30.7767857142857" customWidth="1"/>
    <col min="14338" max="14338" width="21.8928571428571" customWidth="1"/>
    <col min="14593" max="14593" width="30.7767857142857" customWidth="1"/>
    <col min="14594" max="14594" width="21.8928571428571" customWidth="1"/>
    <col min="14849" max="14849" width="30.7767857142857" customWidth="1"/>
    <col min="14850" max="14850" width="21.8928571428571" customWidth="1"/>
    <col min="15105" max="15105" width="30.7767857142857" customWidth="1"/>
    <col min="15106" max="15106" width="21.8928571428571" customWidth="1"/>
    <col min="15361" max="15361" width="30.7767857142857" customWidth="1"/>
    <col min="15362" max="15362" width="21.8928571428571" customWidth="1"/>
    <col min="15617" max="15617" width="30.7767857142857" customWidth="1"/>
    <col min="15618" max="15618" width="21.8928571428571" customWidth="1"/>
    <col min="15873" max="15873" width="30.7767857142857" customWidth="1"/>
    <col min="15874" max="15874" width="21.8928571428571" customWidth="1"/>
    <col min="16129" max="16129" width="30.7767857142857" customWidth="1"/>
    <col min="16130" max="16130" width="21.8928571428571" customWidth="1"/>
  </cols>
  <sheetData>
    <row r="1" s="64" customFormat="1" spans="1:2">
      <c r="A1" s="66" t="s">
        <v>106</v>
      </c>
      <c r="B1" s="67" t="s">
        <v>10</v>
      </c>
    </row>
    <row r="2" spans="1:2">
      <c r="A2" s="65" t="s">
        <v>107</v>
      </c>
      <c r="B2" s="62" t="s">
        <v>108</v>
      </c>
    </row>
    <row r="3" spans="1:2">
      <c r="A3" s="65" t="s">
        <v>109</v>
      </c>
      <c r="B3" s="62" t="s">
        <v>110</v>
      </c>
    </row>
    <row r="4" spans="1:2">
      <c r="A4" s="65" t="s">
        <v>111</v>
      </c>
      <c r="B4" s="62" t="s">
        <v>112</v>
      </c>
    </row>
    <row r="5" spans="1:2">
      <c r="A5" s="65" t="s">
        <v>113</v>
      </c>
      <c r="B5" s="62" t="s">
        <v>114</v>
      </c>
    </row>
    <row r="6" spans="1:2">
      <c r="A6" s="65" t="s">
        <v>115</v>
      </c>
      <c r="B6" s="62" t="s">
        <v>116</v>
      </c>
    </row>
    <row r="7" spans="1:2">
      <c r="A7" s="65" t="s">
        <v>117</v>
      </c>
      <c r="B7" s="62" t="s">
        <v>118</v>
      </c>
    </row>
    <row r="8" spans="1:2">
      <c r="A8" s="65" t="s">
        <v>119</v>
      </c>
      <c r="B8" s="62" t="s">
        <v>120</v>
      </c>
    </row>
    <row r="9" spans="1:2">
      <c r="A9" s="65" t="s">
        <v>121</v>
      </c>
      <c r="B9" s="62" t="s">
        <v>122</v>
      </c>
    </row>
    <row r="10" spans="1:2">
      <c r="A10" s="65" t="s">
        <v>123</v>
      </c>
      <c r="B10" s="62" t="s">
        <v>124</v>
      </c>
    </row>
    <row r="11" spans="1:2">
      <c r="A11" s="65" t="s">
        <v>125</v>
      </c>
      <c r="B11" s="68" t="s">
        <v>126</v>
      </c>
    </row>
    <row r="12" spans="1:2">
      <c r="A12" s="65" t="s">
        <v>127</v>
      </c>
      <c r="B12" s="68" t="s">
        <v>128</v>
      </c>
    </row>
    <row r="13" spans="1:2">
      <c r="A13" s="65" t="s">
        <v>129</v>
      </c>
      <c r="B13" s="62" t="s">
        <v>130</v>
      </c>
    </row>
    <row r="14" spans="1:2">
      <c r="A14" s="65" t="s">
        <v>131</v>
      </c>
      <c r="B14" s="62" t="s">
        <v>132</v>
      </c>
    </row>
    <row r="15" spans="1:2">
      <c r="A15" s="65" t="s">
        <v>133</v>
      </c>
      <c r="B15" s="62" t="s">
        <v>134</v>
      </c>
    </row>
    <row r="16" spans="1:2">
      <c r="A16" s="65" t="s">
        <v>135</v>
      </c>
      <c r="B16" s="62" t="s">
        <v>136</v>
      </c>
    </row>
    <row r="17" spans="1:2">
      <c r="A17" s="65" t="s">
        <v>137</v>
      </c>
      <c r="B17" s="62" t="s">
        <v>138</v>
      </c>
    </row>
    <row r="18" spans="1:2">
      <c r="A18" s="65" t="s">
        <v>139</v>
      </c>
      <c r="B18" s="62" t="s">
        <v>140</v>
      </c>
    </row>
    <row r="19" spans="1:2">
      <c r="A19" s="65" t="s">
        <v>141</v>
      </c>
      <c r="B19" s="62" t="s">
        <v>142</v>
      </c>
    </row>
    <row r="20" spans="1:2">
      <c r="A20" s="65" t="s">
        <v>143</v>
      </c>
      <c r="B20" s="62" t="s">
        <v>144</v>
      </c>
    </row>
    <row r="21" spans="1:2">
      <c r="A21" s="65" t="s">
        <v>145</v>
      </c>
      <c r="B21" s="62" t="s">
        <v>146</v>
      </c>
    </row>
    <row r="22" spans="1:2">
      <c r="A22" s="65" t="s">
        <v>147</v>
      </c>
      <c r="B22" s="68" t="s">
        <v>148</v>
      </c>
    </row>
    <row r="23" spans="1:2">
      <c r="A23" s="65" t="s">
        <v>149</v>
      </c>
      <c r="B23" s="62" t="s">
        <v>150</v>
      </c>
    </row>
    <row r="24" spans="1:2">
      <c r="A24" s="65" t="s">
        <v>151</v>
      </c>
      <c r="B24" s="62" t="s">
        <v>152</v>
      </c>
    </row>
    <row r="25" spans="1:2">
      <c r="A25" s="65" t="s">
        <v>153</v>
      </c>
      <c r="B25" s="62" t="s">
        <v>154</v>
      </c>
    </row>
    <row r="26" spans="1:2">
      <c r="A26" s="65" t="s">
        <v>155</v>
      </c>
      <c r="B26" s="62" t="s">
        <v>156</v>
      </c>
    </row>
    <row r="27" spans="1:2">
      <c r="A27" s="65" t="s">
        <v>157</v>
      </c>
      <c r="B27" s="62" t="s">
        <v>158</v>
      </c>
    </row>
    <row r="28" spans="1:2">
      <c r="A28" s="65" t="s">
        <v>159</v>
      </c>
      <c r="B28" s="62" t="s">
        <v>160</v>
      </c>
    </row>
    <row r="29" spans="1:2">
      <c r="A29" s="65" t="s">
        <v>161</v>
      </c>
      <c r="B29" s="62" t="s">
        <v>162</v>
      </c>
    </row>
    <row r="30" spans="1:2">
      <c r="A30" s="65" t="s">
        <v>163</v>
      </c>
      <c r="B30" s="68" t="s">
        <v>164</v>
      </c>
    </row>
    <row r="31" spans="1:2">
      <c r="A31" s="65" t="s">
        <v>165</v>
      </c>
      <c r="B31" s="68" t="s">
        <v>166</v>
      </c>
    </row>
    <row r="32" spans="1:2">
      <c r="A32" s="65" t="s">
        <v>167</v>
      </c>
      <c r="B32" s="68" t="s">
        <v>168</v>
      </c>
    </row>
    <row r="33" spans="1:2">
      <c r="A33" s="65" t="s">
        <v>169</v>
      </c>
      <c r="B33" s="68" t="s">
        <v>170</v>
      </c>
    </row>
    <row r="34" spans="1:2">
      <c r="A34" s="65" t="s">
        <v>171</v>
      </c>
      <c r="B34" s="68" t="s">
        <v>172</v>
      </c>
    </row>
    <row r="35" spans="1:2">
      <c r="A35" s="65" t="s">
        <v>173</v>
      </c>
      <c r="B35" s="68" t="s">
        <v>174</v>
      </c>
    </row>
    <row r="36" spans="1:2">
      <c r="A36" s="65" t="s">
        <v>175</v>
      </c>
      <c r="B36" s="68" t="s">
        <v>176</v>
      </c>
    </row>
    <row r="37" spans="1:2">
      <c r="A37" s="65" t="s">
        <v>177</v>
      </c>
      <c r="B37" s="62" t="s">
        <v>178</v>
      </c>
    </row>
    <row r="38" spans="1:2">
      <c r="A38" s="65" t="s">
        <v>179</v>
      </c>
      <c r="B38" s="62" t="s">
        <v>180</v>
      </c>
    </row>
    <row r="39" spans="1:2">
      <c r="A39" s="65" t="s">
        <v>181</v>
      </c>
      <c r="B39" s="68" t="s">
        <v>182</v>
      </c>
    </row>
    <row r="40" spans="1:2">
      <c r="A40" s="65" t="s">
        <v>183</v>
      </c>
      <c r="B40" s="68" t="s">
        <v>184</v>
      </c>
    </row>
    <row r="41" spans="1:2">
      <c r="A41" s="65" t="s">
        <v>185</v>
      </c>
      <c r="B41" s="68" t="s">
        <v>186</v>
      </c>
    </row>
    <row r="42" spans="1:2">
      <c r="A42" s="65" t="s">
        <v>187</v>
      </c>
      <c r="B42" s="68" t="s">
        <v>188</v>
      </c>
    </row>
    <row r="43" spans="1:2">
      <c r="A43" s="65" t="s">
        <v>189</v>
      </c>
      <c r="B43" s="62" t="s">
        <v>190</v>
      </c>
    </row>
    <row r="44" spans="1:2">
      <c r="A44" s="65" t="s">
        <v>191</v>
      </c>
      <c r="B44" s="62" t="s">
        <v>192</v>
      </c>
    </row>
    <row r="45" spans="1:2">
      <c r="A45" s="65" t="s">
        <v>193</v>
      </c>
      <c r="B45" s="62" t="s">
        <v>194</v>
      </c>
    </row>
    <row r="46" spans="1:2">
      <c r="A46" s="65" t="s">
        <v>195</v>
      </c>
      <c r="B46" s="62" t="s">
        <v>196</v>
      </c>
    </row>
    <row r="47" spans="1:2">
      <c r="A47" s="65" t="s">
        <v>197</v>
      </c>
      <c r="B47" s="62" t="s">
        <v>198</v>
      </c>
    </row>
    <row r="48" spans="1:2">
      <c r="A48" s="65" t="s">
        <v>199</v>
      </c>
      <c r="B48" s="62" t="s">
        <v>200</v>
      </c>
    </row>
    <row r="49" spans="1:2">
      <c r="A49" s="65" t="s">
        <v>201</v>
      </c>
      <c r="B49" s="62" t="s">
        <v>202</v>
      </c>
    </row>
    <row r="50" spans="1:2">
      <c r="A50" s="65" t="s">
        <v>203</v>
      </c>
      <c r="B50" s="62" t="s">
        <v>204</v>
      </c>
    </row>
    <row r="51" spans="1:2">
      <c r="A51" s="65" t="s">
        <v>205</v>
      </c>
      <c r="B51" s="62" t="s">
        <v>206</v>
      </c>
    </row>
    <row r="52" spans="1:2">
      <c r="A52" s="65" t="s">
        <v>207</v>
      </c>
      <c r="B52" s="68" t="s">
        <v>208</v>
      </c>
    </row>
    <row r="53" spans="1:2">
      <c r="A53" s="65" t="s">
        <v>209</v>
      </c>
      <c r="B53" s="62" t="s">
        <v>210</v>
      </c>
    </row>
    <row r="54" spans="1:2">
      <c r="A54" s="65" t="s">
        <v>211</v>
      </c>
      <c r="B54" s="62" t="s">
        <v>212</v>
      </c>
    </row>
    <row r="55" spans="1:2">
      <c r="A55" s="65" t="s">
        <v>213</v>
      </c>
      <c r="B55" s="62" t="s">
        <v>214</v>
      </c>
    </row>
    <row r="56" spans="1:2">
      <c r="A56" s="65" t="s">
        <v>215</v>
      </c>
      <c r="B56" s="62" t="s">
        <v>216</v>
      </c>
    </row>
    <row r="57" spans="1:2">
      <c r="A57" s="65" t="s">
        <v>217</v>
      </c>
      <c r="B57" s="62" t="s">
        <v>218</v>
      </c>
    </row>
    <row r="58" spans="1:2">
      <c r="A58" s="65" t="s">
        <v>219</v>
      </c>
      <c r="B58" s="62" t="s">
        <v>220</v>
      </c>
    </row>
    <row r="59" spans="1:2">
      <c r="A59" s="65" t="s">
        <v>221</v>
      </c>
      <c r="B59" s="62" t="s">
        <v>222</v>
      </c>
    </row>
    <row r="60" spans="1:2">
      <c r="A60" s="65" t="s">
        <v>223</v>
      </c>
      <c r="B60" s="62" t="s">
        <v>224</v>
      </c>
    </row>
    <row r="61" spans="1:2">
      <c r="A61" s="65" t="s">
        <v>225</v>
      </c>
      <c r="B61" s="68" t="s">
        <v>226</v>
      </c>
    </row>
    <row r="62" spans="1:2">
      <c r="A62" s="65" t="s">
        <v>227</v>
      </c>
      <c r="B62" s="68" t="s">
        <v>128</v>
      </c>
    </row>
    <row r="63" spans="1:2">
      <c r="A63" s="65" t="s">
        <v>228</v>
      </c>
      <c r="B63" s="62" t="s">
        <v>92</v>
      </c>
    </row>
    <row r="64" spans="1:2">
      <c r="A64" s="65" t="s">
        <v>229</v>
      </c>
      <c r="B64" s="62" t="s">
        <v>230</v>
      </c>
    </row>
    <row r="65" spans="1:2">
      <c r="A65" s="65" t="s">
        <v>231</v>
      </c>
      <c r="B65" s="62" t="s">
        <v>232</v>
      </c>
    </row>
    <row r="66" spans="1:2">
      <c r="A66" s="65" t="s">
        <v>233</v>
      </c>
      <c r="B66" s="62" t="s">
        <v>234</v>
      </c>
    </row>
    <row r="67" spans="1:2">
      <c r="A67" s="65" t="s">
        <v>235</v>
      </c>
      <c r="B67" s="62" t="s">
        <v>236</v>
      </c>
    </row>
    <row r="68" spans="1:2">
      <c r="A68" s="65" t="s">
        <v>237</v>
      </c>
      <c r="B68" s="62" t="s">
        <v>238</v>
      </c>
    </row>
    <row r="69" spans="1:2">
      <c r="A69" s="65" t="s">
        <v>239</v>
      </c>
      <c r="B69" s="62" t="s">
        <v>240</v>
      </c>
    </row>
    <row r="70" spans="1:2">
      <c r="A70" s="65" t="s">
        <v>241</v>
      </c>
      <c r="B70" s="90" t="s">
        <v>242</v>
      </c>
    </row>
    <row r="71" spans="1:2">
      <c r="A71" s="65" t="s">
        <v>243</v>
      </c>
      <c r="B71" s="62" t="s">
        <v>244</v>
      </c>
    </row>
    <row r="72" spans="1:2">
      <c r="A72" s="65" t="s">
        <v>245</v>
      </c>
      <c r="B72" s="62" t="s">
        <v>246</v>
      </c>
    </row>
    <row r="73" spans="1:2">
      <c r="A73" s="65" t="s">
        <v>247</v>
      </c>
      <c r="B73" s="62" t="s">
        <v>248</v>
      </c>
    </row>
    <row r="74" spans="1:2">
      <c r="A74" s="65" t="s">
        <v>249</v>
      </c>
      <c r="B74" s="62" t="s">
        <v>250</v>
      </c>
    </row>
    <row r="75" spans="1:2">
      <c r="A75" s="65" t="s">
        <v>251</v>
      </c>
      <c r="B75" s="68" t="s">
        <v>252</v>
      </c>
    </row>
    <row r="76" spans="1:2">
      <c r="A76" s="65" t="s">
        <v>253</v>
      </c>
      <c r="B76" s="68" t="s">
        <v>254</v>
      </c>
    </row>
    <row r="77" spans="1:2">
      <c r="A77" s="65" t="s">
        <v>255</v>
      </c>
      <c r="B77" s="62" t="s">
        <v>256</v>
      </c>
    </row>
    <row r="78" spans="1:2">
      <c r="A78" s="65" t="s">
        <v>257</v>
      </c>
      <c r="B78" s="62" t="s">
        <v>258</v>
      </c>
    </row>
    <row r="79" spans="1:2">
      <c r="A79" s="65" t="s">
        <v>259</v>
      </c>
      <c r="B79" s="62" t="s">
        <v>260</v>
      </c>
    </row>
    <row r="80" spans="1:2">
      <c r="A80" s="65" t="s">
        <v>261</v>
      </c>
      <c r="B80" s="62" t="s">
        <v>262</v>
      </c>
    </row>
    <row r="81" spans="1:2">
      <c r="A81" s="65" t="s">
        <v>263</v>
      </c>
      <c r="B81" s="62" t="s">
        <v>264</v>
      </c>
    </row>
    <row r="82" spans="1:2">
      <c r="A82" s="65" t="s">
        <v>265</v>
      </c>
      <c r="B82" s="62" t="s">
        <v>266</v>
      </c>
    </row>
    <row r="83" spans="1:2">
      <c r="A83" s="65" t="s">
        <v>267</v>
      </c>
      <c r="B83" s="62" t="s">
        <v>268</v>
      </c>
    </row>
    <row r="84" spans="1:2">
      <c r="A84" s="65" t="s">
        <v>269</v>
      </c>
      <c r="B84" s="68" t="s">
        <v>270</v>
      </c>
    </row>
    <row r="85" spans="1:2">
      <c r="A85" s="65" t="s">
        <v>271</v>
      </c>
      <c r="B85" s="68" t="s">
        <v>272</v>
      </c>
    </row>
    <row r="86" spans="1:2">
      <c r="A86" s="65" t="s">
        <v>273</v>
      </c>
      <c r="B86" s="68" t="s">
        <v>274</v>
      </c>
    </row>
    <row r="87" spans="1:2">
      <c r="A87" s="65" t="s">
        <v>275</v>
      </c>
      <c r="B87" s="68" t="s">
        <v>276</v>
      </c>
    </row>
    <row r="88" spans="1:2">
      <c r="A88" s="65" t="s">
        <v>277</v>
      </c>
      <c r="B88" s="68" t="s">
        <v>278</v>
      </c>
    </row>
    <row r="89" spans="1:2">
      <c r="A89" s="65" t="s">
        <v>279</v>
      </c>
      <c r="B89" s="62" t="s">
        <v>188</v>
      </c>
    </row>
    <row r="90" spans="1:2">
      <c r="A90" s="65" t="s">
        <v>280</v>
      </c>
      <c r="B90" s="68" t="s">
        <v>281</v>
      </c>
    </row>
    <row r="91" spans="1:2">
      <c r="A91" s="65" t="s">
        <v>282</v>
      </c>
      <c r="B91" s="68" t="s">
        <v>170</v>
      </c>
    </row>
    <row r="92" spans="1:2">
      <c r="A92" s="65" t="s">
        <v>283</v>
      </c>
      <c r="B92" s="68" t="s">
        <v>284</v>
      </c>
    </row>
    <row r="93" spans="1:2">
      <c r="A93" s="65" t="s">
        <v>285</v>
      </c>
      <c r="B93" s="68" t="s">
        <v>286</v>
      </c>
    </row>
    <row r="94" spans="1:2">
      <c r="A94" s="65" t="s">
        <v>287</v>
      </c>
      <c r="B94" s="68" t="s">
        <v>288</v>
      </c>
    </row>
    <row r="95" spans="1:2">
      <c r="A95" s="65" t="s">
        <v>289</v>
      </c>
      <c r="B95" s="68" t="s">
        <v>281</v>
      </c>
    </row>
    <row r="96" spans="1:2">
      <c r="A96" s="65" t="s">
        <v>290</v>
      </c>
      <c r="B96" s="68" t="s">
        <v>170</v>
      </c>
    </row>
    <row r="97" spans="1:2">
      <c r="A97" s="65" t="s">
        <v>291</v>
      </c>
      <c r="B97" s="68" t="s">
        <v>284</v>
      </c>
    </row>
    <row r="98" spans="1:2">
      <c r="A98" s="65" t="s">
        <v>292</v>
      </c>
      <c r="B98" s="68" t="s">
        <v>293</v>
      </c>
    </row>
    <row r="99" spans="1:2">
      <c r="A99" s="65" t="s">
        <v>294</v>
      </c>
      <c r="B99" s="68" t="s">
        <v>295</v>
      </c>
    </row>
    <row r="100" spans="1:2">
      <c r="A100" s="65" t="s">
        <v>296</v>
      </c>
      <c r="B100" s="68" t="s">
        <v>297</v>
      </c>
    </row>
    <row r="101" spans="1:2">
      <c r="A101" s="65" t="s">
        <v>298</v>
      </c>
      <c r="B101" s="62" t="s">
        <v>299</v>
      </c>
    </row>
    <row r="102" spans="1:2">
      <c r="A102" s="65" t="s">
        <v>300</v>
      </c>
      <c r="B102" s="62" t="s">
        <v>301</v>
      </c>
    </row>
    <row r="103" spans="1:2">
      <c r="A103" s="65" t="s">
        <v>302</v>
      </c>
      <c r="B103" s="68" t="s">
        <v>303</v>
      </c>
    </row>
    <row r="104" spans="1:2">
      <c r="A104" s="65" t="s">
        <v>304</v>
      </c>
      <c r="B104" s="68" t="s">
        <v>284</v>
      </c>
    </row>
    <row r="105" spans="1:2">
      <c r="A105" s="65" t="s">
        <v>305</v>
      </c>
      <c r="B105" s="62" t="s">
        <v>306</v>
      </c>
    </row>
    <row r="106" spans="1:2">
      <c r="A106" s="65" t="s">
        <v>307</v>
      </c>
      <c r="B106" s="68" t="s">
        <v>308</v>
      </c>
    </row>
    <row r="107" spans="1:2">
      <c r="A107" s="65" t="s">
        <v>309</v>
      </c>
      <c r="B107" s="68" t="s">
        <v>310</v>
      </c>
    </row>
    <row r="108" spans="1:2">
      <c r="A108" s="65" t="s">
        <v>311</v>
      </c>
      <c r="B108" s="62" t="s">
        <v>312</v>
      </c>
    </row>
    <row r="109" spans="1:2">
      <c r="A109" s="65" t="s">
        <v>313</v>
      </c>
      <c r="B109" s="62" t="s">
        <v>314</v>
      </c>
    </row>
    <row r="110" spans="1:2">
      <c r="A110" s="65" t="s">
        <v>315</v>
      </c>
      <c r="B110" s="62" t="s">
        <v>316</v>
      </c>
    </row>
    <row r="111" spans="1:2">
      <c r="A111" s="65" t="s">
        <v>317</v>
      </c>
      <c r="B111" s="62" t="s">
        <v>318</v>
      </c>
    </row>
    <row r="112" spans="1:2">
      <c r="A112" s="65" t="s">
        <v>319</v>
      </c>
      <c r="B112" s="68" t="s">
        <v>320</v>
      </c>
    </row>
    <row r="113" spans="1:2">
      <c r="A113" s="65" t="s">
        <v>321</v>
      </c>
      <c r="B113" s="62" t="s">
        <v>322</v>
      </c>
    </row>
    <row r="114" spans="1:2">
      <c r="A114" s="65" t="s">
        <v>323</v>
      </c>
      <c r="B114" s="62" t="s">
        <v>324</v>
      </c>
    </row>
    <row r="115" spans="1:2">
      <c r="A115" s="65" t="s">
        <v>325</v>
      </c>
      <c r="B115" s="62" t="s">
        <v>326</v>
      </c>
    </row>
    <row r="116" spans="1:2">
      <c r="A116" s="65" t="s">
        <v>327</v>
      </c>
      <c r="B116" s="62" t="s">
        <v>328</v>
      </c>
    </row>
    <row r="117" spans="1:2">
      <c r="A117" s="65" t="s">
        <v>329</v>
      </c>
      <c r="B117" s="62" t="s">
        <v>330</v>
      </c>
    </row>
    <row r="118" spans="1:2">
      <c r="A118" s="65" t="s">
        <v>331</v>
      </c>
      <c r="B118" s="62" t="s">
        <v>332</v>
      </c>
    </row>
    <row r="119" spans="1:2">
      <c r="A119" s="65" t="s">
        <v>333</v>
      </c>
      <c r="B119" s="62" t="s">
        <v>334</v>
      </c>
    </row>
    <row r="120" spans="1:2">
      <c r="A120" s="65" t="s">
        <v>335</v>
      </c>
      <c r="B120" s="62" t="s">
        <v>336</v>
      </c>
    </row>
    <row r="121" spans="1:2">
      <c r="A121" s="65" t="s">
        <v>337</v>
      </c>
      <c r="B121" s="62" t="s">
        <v>338</v>
      </c>
    </row>
    <row r="122" spans="1:2">
      <c r="A122" s="65" t="s">
        <v>339</v>
      </c>
      <c r="B122" s="68" t="s">
        <v>340</v>
      </c>
    </row>
    <row r="123" spans="1:2">
      <c r="A123" s="65" t="s">
        <v>341</v>
      </c>
      <c r="B123" s="68" t="s">
        <v>188</v>
      </c>
    </row>
    <row r="124" spans="1:2">
      <c r="A124" s="65" t="s">
        <v>342</v>
      </c>
      <c r="B124" s="62" t="s">
        <v>343</v>
      </c>
    </row>
    <row r="125" spans="1:2">
      <c r="A125" s="65" t="s">
        <v>344</v>
      </c>
      <c r="B125" s="62" t="s">
        <v>345</v>
      </c>
    </row>
    <row r="126" spans="1:2">
      <c r="A126" s="65" t="s">
        <v>346</v>
      </c>
      <c r="B126" s="62" t="s">
        <v>347</v>
      </c>
    </row>
    <row r="127" spans="1:2">
      <c r="A127" s="65" t="s">
        <v>348</v>
      </c>
      <c r="B127" s="62" t="s">
        <v>349</v>
      </c>
    </row>
    <row r="128" spans="1:2">
      <c r="A128" s="65" t="s">
        <v>350</v>
      </c>
      <c r="B128" s="62" t="s">
        <v>351</v>
      </c>
    </row>
    <row r="129" spans="1:2">
      <c r="A129" s="65" t="s">
        <v>352</v>
      </c>
      <c r="B129" s="68" t="s">
        <v>353</v>
      </c>
    </row>
    <row r="130" spans="1:2">
      <c r="A130" s="65" t="s">
        <v>354</v>
      </c>
      <c r="B130" s="62" t="s">
        <v>188</v>
      </c>
    </row>
    <row r="131" spans="1:2">
      <c r="A131" s="65" t="s">
        <v>355</v>
      </c>
      <c r="B131" s="62" t="s">
        <v>356</v>
      </c>
    </row>
    <row r="132" spans="1:2">
      <c r="A132" s="65" t="s">
        <v>357</v>
      </c>
      <c r="B132" s="62" t="s">
        <v>358</v>
      </c>
    </row>
    <row r="133" spans="1:2">
      <c r="A133" s="65" t="s">
        <v>359</v>
      </c>
      <c r="B133" s="68" t="s">
        <v>353</v>
      </c>
    </row>
    <row r="134" spans="1:2">
      <c r="A134" s="65" t="s">
        <v>360</v>
      </c>
      <c r="B134" s="62" t="s">
        <v>188</v>
      </c>
    </row>
    <row r="135" spans="1:2">
      <c r="A135" s="65" t="s">
        <v>361</v>
      </c>
      <c r="B135" s="62" t="s">
        <v>362</v>
      </c>
    </row>
    <row r="136" spans="1:2">
      <c r="A136" s="65" t="s">
        <v>363</v>
      </c>
      <c r="B136" s="62" t="s">
        <v>364</v>
      </c>
    </row>
    <row r="137" spans="1:2">
      <c r="A137" s="65" t="s">
        <v>365</v>
      </c>
      <c r="B137" s="68" t="s">
        <v>353</v>
      </c>
    </row>
    <row r="138" spans="1:2">
      <c r="A138" s="65" t="s">
        <v>366</v>
      </c>
      <c r="B138" s="62" t="s">
        <v>188</v>
      </c>
    </row>
    <row r="139" spans="1:2">
      <c r="A139" s="65" t="s">
        <v>367</v>
      </c>
      <c r="B139" s="62" t="s">
        <v>368</v>
      </c>
    </row>
    <row r="140" spans="1:2">
      <c r="A140" s="65" t="s">
        <v>369</v>
      </c>
      <c r="B140" s="62" t="s">
        <v>370</v>
      </c>
    </row>
    <row r="141" spans="1:2">
      <c r="A141" s="65" t="s">
        <v>371</v>
      </c>
      <c r="B141" s="62" t="s">
        <v>372</v>
      </c>
    </row>
    <row r="142" spans="1:2">
      <c r="A142" s="65" t="s">
        <v>373</v>
      </c>
      <c r="B142" s="62" t="s">
        <v>374</v>
      </c>
    </row>
    <row r="143" spans="1:2">
      <c r="A143" s="65" t="s">
        <v>375</v>
      </c>
      <c r="B143" s="62" t="s">
        <v>376</v>
      </c>
    </row>
    <row r="144" spans="1:2">
      <c r="A144" s="65" t="s">
        <v>377</v>
      </c>
      <c r="B144" s="62" t="s">
        <v>378</v>
      </c>
    </row>
    <row r="145" spans="1:2">
      <c r="A145" s="65" t="s">
        <v>379</v>
      </c>
      <c r="B145" s="62" t="s">
        <v>380</v>
      </c>
    </row>
    <row r="146" spans="1:2">
      <c r="A146" s="65" t="s">
        <v>381</v>
      </c>
      <c r="B146" s="68" t="s">
        <v>382</v>
      </c>
    </row>
    <row r="147" spans="1:2">
      <c r="A147" s="65" t="s">
        <v>383</v>
      </c>
      <c r="B147" s="68" t="s">
        <v>384</v>
      </c>
    </row>
    <row r="148" spans="1:2">
      <c r="A148" s="65" t="s">
        <v>385</v>
      </c>
      <c r="B148" s="62" t="s">
        <v>386</v>
      </c>
    </row>
    <row r="149" spans="1:2">
      <c r="A149" s="65" t="s">
        <v>387</v>
      </c>
      <c r="B149" s="62" t="s">
        <v>388</v>
      </c>
    </row>
    <row r="150" spans="1:2">
      <c r="A150" s="65" t="s">
        <v>389</v>
      </c>
      <c r="B150" s="62" t="s">
        <v>390</v>
      </c>
    </row>
    <row r="151" spans="1:2">
      <c r="A151" s="65" t="s">
        <v>391</v>
      </c>
      <c r="B151" s="62" t="s">
        <v>392</v>
      </c>
    </row>
    <row r="152" spans="1:2">
      <c r="A152" s="65" t="s">
        <v>393</v>
      </c>
      <c r="B152" s="62" t="s">
        <v>394</v>
      </c>
    </row>
    <row r="153" spans="1:2">
      <c r="A153" s="65" t="s">
        <v>395</v>
      </c>
      <c r="B153" s="62" t="s">
        <v>396</v>
      </c>
    </row>
    <row r="154" spans="1:2">
      <c r="A154" s="65" t="s">
        <v>397</v>
      </c>
      <c r="B154" s="62" t="s">
        <v>398</v>
      </c>
    </row>
    <row r="155" spans="1:2">
      <c r="A155" s="65" t="s">
        <v>399</v>
      </c>
      <c r="B155" s="62" t="s">
        <v>400</v>
      </c>
    </row>
    <row r="156" spans="1:2">
      <c r="A156" s="65" t="s">
        <v>401</v>
      </c>
      <c r="B156" s="62" t="s">
        <v>402</v>
      </c>
    </row>
    <row r="157" spans="1:2">
      <c r="A157" s="65" t="s">
        <v>403</v>
      </c>
      <c r="B157" s="68" t="s">
        <v>404</v>
      </c>
    </row>
    <row r="158" spans="1:2">
      <c r="A158" s="65" t="s">
        <v>405</v>
      </c>
      <c r="B158" s="68" t="s">
        <v>406</v>
      </c>
    </row>
    <row r="159" spans="1:2">
      <c r="A159" s="65" t="s">
        <v>407</v>
      </c>
      <c r="B159" s="68" t="s">
        <v>408</v>
      </c>
    </row>
    <row r="160" spans="1:2">
      <c r="A160" s="65" t="s">
        <v>409</v>
      </c>
      <c r="B160" s="62" t="s">
        <v>188</v>
      </c>
    </row>
    <row r="161" spans="1:2">
      <c r="A161" s="65" t="s">
        <v>410</v>
      </c>
      <c r="B161" s="62" t="s">
        <v>411</v>
      </c>
    </row>
    <row r="162" spans="1:2">
      <c r="A162" s="65" t="s">
        <v>412</v>
      </c>
      <c r="B162" s="62" t="s">
        <v>413</v>
      </c>
    </row>
    <row r="163" spans="1:2">
      <c r="A163" s="65" t="s">
        <v>414</v>
      </c>
      <c r="B163" s="62" t="s">
        <v>415</v>
      </c>
    </row>
    <row r="164" spans="1:2">
      <c r="A164" s="65" t="s">
        <v>416</v>
      </c>
      <c r="B164" s="62" t="s">
        <v>417</v>
      </c>
    </row>
    <row r="165" spans="1:2">
      <c r="A165" s="65" t="s">
        <v>418</v>
      </c>
      <c r="B165" s="62" t="s">
        <v>419</v>
      </c>
    </row>
    <row r="166" spans="1:2">
      <c r="A166" s="65" t="s">
        <v>420</v>
      </c>
      <c r="B166" s="62" t="s">
        <v>421</v>
      </c>
    </row>
    <row r="167" spans="1:2">
      <c r="A167" s="65" t="s">
        <v>422</v>
      </c>
      <c r="B167" s="62" t="s">
        <v>423</v>
      </c>
    </row>
    <row r="168" spans="1:2">
      <c r="A168" s="65" t="s">
        <v>424</v>
      </c>
      <c r="B168" s="62" t="s">
        <v>425</v>
      </c>
    </row>
    <row r="169" spans="1:2">
      <c r="A169" s="65" t="s">
        <v>426</v>
      </c>
      <c r="B169" s="62" t="s">
        <v>427</v>
      </c>
    </row>
    <row r="170" spans="1:2">
      <c r="A170" s="65" t="s">
        <v>428</v>
      </c>
      <c r="B170" s="62" t="s">
        <v>429</v>
      </c>
    </row>
    <row r="171" spans="1:2">
      <c r="A171" s="65" t="s">
        <v>430</v>
      </c>
      <c r="B171" s="62" t="s">
        <v>431</v>
      </c>
    </row>
    <row r="172" spans="1:2">
      <c r="A172" s="65" t="s">
        <v>432</v>
      </c>
      <c r="B172" s="62" t="s">
        <v>433</v>
      </c>
    </row>
    <row r="173" spans="1:2">
      <c r="A173" s="65" t="s">
        <v>434</v>
      </c>
      <c r="B173" s="62" t="s">
        <v>435</v>
      </c>
    </row>
    <row r="174" spans="1:2">
      <c r="A174" s="65" t="s">
        <v>436</v>
      </c>
      <c r="B174" s="62" t="s">
        <v>437</v>
      </c>
    </row>
    <row r="175" spans="1:2">
      <c r="A175" s="65" t="s">
        <v>438</v>
      </c>
      <c r="B175" s="62" t="s">
        <v>439</v>
      </c>
    </row>
    <row r="176" spans="1:2">
      <c r="A176" s="65" t="s">
        <v>440</v>
      </c>
      <c r="B176" s="62" t="s">
        <v>441</v>
      </c>
    </row>
    <row r="177" spans="1:2">
      <c r="A177" s="65" t="s">
        <v>442</v>
      </c>
      <c r="B177" s="68" t="s">
        <v>443</v>
      </c>
    </row>
    <row r="178" spans="1:2">
      <c r="A178" s="65" t="s">
        <v>444</v>
      </c>
      <c r="B178" s="68" t="s">
        <v>188</v>
      </c>
    </row>
    <row r="179" spans="1:2">
      <c r="A179" s="65" t="s">
        <v>445</v>
      </c>
      <c r="B179" s="62" t="s">
        <v>446</v>
      </c>
    </row>
    <row r="180" spans="1:2">
      <c r="A180" s="65" t="s">
        <v>447</v>
      </c>
      <c r="B180" s="68" t="s">
        <v>448</v>
      </c>
    </row>
    <row r="181" spans="1:2">
      <c r="A181" s="65" t="s">
        <v>449</v>
      </c>
      <c r="B181" s="68" t="s">
        <v>450</v>
      </c>
    </row>
    <row r="182" spans="1:2">
      <c r="A182" s="65" t="s">
        <v>451</v>
      </c>
      <c r="B182" s="62" t="s">
        <v>452</v>
      </c>
    </row>
    <row r="183" spans="1:2">
      <c r="A183" s="65" t="s">
        <v>453</v>
      </c>
      <c r="B183" s="68" t="s">
        <v>454</v>
      </c>
    </row>
    <row r="184" spans="1:2">
      <c r="A184" s="65" t="s">
        <v>455</v>
      </c>
      <c r="B184" s="68" t="s">
        <v>188</v>
      </c>
    </row>
    <row r="185" s="62" customFormat="1" spans="1:2">
      <c r="A185" s="65" t="s">
        <v>456</v>
      </c>
      <c r="B185" s="62" t="s">
        <v>457</v>
      </c>
    </row>
    <row r="186" spans="1:2">
      <c r="A186" s="65" t="s">
        <v>458</v>
      </c>
      <c r="B186" s="62" t="s">
        <v>459</v>
      </c>
    </row>
    <row r="187" spans="1:2">
      <c r="A187" s="65" t="s">
        <v>460</v>
      </c>
      <c r="B187" s="62" t="s">
        <v>461</v>
      </c>
    </row>
    <row r="188" spans="1:2">
      <c r="A188" s="65" t="s">
        <v>462</v>
      </c>
      <c r="B188" s="62" t="s">
        <v>463</v>
      </c>
    </row>
    <row r="189" spans="1:2">
      <c r="A189" s="65" t="s">
        <v>464</v>
      </c>
      <c r="B189" s="62" t="s">
        <v>465</v>
      </c>
    </row>
    <row r="190" spans="1:2">
      <c r="A190" s="65" t="s">
        <v>466</v>
      </c>
      <c r="B190" s="62" t="s">
        <v>467</v>
      </c>
    </row>
    <row r="191" spans="1:2">
      <c r="A191" s="65" t="s">
        <v>468</v>
      </c>
      <c r="B191" s="62" t="s">
        <v>469</v>
      </c>
    </row>
    <row r="192" spans="1:2">
      <c r="A192" s="65" t="s">
        <v>470</v>
      </c>
      <c r="B192" s="62" t="s">
        <v>471</v>
      </c>
    </row>
    <row r="193" spans="1:2">
      <c r="A193" s="65" t="s">
        <v>472</v>
      </c>
      <c r="B193" s="62" t="s">
        <v>473</v>
      </c>
    </row>
    <row r="194" spans="1:2">
      <c r="A194" s="65" t="s">
        <v>474</v>
      </c>
      <c r="B194" s="62" t="s">
        <v>475</v>
      </c>
    </row>
    <row r="195" spans="1:2">
      <c r="A195" s="65" t="s">
        <v>476</v>
      </c>
      <c r="B195" s="62" t="s">
        <v>477</v>
      </c>
    </row>
    <row r="196" spans="1:2">
      <c r="A196" s="65" t="s">
        <v>478</v>
      </c>
      <c r="B196" s="68" t="s">
        <v>479</v>
      </c>
    </row>
    <row r="197" spans="1:2">
      <c r="A197" s="65" t="s">
        <v>480</v>
      </c>
      <c r="B197" s="68" t="s">
        <v>481</v>
      </c>
    </row>
    <row r="198" spans="1:2">
      <c r="A198" s="65" t="s">
        <v>482</v>
      </c>
      <c r="B198" s="62"/>
    </row>
    <row r="199" spans="1:2">
      <c r="A199" s="65" t="s">
        <v>483</v>
      </c>
      <c r="B199" s="62" t="s">
        <v>484</v>
      </c>
    </row>
    <row r="200" spans="1:2">
      <c r="A200" s="65" t="s">
        <v>485</v>
      </c>
      <c r="B200" s="62" t="s">
        <v>486</v>
      </c>
    </row>
    <row r="201" spans="1:2">
      <c r="A201" s="65" t="s">
        <v>487</v>
      </c>
      <c r="B201" s="62" t="s">
        <v>488</v>
      </c>
    </row>
    <row r="202" spans="1:2">
      <c r="A202" s="65" t="s">
        <v>489</v>
      </c>
      <c r="B202" s="62" t="s">
        <v>490</v>
      </c>
    </row>
    <row r="203" spans="1:2">
      <c r="A203" s="65" t="s">
        <v>491</v>
      </c>
      <c r="B203" s="62" t="s">
        <v>492</v>
      </c>
    </row>
    <row r="204" spans="1:2">
      <c r="A204" s="65" t="s">
        <v>493</v>
      </c>
      <c r="B204" s="68" t="s">
        <v>494</v>
      </c>
    </row>
    <row r="205" spans="1:2">
      <c r="A205" s="65" t="s">
        <v>495</v>
      </c>
      <c r="B205" s="68" t="s">
        <v>496</v>
      </c>
    </row>
    <row r="206" spans="1:2">
      <c r="A206" s="65" t="s">
        <v>497</v>
      </c>
      <c r="B206" s="68" t="s">
        <v>498</v>
      </c>
    </row>
    <row r="207" spans="1:2">
      <c r="A207" s="65" t="s">
        <v>499</v>
      </c>
      <c r="B207" s="62" t="s">
        <v>188</v>
      </c>
    </row>
    <row r="208" spans="1:2">
      <c r="A208" s="65" t="s">
        <v>500</v>
      </c>
      <c r="B208" s="68" t="s">
        <v>501</v>
      </c>
    </row>
    <row r="209" spans="1:2">
      <c r="A209" s="65" t="s">
        <v>502</v>
      </c>
      <c r="B209" s="68" t="s">
        <v>188</v>
      </c>
    </row>
    <row r="210" spans="1:2">
      <c r="A210" s="65" t="s">
        <v>503</v>
      </c>
      <c r="B210" s="62" t="s">
        <v>504</v>
      </c>
    </row>
    <row r="211" spans="1:2">
      <c r="A211" s="65" t="s">
        <v>505</v>
      </c>
      <c r="B211" s="68" t="s">
        <v>506</v>
      </c>
    </row>
    <row r="212" spans="1:2">
      <c r="A212" s="65" t="s">
        <v>507</v>
      </c>
      <c r="B212" s="62" t="s">
        <v>508</v>
      </c>
    </row>
    <row r="213" spans="1:2">
      <c r="A213" s="65" t="s">
        <v>509</v>
      </c>
      <c r="B213" s="62" t="s">
        <v>510</v>
      </c>
    </row>
    <row r="214" spans="1:2">
      <c r="A214" s="65" t="s">
        <v>511</v>
      </c>
      <c r="B214" s="62" t="s">
        <v>512</v>
      </c>
    </row>
    <row r="215" spans="1:2">
      <c r="A215" s="65" t="s">
        <v>513</v>
      </c>
      <c r="B215" s="62" t="s">
        <v>514</v>
      </c>
    </row>
    <row r="216" spans="1:2">
      <c r="A216" s="65" t="s">
        <v>515</v>
      </c>
      <c r="B216" s="62" t="s">
        <v>516</v>
      </c>
    </row>
    <row r="217" spans="1:2">
      <c r="A217" s="65" t="s">
        <v>517</v>
      </c>
      <c r="B217" s="68" t="s">
        <v>518</v>
      </c>
    </row>
    <row r="218" spans="1:2">
      <c r="A218" s="65" t="s">
        <v>519</v>
      </c>
      <c r="B218" s="68" t="s">
        <v>520</v>
      </c>
    </row>
    <row r="219" spans="1:2">
      <c r="A219" s="65" t="s">
        <v>521</v>
      </c>
      <c r="B219" s="62" t="s">
        <v>522</v>
      </c>
    </row>
    <row r="220" spans="1:2">
      <c r="A220" s="65" t="s">
        <v>523</v>
      </c>
      <c r="B220" s="62" t="s">
        <v>524</v>
      </c>
    </row>
    <row r="221" spans="1:2">
      <c r="A221" s="65" t="s">
        <v>525</v>
      </c>
      <c r="B221" s="68" t="s">
        <v>526</v>
      </c>
    </row>
    <row r="222" spans="1:2">
      <c r="A222" s="65" t="s">
        <v>527</v>
      </c>
      <c r="B222" s="62" t="s">
        <v>188</v>
      </c>
    </row>
    <row r="223" spans="1:2">
      <c r="A223" s="65" t="s">
        <v>528</v>
      </c>
      <c r="B223" s="62" t="s">
        <v>529</v>
      </c>
    </row>
    <row r="224" spans="1:2">
      <c r="A224" s="65" t="s">
        <v>530</v>
      </c>
      <c r="B224" s="62" t="s">
        <v>531</v>
      </c>
    </row>
    <row r="225" spans="1:2">
      <c r="A225" s="65" t="s">
        <v>532</v>
      </c>
      <c r="B225" s="62" t="s">
        <v>533</v>
      </c>
    </row>
    <row r="226" spans="1:2">
      <c r="A226" s="65" t="s">
        <v>534</v>
      </c>
      <c r="B226" s="62" t="s">
        <v>535</v>
      </c>
    </row>
    <row r="227" spans="1:2">
      <c r="A227" s="65" t="s">
        <v>536</v>
      </c>
      <c r="B227" s="62" t="s">
        <v>537</v>
      </c>
    </row>
    <row r="228" spans="1:2">
      <c r="A228" s="65" t="s">
        <v>538</v>
      </c>
      <c r="B228" s="62" t="s">
        <v>539</v>
      </c>
    </row>
    <row r="229" spans="1:2">
      <c r="A229" s="65" t="s">
        <v>540</v>
      </c>
      <c r="B229" s="62" t="s">
        <v>541</v>
      </c>
    </row>
    <row r="230" spans="1:2">
      <c r="A230" s="65" t="s">
        <v>542</v>
      </c>
      <c r="B230" s="62" t="s">
        <v>543</v>
      </c>
    </row>
    <row r="231" spans="1:2">
      <c r="A231" s="65" t="s">
        <v>544</v>
      </c>
      <c r="B231" s="62" t="s">
        <v>545</v>
      </c>
    </row>
    <row r="232" spans="1:2">
      <c r="A232" s="65" t="s">
        <v>546</v>
      </c>
      <c r="B232" s="62" t="s">
        <v>547</v>
      </c>
    </row>
    <row r="233" spans="1:2">
      <c r="A233" s="65" t="s">
        <v>548</v>
      </c>
      <c r="B233" s="62" t="s">
        <v>549</v>
      </c>
    </row>
    <row r="234" spans="1:2">
      <c r="A234" s="65" t="s">
        <v>550</v>
      </c>
      <c r="B234" s="62" t="s">
        <v>551</v>
      </c>
    </row>
    <row r="235" spans="1:2">
      <c r="A235" s="65" t="s">
        <v>552</v>
      </c>
      <c r="B235" s="62" t="s">
        <v>553</v>
      </c>
    </row>
    <row r="236" spans="1:2">
      <c r="A236" s="65" t="s">
        <v>554</v>
      </c>
      <c r="B236" s="62" t="s">
        <v>555</v>
      </c>
    </row>
    <row r="237" spans="1:2">
      <c r="A237" s="65" t="s">
        <v>556</v>
      </c>
      <c r="B237" s="68" t="s">
        <v>448</v>
      </c>
    </row>
    <row r="238" spans="1:2">
      <c r="A238" s="65" t="s">
        <v>557</v>
      </c>
      <c r="B238" s="62" t="s">
        <v>188</v>
      </c>
    </row>
    <row r="239" spans="1:2">
      <c r="A239" s="65" t="s">
        <v>558</v>
      </c>
      <c r="B239" s="62" t="s">
        <v>559</v>
      </c>
    </row>
    <row r="240" spans="1:2">
      <c r="A240" s="65" t="s">
        <v>560</v>
      </c>
      <c r="B240" s="62" t="s">
        <v>561</v>
      </c>
    </row>
    <row r="241" spans="1:2">
      <c r="A241" s="65" t="s">
        <v>562</v>
      </c>
      <c r="B241" s="68" t="s">
        <v>563</v>
      </c>
    </row>
    <row r="242" spans="1:2">
      <c r="A242" s="65" t="s">
        <v>564</v>
      </c>
      <c r="B242" s="68" t="s">
        <v>188</v>
      </c>
    </row>
    <row r="243" spans="1:2">
      <c r="A243" s="65" t="s">
        <v>565</v>
      </c>
      <c r="B243" s="62" t="s">
        <v>566</v>
      </c>
    </row>
    <row r="244" spans="1:2">
      <c r="A244" s="65" t="s">
        <v>567</v>
      </c>
      <c r="B244" s="62" t="s">
        <v>568</v>
      </c>
    </row>
    <row r="245" spans="1:2">
      <c r="A245" s="65" t="s">
        <v>569</v>
      </c>
      <c r="B245" s="62" t="s">
        <v>570</v>
      </c>
    </row>
    <row r="246" spans="1:2">
      <c r="A246" s="65" t="s">
        <v>571</v>
      </c>
      <c r="B246" s="62" t="s">
        <v>572</v>
      </c>
    </row>
    <row r="247" spans="1:2">
      <c r="A247" s="65" t="s">
        <v>573</v>
      </c>
      <c r="B247" s="68" t="s">
        <v>574</v>
      </c>
    </row>
    <row r="248" spans="1:2">
      <c r="A248" s="65" t="s">
        <v>575</v>
      </c>
      <c r="B248" s="68" t="s">
        <v>576</v>
      </c>
    </row>
    <row r="249" spans="1:2">
      <c r="A249" s="65" t="s">
        <v>577</v>
      </c>
      <c r="B249" s="62" t="s">
        <v>578</v>
      </c>
    </row>
    <row r="250" spans="1:2">
      <c r="A250" s="65" t="s">
        <v>579</v>
      </c>
      <c r="B250" s="62" t="s">
        <v>580</v>
      </c>
    </row>
    <row r="251" spans="1:2">
      <c r="A251" s="65" t="s">
        <v>581</v>
      </c>
      <c r="B251" s="62" t="s">
        <v>582</v>
      </c>
    </row>
    <row r="252" spans="1:2">
      <c r="A252" s="65" t="s">
        <v>583</v>
      </c>
      <c r="B252" s="62" t="s">
        <v>584</v>
      </c>
    </row>
    <row r="253" spans="1:2">
      <c r="A253" s="65" t="s">
        <v>585</v>
      </c>
      <c r="B253" s="62" t="s">
        <v>586</v>
      </c>
    </row>
    <row r="254" spans="1:2">
      <c r="A254" s="65" t="s">
        <v>587</v>
      </c>
      <c r="B254" s="62" t="s">
        <v>588</v>
      </c>
    </row>
    <row r="255" spans="1:2">
      <c r="A255" s="65" t="s">
        <v>589</v>
      </c>
      <c r="B255" s="62" t="s">
        <v>590</v>
      </c>
    </row>
    <row r="256" spans="1:2">
      <c r="A256" s="65" t="s">
        <v>591</v>
      </c>
      <c r="B256" s="68" t="s">
        <v>592</v>
      </c>
    </row>
    <row r="257" spans="1:2">
      <c r="A257" s="65" t="s">
        <v>593</v>
      </c>
      <c r="B257" s="68" t="s">
        <v>150</v>
      </c>
    </row>
    <row r="258" spans="1:2">
      <c r="A258" s="65" t="s">
        <v>594</v>
      </c>
      <c r="B258" s="62" t="s">
        <v>595</v>
      </c>
    </row>
    <row r="259" s="62" customFormat="1" spans="1:2">
      <c r="A259" s="65" t="s">
        <v>596</v>
      </c>
      <c r="B259" s="62" t="s">
        <v>597</v>
      </c>
    </row>
    <row r="260" spans="1:2">
      <c r="A260" s="65" t="s">
        <v>598</v>
      </c>
      <c r="B260" s="68" t="s">
        <v>599</v>
      </c>
    </row>
    <row r="261" spans="1:2">
      <c r="A261" s="65" t="s">
        <v>600</v>
      </c>
      <c r="B261" s="68" t="s">
        <v>601</v>
      </c>
    </row>
    <row r="262" spans="1:2">
      <c r="A262" s="65" t="s">
        <v>602</v>
      </c>
      <c r="B262" s="62" t="s">
        <v>603</v>
      </c>
    </row>
    <row r="263" spans="1:2">
      <c r="A263" s="65" t="s">
        <v>604</v>
      </c>
      <c r="B263" s="62" t="s">
        <v>605</v>
      </c>
    </row>
    <row r="264" spans="1:2">
      <c r="A264" s="65" t="s">
        <v>606</v>
      </c>
      <c r="B264" s="62" t="s">
        <v>607</v>
      </c>
    </row>
    <row r="265" spans="1:2">
      <c r="A265" s="65" t="s">
        <v>608</v>
      </c>
      <c r="B265" s="62" t="s">
        <v>609</v>
      </c>
    </row>
    <row r="266" spans="1:2">
      <c r="A266" s="65" t="s">
        <v>610</v>
      </c>
      <c r="B266" s="68" t="s">
        <v>611</v>
      </c>
    </row>
    <row r="267" spans="1:2">
      <c r="A267" s="65" t="s">
        <v>612</v>
      </c>
      <c r="B267" s="62" t="s">
        <v>188</v>
      </c>
    </row>
    <row r="268" spans="1:2">
      <c r="A268" s="65" t="s">
        <v>613</v>
      </c>
      <c r="B268" s="62" t="s">
        <v>614</v>
      </c>
    </row>
    <row r="269" spans="1:2">
      <c r="A269" s="65" t="s">
        <v>615</v>
      </c>
      <c r="B269" s="62" t="s">
        <v>616</v>
      </c>
    </row>
    <row r="270" spans="1:2">
      <c r="A270" s="65" t="s">
        <v>617</v>
      </c>
      <c r="B270" s="62" t="s">
        <v>618</v>
      </c>
    </row>
    <row r="271" spans="1:2">
      <c r="A271" s="65" t="s">
        <v>619</v>
      </c>
      <c r="B271" s="62" t="s">
        <v>620</v>
      </c>
    </row>
    <row r="272" spans="1:2">
      <c r="A272" s="65" t="s">
        <v>621</v>
      </c>
      <c r="B272" s="62" t="s">
        <v>622</v>
      </c>
    </row>
    <row r="273" spans="1:2">
      <c r="A273" s="65" t="s">
        <v>623</v>
      </c>
      <c r="B273" s="62" t="s">
        <v>624</v>
      </c>
    </row>
    <row r="274" spans="1:2">
      <c r="A274" s="65" t="s">
        <v>625</v>
      </c>
      <c r="B274" s="62" t="s">
        <v>626</v>
      </c>
    </row>
    <row r="275" spans="1:2">
      <c r="A275" s="65" t="s">
        <v>627</v>
      </c>
      <c r="B275" s="62" t="s">
        <v>628</v>
      </c>
    </row>
    <row r="276" spans="1:2">
      <c r="A276" s="65" t="s">
        <v>629</v>
      </c>
      <c r="B276" s="62" t="s">
        <v>630</v>
      </c>
    </row>
    <row r="277" spans="1:2">
      <c r="A277" s="65" t="s">
        <v>631</v>
      </c>
      <c r="B277" s="62" t="s">
        <v>632</v>
      </c>
    </row>
    <row r="278" spans="1:2">
      <c r="A278" s="65" t="s">
        <v>633</v>
      </c>
      <c r="B278" s="62" t="s">
        <v>634</v>
      </c>
    </row>
    <row r="279" spans="1:2">
      <c r="A279" s="65" t="s">
        <v>635</v>
      </c>
      <c r="B279" s="68" t="s">
        <v>636</v>
      </c>
    </row>
    <row r="280" spans="1:2">
      <c r="A280" s="65" t="s">
        <v>637</v>
      </c>
      <c r="B280" s="68" t="s">
        <v>172</v>
      </c>
    </row>
    <row r="281" spans="1:2">
      <c r="A281" s="65" t="s">
        <v>638</v>
      </c>
      <c r="B281" s="62" t="s">
        <v>128</v>
      </c>
    </row>
    <row r="282" spans="1:2">
      <c r="A282" s="65" t="s">
        <v>639</v>
      </c>
      <c r="B282" s="62" t="s">
        <v>640</v>
      </c>
    </row>
    <row r="283" spans="1:2">
      <c r="A283" s="65" t="s">
        <v>641</v>
      </c>
      <c r="B283" s="62" t="s">
        <v>642</v>
      </c>
    </row>
    <row r="284" spans="1:2">
      <c r="A284" s="65" t="s">
        <v>643</v>
      </c>
      <c r="B284" s="62" t="s">
        <v>644</v>
      </c>
    </row>
    <row r="285" spans="1:2">
      <c r="A285" s="65" t="s">
        <v>645</v>
      </c>
      <c r="B285" s="62" t="s">
        <v>646</v>
      </c>
    </row>
    <row r="286" spans="1:2">
      <c r="A286" s="65" t="s">
        <v>647</v>
      </c>
      <c r="B286" s="62" t="s">
        <v>648</v>
      </c>
    </row>
    <row r="287" spans="1:2">
      <c r="A287" s="65" t="s">
        <v>649</v>
      </c>
      <c r="B287" s="62" t="s">
        <v>650</v>
      </c>
    </row>
    <row r="288" spans="1:2">
      <c r="A288" s="65" t="s">
        <v>651</v>
      </c>
      <c r="B288" s="62" t="s">
        <v>652</v>
      </c>
    </row>
    <row r="289" spans="1:2">
      <c r="A289" s="65" t="s">
        <v>653</v>
      </c>
      <c r="B289" s="62" t="s">
        <v>654</v>
      </c>
    </row>
    <row r="290" spans="1:2">
      <c r="A290" s="65" t="s">
        <v>655</v>
      </c>
      <c r="B290" s="68" t="s">
        <v>656</v>
      </c>
    </row>
    <row r="291" spans="1:2">
      <c r="A291" s="65" t="s">
        <v>657</v>
      </c>
      <c r="B291" s="62" t="s">
        <v>658</v>
      </c>
    </row>
    <row r="292" spans="1:2">
      <c r="A292" s="65" t="s">
        <v>659</v>
      </c>
      <c r="B292" s="62" t="s">
        <v>660</v>
      </c>
    </row>
    <row r="293" spans="1:2">
      <c r="A293" s="65" t="s">
        <v>661</v>
      </c>
      <c r="B293" s="62" t="s">
        <v>662</v>
      </c>
    </row>
    <row r="294" spans="1:2">
      <c r="A294" s="65" t="s">
        <v>663</v>
      </c>
      <c r="B294" s="62" t="s">
        <v>664</v>
      </c>
    </row>
    <row r="295" spans="1:2">
      <c r="A295" s="65" t="s">
        <v>665</v>
      </c>
      <c r="B295" s="62" t="s">
        <v>666</v>
      </c>
    </row>
    <row r="296" spans="1:2">
      <c r="A296" s="65" t="s">
        <v>667</v>
      </c>
      <c r="B296" s="62" t="s">
        <v>668</v>
      </c>
    </row>
    <row r="297" spans="1:2">
      <c r="A297" s="65" t="s">
        <v>669</v>
      </c>
      <c r="B297" s="62" t="s">
        <v>670</v>
      </c>
    </row>
    <row r="298" spans="1:2">
      <c r="A298" s="65" t="s">
        <v>671</v>
      </c>
      <c r="B298" s="68" t="s">
        <v>672</v>
      </c>
    </row>
    <row r="299" spans="1:2">
      <c r="A299" s="65" t="s">
        <v>673</v>
      </c>
      <c r="B299" s="62" t="s">
        <v>188</v>
      </c>
    </row>
    <row r="300" spans="1:2">
      <c r="A300" s="65" t="s">
        <v>674</v>
      </c>
      <c r="B300" s="62" t="s">
        <v>675</v>
      </c>
    </row>
    <row r="301" spans="1:2">
      <c r="A301" s="65" t="s">
        <v>676</v>
      </c>
      <c r="B301" s="62" t="s">
        <v>677</v>
      </c>
    </row>
    <row r="302" spans="1:2">
      <c r="A302" s="65" t="s">
        <v>678</v>
      </c>
      <c r="B302" s="68" t="s">
        <v>679</v>
      </c>
    </row>
    <row r="303" spans="1:2">
      <c r="A303" s="65" t="s">
        <v>680</v>
      </c>
      <c r="B303" s="68" t="s">
        <v>681</v>
      </c>
    </row>
    <row r="304" spans="1:2">
      <c r="A304" s="65" t="s">
        <v>682</v>
      </c>
      <c r="B304" s="68" t="s">
        <v>150</v>
      </c>
    </row>
    <row r="305" spans="1:2">
      <c r="A305" s="65" t="s">
        <v>683</v>
      </c>
      <c r="B305" s="62" t="s">
        <v>684</v>
      </c>
    </row>
    <row r="306" spans="1:2">
      <c r="A306" s="65" t="s">
        <v>685</v>
      </c>
      <c r="B306" s="62" t="s">
        <v>686</v>
      </c>
    </row>
    <row r="307" spans="1:2">
      <c r="A307" s="65" t="s">
        <v>687</v>
      </c>
      <c r="B307" s="68" t="s">
        <v>688</v>
      </c>
    </row>
    <row r="308" spans="1:2">
      <c r="A308" s="65" t="s">
        <v>689</v>
      </c>
      <c r="B308" s="68" t="s">
        <v>690</v>
      </c>
    </row>
    <row r="309" spans="1:2">
      <c r="A309" s="65" t="s">
        <v>691</v>
      </c>
      <c r="B309" s="62" t="s">
        <v>692</v>
      </c>
    </row>
    <row r="310" spans="1:2">
      <c r="A310" s="65" t="s">
        <v>693</v>
      </c>
      <c r="B310" s="62" t="s">
        <v>694</v>
      </c>
    </row>
    <row r="311" spans="1:2">
      <c r="A311" s="65" t="s">
        <v>695</v>
      </c>
      <c r="B311" s="62" t="s">
        <v>696</v>
      </c>
    </row>
    <row r="312" spans="1:2">
      <c r="A312" s="65" t="s">
        <v>697</v>
      </c>
      <c r="B312" s="62" t="s">
        <v>698</v>
      </c>
    </row>
    <row r="313" spans="1:2">
      <c r="A313" s="65" t="s">
        <v>699</v>
      </c>
      <c r="B313" s="62" t="s">
        <v>700</v>
      </c>
    </row>
    <row r="314" spans="1:2">
      <c r="A314" s="65" t="s">
        <v>701</v>
      </c>
      <c r="B314" s="62" t="s">
        <v>702</v>
      </c>
    </row>
    <row r="315" spans="1:2">
      <c r="A315" s="65" t="s">
        <v>703</v>
      </c>
      <c r="B315" s="62" t="s">
        <v>704</v>
      </c>
    </row>
    <row r="316" spans="1:2">
      <c r="A316" s="65" t="s">
        <v>705</v>
      </c>
      <c r="B316" s="68" t="s">
        <v>706</v>
      </c>
    </row>
    <row r="317" spans="1:2">
      <c r="A317" s="65" t="s">
        <v>707</v>
      </c>
      <c r="B317" s="62" t="s">
        <v>188</v>
      </c>
    </row>
    <row r="318" spans="1:2">
      <c r="A318" s="65" t="s">
        <v>708</v>
      </c>
      <c r="B318" s="68" t="s">
        <v>709</v>
      </c>
    </row>
    <row r="319" spans="1:2">
      <c r="A319" s="65" t="s">
        <v>710</v>
      </c>
      <c r="B319" s="62" t="s">
        <v>711</v>
      </c>
    </row>
    <row r="320" spans="1:2">
      <c r="A320" s="65" t="s">
        <v>712</v>
      </c>
      <c r="B320" s="62" t="s">
        <v>713</v>
      </c>
    </row>
    <row r="321" spans="1:2">
      <c r="A321" s="65" t="s">
        <v>714</v>
      </c>
      <c r="B321" s="68" t="s">
        <v>715</v>
      </c>
    </row>
    <row r="322" spans="1:2">
      <c r="A322" s="65" t="s">
        <v>716</v>
      </c>
      <c r="B322" s="68" t="s">
        <v>188</v>
      </c>
    </row>
    <row r="323" spans="1:2">
      <c r="A323" s="65" t="s">
        <v>717</v>
      </c>
      <c r="B323" s="62" t="s">
        <v>718</v>
      </c>
    </row>
    <row r="324" spans="1:2">
      <c r="A324" s="65" t="s">
        <v>719</v>
      </c>
      <c r="B324" s="62" t="s">
        <v>720</v>
      </c>
    </row>
    <row r="325" spans="1:2">
      <c r="A325" s="65" t="s">
        <v>721</v>
      </c>
      <c r="B325" s="62" t="s">
        <v>722</v>
      </c>
    </row>
    <row r="326" spans="1:2">
      <c r="A326" s="65" t="s">
        <v>723</v>
      </c>
      <c r="B326" s="62" t="s">
        <v>724</v>
      </c>
    </row>
    <row r="327" spans="1:2">
      <c r="A327" s="65" t="s">
        <v>725</v>
      </c>
      <c r="B327" s="68" t="s">
        <v>726</v>
      </c>
    </row>
    <row r="328" spans="1:2">
      <c r="A328" s="65" t="s">
        <v>727</v>
      </c>
      <c r="B328" s="68" t="s">
        <v>728</v>
      </c>
    </row>
    <row r="329" spans="1:2">
      <c r="A329" s="65" t="s">
        <v>729</v>
      </c>
      <c r="B329" s="62" t="s">
        <v>730</v>
      </c>
    </row>
    <row r="330" spans="1:2">
      <c r="A330" s="65" t="s">
        <v>731</v>
      </c>
      <c r="B330" s="62" t="s">
        <v>732</v>
      </c>
    </row>
    <row r="331" spans="1:2">
      <c r="A331" s="65" t="s">
        <v>733</v>
      </c>
      <c r="B331" s="62" t="s">
        <v>734</v>
      </c>
    </row>
    <row r="332" spans="1:2">
      <c r="A332" s="65" t="s">
        <v>735</v>
      </c>
      <c r="B332" s="62" t="s">
        <v>736</v>
      </c>
    </row>
    <row r="333" spans="1:2">
      <c r="A333" s="65" t="s">
        <v>737</v>
      </c>
      <c r="B333" s="68" t="s">
        <v>738</v>
      </c>
    </row>
    <row r="334" spans="1:2">
      <c r="A334" s="65" t="s">
        <v>739</v>
      </c>
      <c r="B334" s="68" t="s">
        <v>740</v>
      </c>
    </row>
    <row r="335" spans="1:2">
      <c r="A335" s="65" t="s">
        <v>741</v>
      </c>
      <c r="B335" s="62" t="s">
        <v>742</v>
      </c>
    </row>
    <row r="336" spans="1:2">
      <c r="A336" s="65" t="s">
        <v>743</v>
      </c>
      <c r="B336" s="68" t="s">
        <v>744</v>
      </c>
    </row>
    <row r="337" spans="1:2">
      <c r="A337" s="65" t="s">
        <v>745</v>
      </c>
      <c r="B337" s="68" t="s">
        <v>746</v>
      </c>
    </row>
    <row r="338" spans="1:2">
      <c r="A338" s="65" t="s">
        <v>747</v>
      </c>
      <c r="B338" s="62" t="s">
        <v>748</v>
      </c>
    </row>
    <row r="339" spans="1:2">
      <c r="A339" s="65" t="s">
        <v>749</v>
      </c>
      <c r="B339" s="62" t="s">
        <v>750</v>
      </c>
    </row>
    <row r="340" spans="1:2">
      <c r="A340" s="65" t="s">
        <v>751</v>
      </c>
      <c r="B340" s="62" t="s">
        <v>752</v>
      </c>
    </row>
    <row r="341" spans="1:2">
      <c r="A341" s="65" t="s">
        <v>753</v>
      </c>
      <c r="B341" s="68" t="s">
        <v>754</v>
      </c>
    </row>
    <row r="342" spans="1:2">
      <c r="A342" s="65" t="s">
        <v>755</v>
      </c>
      <c r="B342" s="68" t="s">
        <v>756</v>
      </c>
    </row>
    <row r="343" spans="1:2">
      <c r="A343" s="65" t="s">
        <v>757</v>
      </c>
      <c r="B343" s="62" t="s">
        <v>758</v>
      </c>
    </row>
    <row r="344" spans="1:2">
      <c r="A344" s="65" t="s">
        <v>759</v>
      </c>
      <c r="B344" s="62" t="s">
        <v>760</v>
      </c>
    </row>
    <row r="345" spans="1:2">
      <c r="A345" s="65" t="s">
        <v>761</v>
      </c>
      <c r="B345" s="62" t="s">
        <v>762</v>
      </c>
    </row>
    <row r="346" s="62" customFormat="1" spans="1:2">
      <c r="A346" s="65" t="s">
        <v>763</v>
      </c>
      <c r="B346" s="62" t="s">
        <v>764</v>
      </c>
    </row>
    <row r="347" spans="1:2">
      <c r="A347" s="65" t="s">
        <v>765</v>
      </c>
      <c r="B347" s="62" t="s">
        <v>766</v>
      </c>
    </row>
    <row r="348" spans="1:2">
      <c r="A348" s="65" t="s">
        <v>767</v>
      </c>
      <c r="B348" s="62" t="s">
        <v>768</v>
      </c>
    </row>
    <row r="349" spans="1:2">
      <c r="A349" s="65" t="s">
        <v>769</v>
      </c>
      <c r="B349" s="62" t="s">
        <v>770</v>
      </c>
    </row>
    <row r="350" spans="1:2">
      <c r="A350" s="65" t="s">
        <v>771</v>
      </c>
      <c r="B350" s="62" t="s">
        <v>772</v>
      </c>
    </row>
    <row r="351" spans="1:2">
      <c r="A351" s="65" t="s">
        <v>773</v>
      </c>
      <c r="B351" s="62" t="s">
        <v>774</v>
      </c>
    </row>
    <row r="352" spans="1:2">
      <c r="A352" s="65" t="s">
        <v>775</v>
      </c>
      <c r="B352" s="62" t="s">
        <v>698</v>
      </c>
    </row>
    <row r="353" spans="1:2">
      <c r="A353" s="65" t="s">
        <v>776</v>
      </c>
      <c r="B353" s="62" t="s">
        <v>777</v>
      </c>
    </row>
    <row r="354" spans="1:2">
      <c r="A354" s="65" t="s">
        <v>778</v>
      </c>
      <c r="B354" s="62" t="s">
        <v>779</v>
      </c>
    </row>
    <row r="355" spans="1:2">
      <c r="A355" s="65" t="s">
        <v>780</v>
      </c>
      <c r="B355" s="62" t="s">
        <v>781</v>
      </c>
    </row>
    <row r="356" spans="1:2">
      <c r="A356" s="65" t="s">
        <v>782</v>
      </c>
      <c r="B356" s="62" t="s">
        <v>783</v>
      </c>
    </row>
    <row r="357" spans="1:2">
      <c r="A357" s="65" t="s">
        <v>784</v>
      </c>
      <c r="B357" s="62" t="s">
        <v>785</v>
      </c>
    </row>
    <row r="358" spans="1:2">
      <c r="A358" s="65" t="s">
        <v>786</v>
      </c>
      <c r="B358" s="62" t="s">
        <v>787</v>
      </c>
    </row>
    <row r="359" spans="1:2">
      <c r="A359" s="65" t="s">
        <v>788</v>
      </c>
      <c r="B359" s="62" t="s">
        <v>789</v>
      </c>
    </row>
    <row r="360" spans="1:2">
      <c r="A360" s="65" t="s">
        <v>790</v>
      </c>
      <c r="B360" s="62" t="s">
        <v>791</v>
      </c>
    </row>
    <row r="361" spans="1:2">
      <c r="A361" s="65" t="s">
        <v>792</v>
      </c>
      <c r="B361" s="62" t="s">
        <v>793</v>
      </c>
    </row>
    <row r="362" spans="1:2">
      <c r="A362" s="65" t="s">
        <v>794</v>
      </c>
      <c r="B362" s="62" t="s">
        <v>795</v>
      </c>
    </row>
    <row r="363" spans="1:2">
      <c r="A363" s="65" t="s">
        <v>796</v>
      </c>
      <c r="B363" s="62" t="s">
        <v>795</v>
      </c>
    </row>
    <row r="364" spans="1:2">
      <c r="A364" s="65" t="s">
        <v>797</v>
      </c>
      <c r="B364" s="62" t="s">
        <v>798</v>
      </c>
    </row>
    <row r="365" spans="1:2">
      <c r="A365" s="65" t="s">
        <v>799</v>
      </c>
      <c r="B365" s="62" t="s">
        <v>800</v>
      </c>
    </row>
    <row r="366" spans="1:2">
      <c r="A366" s="65" t="s">
        <v>801</v>
      </c>
      <c r="B366" s="62" t="s">
        <v>802</v>
      </c>
    </row>
    <row r="367" spans="1:2">
      <c r="A367" s="65" t="s">
        <v>803</v>
      </c>
      <c r="B367" s="62" t="s">
        <v>804</v>
      </c>
    </row>
    <row r="368" spans="1:2">
      <c r="A368" s="65" t="s">
        <v>805</v>
      </c>
      <c r="B368" s="62" t="s">
        <v>806</v>
      </c>
    </row>
    <row r="369" spans="1:2">
      <c r="A369" s="65" t="s">
        <v>807</v>
      </c>
      <c r="B369" s="62" t="s">
        <v>808</v>
      </c>
    </row>
    <row r="370" spans="1:2">
      <c r="A370" s="65" t="s">
        <v>809</v>
      </c>
      <c r="B370" s="62" t="s">
        <v>810</v>
      </c>
    </row>
    <row r="371" spans="1:2">
      <c r="A371" s="65" t="s">
        <v>811</v>
      </c>
      <c r="B371" s="62" t="s">
        <v>812</v>
      </c>
    </row>
    <row r="372" spans="1:2">
      <c r="A372" s="65" t="s">
        <v>813</v>
      </c>
      <c r="B372" s="62" t="s">
        <v>814</v>
      </c>
    </row>
    <row r="373" spans="1:2">
      <c r="A373" s="65" t="s">
        <v>815</v>
      </c>
      <c r="B373" s="62" t="s">
        <v>816</v>
      </c>
    </row>
    <row r="374" spans="1:2">
      <c r="A374" s="65" t="s">
        <v>817</v>
      </c>
      <c r="B374" s="62" t="s">
        <v>818</v>
      </c>
    </row>
    <row r="375" spans="1:2">
      <c r="A375" s="65" t="s">
        <v>819</v>
      </c>
      <c r="B375" s="62" t="s">
        <v>820</v>
      </c>
    </row>
    <row r="376" spans="1:2">
      <c r="A376" s="65" t="s">
        <v>821</v>
      </c>
      <c r="B376" s="62" t="s">
        <v>822</v>
      </c>
    </row>
    <row r="377" spans="1:2">
      <c r="A377" s="65" t="s">
        <v>823</v>
      </c>
      <c r="B377" s="62" t="s">
        <v>824</v>
      </c>
    </row>
    <row r="378" spans="1:2">
      <c r="A378" s="65" t="s">
        <v>825</v>
      </c>
      <c r="B378" s="62" t="s">
        <v>826</v>
      </c>
    </row>
    <row r="379" spans="1:2">
      <c r="A379" s="65" t="s">
        <v>827</v>
      </c>
      <c r="B379" s="62" t="s">
        <v>828</v>
      </c>
    </row>
    <row r="380" spans="1:2">
      <c r="A380" s="65" t="s">
        <v>829</v>
      </c>
      <c r="B380" s="62" t="s">
        <v>830</v>
      </c>
    </row>
    <row r="381" spans="1:2">
      <c r="A381" s="65" t="s">
        <v>831</v>
      </c>
      <c r="B381" s="62" t="s">
        <v>832</v>
      </c>
    </row>
    <row r="382" spans="1:2">
      <c r="A382" s="65" t="s">
        <v>833</v>
      </c>
      <c r="B382" s="62" t="s">
        <v>834</v>
      </c>
    </row>
    <row r="383" spans="1:2">
      <c r="A383" s="65" t="s">
        <v>835</v>
      </c>
      <c r="B383" s="62" t="s">
        <v>836</v>
      </c>
    </row>
    <row r="384" spans="1:2">
      <c r="A384" s="65" t="s">
        <v>837</v>
      </c>
      <c r="B384" s="62" t="s">
        <v>838</v>
      </c>
    </row>
  </sheetData>
  <sheetProtection formatCells="0" insertHyperlinks="0" autoFilter="0"/>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3"/>
  <sheetViews>
    <sheetView workbookViewId="0">
      <selection activeCell="A2" sqref="A2"/>
    </sheetView>
  </sheetViews>
  <sheetFormatPr defaultColWidth="8.89285714285714" defaultRowHeight="16.8" outlineLevelRow="2" outlineLevelCol="5"/>
  <cols>
    <col min="1" max="1" width="34.7767857142857" style="62" customWidth="1"/>
    <col min="2" max="2" width="16" style="62" customWidth="1"/>
    <col min="3" max="3" width="34" style="62" customWidth="1"/>
    <col min="4" max="4" width="27.3303571428571" style="62" customWidth="1"/>
    <col min="5" max="5" width="74.3303571428571" style="62" customWidth="1"/>
    <col min="6" max="6" width="27.3303571428571" style="62" customWidth="1"/>
  </cols>
  <sheetData>
    <row r="1" spans="1:6">
      <c r="A1" s="62" t="s">
        <v>839</v>
      </c>
      <c r="B1" s="62" t="s">
        <v>840</v>
      </c>
      <c r="C1" s="62" t="s">
        <v>841</v>
      </c>
      <c r="D1" s="62" t="s">
        <v>842</v>
      </c>
      <c r="E1" s="62" t="s">
        <v>843</v>
      </c>
      <c r="F1" s="62" t="s">
        <v>844</v>
      </c>
    </row>
    <row r="2" spans="1:6">
      <c r="A2" s="63"/>
    </row>
    <row r="3" spans="1:6">
      <c r="A3" s="63"/>
    </row>
  </sheetData>
  <sheetProtection formatCells="0" insertHyperlinks="0" autoFilter="0"/>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9285714285714" defaultRowHeight="16.8" outlineLevelCol="4"/>
  <cols>
    <col min="1" max="1" width="28" customWidth="1"/>
    <col min="2" max="2" width="28.8928571428571" customWidth="1"/>
    <col min="3" max="3" width="23.3303571428571" customWidth="1"/>
    <col min="4" max="4" width="19.3303571428571" customWidth="1"/>
    <col min="5" max="5" width="98" customWidth="1"/>
  </cols>
  <sheetData>
    <row r="1" spans="1:5">
      <c r="A1" s="59" t="s">
        <v>845</v>
      </c>
      <c r="B1" s="59" t="s">
        <v>846</v>
      </c>
      <c r="C1" s="59" t="s">
        <v>847</v>
      </c>
      <c r="D1" s="59" t="s">
        <v>848</v>
      </c>
      <c r="E1" s="60" t="s">
        <v>10</v>
      </c>
    </row>
    <row r="2" spans="1:5">
      <c r="A2" s="59" t="s">
        <v>849</v>
      </c>
      <c r="B2" s="59" t="s">
        <v>850</v>
      </c>
      <c r="D2" s="59" t="s">
        <v>851</v>
      </c>
      <c r="E2" s="61"/>
    </row>
    <row r="3" spans="1:5">
      <c r="A3" s="59" t="s">
        <v>852</v>
      </c>
      <c r="B3" s="59" t="s">
        <v>853</v>
      </c>
      <c r="D3" s="59" t="s">
        <v>854</v>
      </c>
      <c r="E3" s="61"/>
    </row>
    <row r="4" spans="1:5">
      <c r="A4" s="59" t="s">
        <v>855</v>
      </c>
      <c r="B4" s="59" t="s">
        <v>856</v>
      </c>
      <c r="D4" s="59" t="s">
        <v>857</v>
      </c>
      <c r="E4" s="61"/>
    </row>
    <row r="5" spans="1:5">
      <c r="A5" s="59" t="s">
        <v>858</v>
      </c>
      <c r="B5" s="59" t="s">
        <v>859</v>
      </c>
      <c r="D5" s="59" t="s">
        <v>860</v>
      </c>
      <c r="E5" s="61"/>
    </row>
    <row r="6" spans="1:5">
      <c r="A6" s="59" t="s">
        <v>861</v>
      </c>
      <c r="B6" s="59" t="s">
        <v>862</v>
      </c>
      <c r="D6" s="59" t="s">
        <v>863</v>
      </c>
      <c r="E6" s="61"/>
    </row>
    <row r="7" spans="1:5">
      <c r="A7" s="59" t="s">
        <v>864</v>
      </c>
      <c r="B7" s="59" t="s">
        <v>865</v>
      </c>
      <c r="D7" s="59" t="s">
        <v>866</v>
      </c>
      <c r="E7" s="61"/>
    </row>
    <row r="8" spans="1:5">
      <c r="A8" s="59" t="s">
        <v>867</v>
      </c>
      <c r="B8" s="59" t="s">
        <v>868</v>
      </c>
      <c r="D8" s="59" t="s">
        <v>869</v>
      </c>
      <c r="E8" s="61"/>
    </row>
    <row r="9" spans="1:5">
      <c r="A9" s="59" t="s">
        <v>870</v>
      </c>
      <c r="B9" s="59" t="s">
        <v>871</v>
      </c>
      <c r="D9" s="59" t="s">
        <v>872</v>
      </c>
      <c r="E9" s="61"/>
    </row>
    <row r="10" spans="1:5">
      <c r="A10" s="59" t="s">
        <v>873</v>
      </c>
      <c r="B10" s="59" t="s">
        <v>874</v>
      </c>
      <c r="D10" s="59" t="s">
        <v>875</v>
      </c>
      <c r="E10" s="61"/>
    </row>
    <row r="11" spans="1:5">
      <c r="A11" s="59" t="s">
        <v>876</v>
      </c>
      <c r="B11" s="59" t="s">
        <v>877</v>
      </c>
      <c r="D11" s="59" t="s">
        <v>878</v>
      </c>
      <c r="E11" s="61"/>
    </row>
    <row r="12" spans="1:5">
      <c r="A12" s="59" t="s">
        <v>879</v>
      </c>
      <c r="B12" s="59" t="s">
        <v>880</v>
      </c>
      <c r="D12" s="59" t="s">
        <v>881</v>
      </c>
      <c r="E12" s="61"/>
    </row>
    <row r="13" spans="1:5">
      <c r="A13" s="59" t="s">
        <v>882</v>
      </c>
      <c r="B13" s="59" t="s">
        <v>883</v>
      </c>
      <c r="D13" s="59" t="s">
        <v>884</v>
      </c>
      <c r="E13" s="61"/>
    </row>
    <row r="14" spans="1:5">
      <c r="A14" s="59" t="s">
        <v>885</v>
      </c>
      <c r="B14" s="59" t="s">
        <v>886</v>
      </c>
      <c r="D14" s="59" t="s">
        <v>887</v>
      </c>
      <c r="E14" s="61"/>
    </row>
    <row r="15" spans="1:5">
      <c r="A15" s="59" t="s">
        <v>888</v>
      </c>
      <c r="D15" s="59" t="s">
        <v>889</v>
      </c>
      <c r="E15" s="60" t="s">
        <v>890</v>
      </c>
    </row>
    <row r="16" spans="1:5">
      <c r="A16" s="59" t="s">
        <v>891</v>
      </c>
      <c r="D16" s="59" t="s">
        <v>892</v>
      </c>
      <c r="E16" s="60" t="s">
        <v>893</v>
      </c>
    </row>
    <row r="17" spans="1:5">
      <c r="A17" s="59" t="s">
        <v>894</v>
      </c>
      <c r="D17" s="59" t="s">
        <v>892</v>
      </c>
      <c r="E17" s="60" t="s">
        <v>895</v>
      </c>
    </row>
    <row r="18" spans="1:5">
      <c r="A18" s="59" t="s">
        <v>896</v>
      </c>
      <c r="D18" s="59" t="s">
        <v>897</v>
      </c>
      <c r="E18" s="60" t="s">
        <v>898</v>
      </c>
    </row>
    <row r="19" spans="1:5">
      <c r="A19" s="59" t="s">
        <v>899</v>
      </c>
      <c r="C19" s="59" t="s">
        <v>900</v>
      </c>
      <c r="D19" s="59" t="s">
        <v>901</v>
      </c>
      <c r="E19" s="60" t="s">
        <v>902</v>
      </c>
    </row>
    <row r="20" spans="1:5">
      <c r="A20" s="59" t="s">
        <v>899</v>
      </c>
      <c r="C20" s="59" t="s">
        <v>903</v>
      </c>
      <c r="D20" s="59" t="s">
        <v>901</v>
      </c>
      <c r="E20" s="60" t="s">
        <v>904</v>
      </c>
    </row>
    <row r="21" spans="1:5">
      <c r="A21" s="59" t="s">
        <v>899</v>
      </c>
      <c r="C21" s="59" t="s">
        <v>905</v>
      </c>
      <c r="D21" s="59" t="s">
        <v>901</v>
      </c>
      <c r="E21" s="60" t="s">
        <v>906</v>
      </c>
    </row>
    <row r="22" spans="1:5">
      <c r="A22" s="59" t="s">
        <v>899</v>
      </c>
      <c r="C22" s="59" t="s">
        <v>907</v>
      </c>
      <c r="D22" s="59" t="s">
        <v>901</v>
      </c>
      <c r="E22" s="60" t="s">
        <v>94</v>
      </c>
    </row>
    <row r="23" spans="1:5">
      <c r="A23" s="59" t="s">
        <v>899</v>
      </c>
      <c r="C23" s="59" t="s">
        <v>908</v>
      </c>
      <c r="D23" s="59" t="s">
        <v>901</v>
      </c>
      <c r="E23" s="60" t="s">
        <v>908</v>
      </c>
    </row>
    <row r="24" spans="1:5">
      <c r="A24" s="59" t="s">
        <v>899</v>
      </c>
      <c r="C24" s="59" t="s">
        <v>909</v>
      </c>
      <c r="D24" s="59" t="s">
        <v>901</v>
      </c>
      <c r="E24" s="60" t="s">
        <v>910</v>
      </c>
    </row>
    <row r="25" spans="1:5">
      <c r="A25" s="59" t="s">
        <v>899</v>
      </c>
      <c r="C25" s="59" t="s">
        <v>911</v>
      </c>
      <c r="D25" s="59" t="s">
        <v>901</v>
      </c>
      <c r="E25" s="60" t="s">
        <v>912</v>
      </c>
    </row>
    <row r="26" spans="1:5">
      <c r="A26" s="59" t="s">
        <v>899</v>
      </c>
      <c r="C26" s="59" t="s">
        <v>913</v>
      </c>
      <c r="D26" s="59" t="s">
        <v>901</v>
      </c>
      <c r="E26" s="60" t="s">
        <v>914</v>
      </c>
    </row>
    <row r="27" spans="1:5">
      <c r="A27" s="59" t="s">
        <v>899</v>
      </c>
      <c r="C27" s="59" t="s">
        <v>915</v>
      </c>
      <c r="D27" s="59" t="s">
        <v>901</v>
      </c>
      <c r="E27" s="60" t="s">
        <v>96</v>
      </c>
    </row>
    <row r="28" spans="1:5">
      <c r="A28" s="59" t="s">
        <v>899</v>
      </c>
      <c r="C28" s="59" t="s">
        <v>916</v>
      </c>
      <c r="D28" s="59" t="s">
        <v>901</v>
      </c>
      <c r="E28" s="60" t="s">
        <v>90</v>
      </c>
    </row>
    <row r="29" spans="1:5">
      <c r="A29" s="59" t="s">
        <v>899</v>
      </c>
      <c r="C29" s="59" t="s">
        <v>917</v>
      </c>
      <c r="D29" s="59" t="s">
        <v>901</v>
      </c>
      <c r="E29" s="60" t="s">
        <v>88</v>
      </c>
    </row>
    <row r="30" spans="1:5">
      <c r="A30" s="59" t="s">
        <v>918</v>
      </c>
      <c r="C30" s="59" t="s">
        <v>900</v>
      </c>
      <c r="D30" s="59" t="s">
        <v>901</v>
      </c>
      <c r="E30" s="60" t="s">
        <v>902</v>
      </c>
    </row>
    <row r="31" spans="1:5">
      <c r="A31" s="59" t="s">
        <v>918</v>
      </c>
      <c r="C31" s="59" t="s">
        <v>905</v>
      </c>
      <c r="D31" s="59" t="s">
        <v>901</v>
      </c>
      <c r="E31" s="60" t="s">
        <v>919</v>
      </c>
    </row>
    <row r="32" spans="1:5">
      <c r="A32" s="59" t="s">
        <v>918</v>
      </c>
      <c r="C32" s="59" t="s">
        <v>908</v>
      </c>
      <c r="D32" s="59" t="s">
        <v>901</v>
      </c>
      <c r="E32" s="60" t="s">
        <v>908</v>
      </c>
    </row>
    <row r="33" spans="1:5">
      <c r="A33" s="59" t="s">
        <v>918</v>
      </c>
      <c r="C33" s="59" t="s">
        <v>907</v>
      </c>
      <c r="D33" s="59" t="s">
        <v>901</v>
      </c>
      <c r="E33" s="60" t="s">
        <v>920</v>
      </c>
    </row>
    <row r="34" spans="1:5">
      <c r="A34" s="59" t="s">
        <v>918</v>
      </c>
      <c r="C34" s="59" t="s">
        <v>909</v>
      </c>
      <c r="D34" s="59" t="s">
        <v>901</v>
      </c>
      <c r="E34" s="60" t="s">
        <v>921</v>
      </c>
    </row>
    <row r="35" spans="1:5">
      <c r="A35" s="59" t="s">
        <v>918</v>
      </c>
      <c r="C35" s="59" t="s">
        <v>911</v>
      </c>
      <c r="D35" s="59" t="s">
        <v>901</v>
      </c>
      <c r="E35" s="60" t="s">
        <v>922</v>
      </c>
    </row>
    <row r="36" spans="1:5">
      <c r="A36" s="59" t="s">
        <v>918</v>
      </c>
      <c r="C36" s="59" t="s">
        <v>913</v>
      </c>
      <c r="D36" s="59" t="s">
        <v>901</v>
      </c>
      <c r="E36" s="60" t="s">
        <v>922</v>
      </c>
    </row>
    <row r="37" spans="1:5">
      <c r="A37" s="59" t="s">
        <v>918</v>
      </c>
      <c r="C37" s="59" t="s">
        <v>915</v>
      </c>
      <c r="D37" s="59" t="s">
        <v>901</v>
      </c>
      <c r="E37" s="60" t="s">
        <v>923</v>
      </c>
    </row>
    <row r="38" spans="1:5">
      <c r="A38" s="59" t="s">
        <v>918</v>
      </c>
      <c r="C38" s="59" t="s">
        <v>916</v>
      </c>
      <c r="D38" s="59" t="s">
        <v>901</v>
      </c>
      <c r="E38" s="60" t="s">
        <v>924</v>
      </c>
    </row>
    <row r="39" spans="1:5">
      <c r="A39" s="59" t="s">
        <v>918</v>
      </c>
      <c r="C39" s="59" t="s">
        <v>917</v>
      </c>
      <c r="D39" s="59" t="s">
        <v>901</v>
      </c>
      <c r="E39" s="60" t="s">
        <v>925</v>
      </c>
    </row>
  </sheetData>
  <sheetProtection formatCells="0" insertHyperlinks="0" autoFilter="0"/>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I40"/>
  <sheetViews>
    <sheetView tabSelected="1" zoomScale="115" zoomScaleNormal="115" workbookViewId="0">
      <pane xSplit="2" ySplit="3" topLeftCell="C4" activePane="bottomRight" state="frozen"/>
      <selection/>
      <selection pane="topRight"/>
      <selection pane="bottomLeft"/>
      <selection pane="bottomRight" activeCell="E19" sqref="E19"/>
    </sheetView>
  </sheetViews>
  <sheetFormatPr defaultColWidth="9" defaultRowHeight="16.8"/>
  <cols>
    <col min="1" max="1" width="13.6696428571429" style="4" customWidth="1"/>
    <col min="2" max="2" width="17.5625" style="5" customWidth="1"/>
    <col min="3" max="3" width="12" style="4" customWidth="1"/>
    <col min="4" max="4" width="11.3303571428571" style="5" customWidth="1"/>
    <col min="5" max="5" width="12" style="4" customWidth="1"/>
    <col min="6" max="6" width="122.776785714286" style="4" customWidth="1"/>
    <col min="7" max="7" width="20.2232142857143" style="4" customWidth="1"/>
    <col min="8" max="8" width="19.8928571428571" style="4" customWidth="1"/>
    <col min="9" max="9" width="12.7767857142857" style="4" customWidth="1"/>
    <col min="10" max="10" width="12.3303571428571" style="6" customWidth="1"/>
    <col min="11" max="11" width="8.4375" style="6" customWidth="1"/>
    <col min="12" max="12" width="10.3303571428571" style="4" customWidth="1"/>
    <col min="13" max="13" width="9.77678571428571" style="4" customWidth="1"/>
    <col min="14" max="14" width="12.7767857142857" style="4" customWidth="1"/>
    <col min="15" max="15" width="14" style="4" customWidth="1"/>
    <col min="16" max="16" width="11.7767857142857" style="4" customWidth="1"/>
    <col min="17" max="17" width="8" style="6" customWidth="1"/>
    <col min="18" max="18" width="10.4375" style="4" customWidth="1"/>
    <col min="19" max="19" width="9.5625" style="4" customWidth="1"/>
    <col min="20" max="20" width="11.8928571428571" style="5" customWidth="1"/>
    <col min="21" max="21" width="7.4375" style="4" customWidth="1"/>
    <col min="22" max="22" width="21.7767857142857" style="4" customWidth="1"/>
    <col min="23" max="30" width="20.7767857142857" style="4" customWidth="1"/>
    <col min="31" max="31" width="8.89285714285714" style="4" customWidth="1"/>
    <col min="32" max="32" width="13.1071428571429" style="4" customWidth="1"/>
    <col min="33" max="33" width="14" style="4" customWidth="1"/>
    <col min="34" max="34" width="14.1071428571429" style="4" customWidth="1"/>
    <col min="35" max="35" width="16.7767857142857" style="4" customWidth="1"/>
    <col min="36" max="36" width="18.8928571428571" style="4" customWidth="1"/>
    <col min="37" max="37" width="16.8928571428571" style="4" customWidth="1"/>
    <col min="38" max="38" width="19.7767857142857" style="4" customWidth="1"/>
    <col min="39" max="39" width="18" style="4" customWidth="1"/>
    <col min="40" max="40" width="11.4375" style="4" customWidth="1"/>
    <col min="41" max="41" width="16.6696428571429" style="6" customWidth="1"/>
    <col min="42" max="42" width="15" style="6" customWidth="1"/>
    <col min="43" max="43" width="15" style="4" customWidth="1"/>
    <col min="44" max="44" width="6.10714285714286" style="4" customWidth="1"/>
    <col min="45" max="45" width="27.6696428571429" style="4" customWidth="1"/>
    <col min="46" max="46" width="20.6696428571429" style="4" customWidth="1"/>
    <col min="47" max="47" width="15.8928571428571" style="6" customWidth="1"/>
    <col min="48" max="48" width="27.2232142857143" style="4" customWidth="1"/>
    <col min="49" max="49" width="18.1071428571429" style="4" customWidth="1"/>
    <col min="50" max="50" width="11.7767857142857" style="4" customWidth="1"/>
    <col min="51" max="51" width="20" style="4" customWidth="1"/>
    <col min="52" max="52" width="18.7767857142857" style="4" customWidth="1"/>
    <col min="53" max="53" width="23.3303571428571" style="4" customWidth="1"/>
    <col min="54" max="58" width="26.8928571428571" style="4" customWidth="1"/>
    <col min="59" max="59" width="14" style="4" customWidth="1"/>
    <col min="60" max="64" width="16.3303571428571" style="4" customWidth="1"/>
    <col min="65" max="65" width="6.77678571428571" style="4" customWidth="1"/>
    <col min="66" max="66" width="12" style="4" customWidth="1"/>
    <col min="67" max="67" width="14.2232142857143" style="4" customWidth="1"/>
    <col min="68" max="68" width="12" style="4" customWidth="1"/>
    <col min="69" max="69" width="14.2232142857143" style="4" customWidth="1"/>
    <col min="70" max="70" width="13.7767857142857" style="4" customWidth="1"/>
    <col min="71" max="71" width="46.1071428571429" style="4" customWidth="1"/>
    <col min="72" max="72" width="9.89285714285714" style="4" customWidth="1"/>
    <col min="73" max="73" width="10.4375" style="4" customWidth="1"/>
    <col min="74" max="74" width="10.6696428571429" style="4" customWidth="1"/>
    <col min="75" max="75" width="36.4375" style="4" customWidth="1"/>
    <col min="76" max="76" width="10.4375" style="4" customWidth="1"/>
    <col min="77" max="77" width="22.7767857142857" style="4" customWidth="1"/>
    <col min="78" max="78" width="12.3303571428571" style="4" customWidth="1"/>
    <col min="79" max="79" width="11" style="4" customWidth="1"/>
    <col min="80" max="80" width="11.4375" style="4" customWidth="1"/>
    <col min="81" max="81" width="9.77678571428571" style="4" customWidth="1"/>
    <col min="82" max="82" width="30.3303571428571" style="4" customWidth="1"/>
    <col min="83" max="83" width="36.3303571428571" style="4" customWidth="1"/>
    <col min="84" max="84" width="65.1071428571429" style="4" customWidth="1"/>
    <col min="85" max="86" width="64.8928571428571" style="4" customWidth="1"/>
    <col min="87" max="88" width="18.7767857142857" style="4" customWidth="1"/>
    <col min="89" max="89" width="45.3303571428571" style="4" customWidth="1"/>
    <col min="90" max="90" width="12.1071428571429" style="4" customWidth="1"/>
    <col min="91" max="91" width="29.1071428571429" style="4" customWidth="1"/>
    <col min="92" max="94" width="32.7767857142857" style="4" customWidth="1"/>
    <col min="95" max="97" width="24.3303571428571" style="4" customWidth="1"/>
    <col min="98" max="98" width="34.4375" style="4" customWidth="1"/>
    <col min="99" max="99" width="27.4375" style="4" customWidth="1"/>
    <col min="100" max="100" width="28" style="4" customWidth="1"/>
    <col min="101" max="101" width="26.1071428571429" style="4" customWidth="1"/>
    <col min="102" max="102" width="26.3303571428571" style="4" customWidth="1"/>
    <col min="103" max="103" width="26" style="4" customWidth="1"/>
    <col min="104" max="104" width="41" style="4" customWidth="1"/>
    <col min="105" max="105" width="27.2232142857143" style="4" customWidth="1"/>
    <col min="106" max="106" width="33.7767857142857" style="4" customWidth="1"/>
    <col min="107" max="111" width="46.6696428571429" style="4" customWidth="1"/>
    <col min="112" max="112" width="12.1071428571429" style="4" customWidth="1"/>
    <col min="113" max="113" width="38.4375" style="4" customWidth="1"/>
    <col min="114" max="114" width="14.3303571428571" style="4" customWidth="1"/>
    <col min="115" max="115" width="25.4375" style="4" customWidth="1"/>
    <col min="116" max="116" width="12.1071428571429" style="4" customWidth="1"/>
    <col min="117" max="117" width="26.1071428571429" style="4" customWidth="1"/>
    <col min="118" max="118" width="16.8928571428571" style="4" customWidth="1"/>
    <col min="119" max="121" width="61.3303571428571" style="4" customWidth="1"/>
    <col min="122" max="122" width="13" style="4" customWidth="1"/>
    <col min="123" max="123" width="12.8928571428571" style="4" customWidth="1"/>
    <col min="124" max="124" width="6.77678571428571" style="4" customWidth="1"/>
    <col min="125" max="125" width="14.3303571428571" style="4" customWidth="1"/>
    <col min="126" max="126" width="9.22321428571429" style="4" customWidth="1"/>
    <col min="127" max="127" width="23" style="4" customWidth="1"/>
    <col min="128" max="128" width="20.3303571428571" style="4" customWidth="1"/>
    <col min="129" max="129" width="32.7767857142857" style="4" customWidth="1"/>
    <col min="130" max="130" width="12.8928571428571" style="4" customWidth="1"/>
    <col min="131" max="131" width="15.1071428571429" style="4" customWidth="1"/>
    <col min="132" max="132" width="23.6696428571429" style="4" customWidth="1"/>
    <col min="133" max="133" width="24.8928571428571" style="4" customWidth="1"/>
    <col min="134" max="134" width="36.7767857142857" style="4" customWidth="1"/>
    <col min="135" max="135" width="12.4375" style="4" customWidth="1"/>
    <col min="136" max="136" width="21" style="4" customWidth="1"/>
    <col min="137" max="137" width="38.4375" style="4" customWidth="1"/>
    <col min="138" max="138" width="19.1071428571429" style="4" customWidth="1"/>
    <col min="139" max="139" width="37.1071428571429" style="4" customWidth="1"/>
    <col min="140" max="140" width="28.3303571428571" style="4" customWidth="1"/>
    <col min="141" max="141" width="30.2232142857143" style="4" customWidth="1"/>
    <col min="142" max="142" width="23.6696428571429" style="4" customWidth="1"/>
    <col min="143" max="143" width="24.1071428571429" style="4" customWidth="1"/>
    <col min="144" max="144" width="15.6696428571429" style="4" customWidth="1"/>
    <col min="145" max="145" width="24.6696428571429" style="4" customWidth="1"/>
    <col min="146" max="146" width="23" style="4" customWidth="1"/>
    <col min="147" max="147" width="19.3303571428571" style="4" customWidth="1"/>
    <col min="148" max="148" width="23" style="4" customWidth="1"/>
    <col min="149" max="149" width="19.3303571428571" style="4" customWidth="1"/>
    <col min="150" max="150" width="23" style="4" customWidth="1"/>
    <col min="151" max="151" width="19.3303571428571" style="4" customWidth="1"/>
    <col min="152" max="152" width="23" style="4" customWidth="1"/>
    <col min="153" max="153" width="19.3303571428571" style="4" customWidth="1"/>
    <col min="154" max="154" width="23" style="4" customWidth="1"/>
    <col min="155" max="155" width="19.3303571428571" style="4" customWidth="1"/>
    <col min="156" max="156" width="23.7767857142857" style="4" customWidth="1"/>
    <col min="157" max="157" width="36" style="4" customWidth="1"/>
    <col min="158" max="158" width="26.8928571428571" style="4" customWidth="1"/>
    <col min="159" max="159" width="36" style="4" customWidth="1"/>
    <col min="160" max="160" width="26.8928571428571" style="4" customWidth="1"/>
    <col min="161" max="161" width="36" style="4" customWidth="1"/>
    <col min="162" max="162" width="26.8928571428571" style="4" customWidth="1"/>
    <col min="163" max="163" width="27.7767857142857" style="4" customWidth="1"/>
    <col min="164" max="164" width="60.6696428571429" style="4" customWidth="1"/>
    <col min="165" max="165" width="17.3303571428571" style="4" customWidth="1"/>
    <col min="166" max="166" width="9" style="4" customWidth="1"/>
    <col min="167" max="16384" width="9" style="4"/>
  </cols>
  <sheetData>
    <row r="1" spans="1:165">
      <c r="A1" s="7" t="s">
        <v>926</v>
      </c>
      <c r="B1" s="8" t="s">
        <v>927</v>
      </c>
      <c r="C1" s="7" t="s">
        <v>928</v>
      </c>
      <c r="D1" s="8" t="s">
        <v>929</v>
      </c>
      <c r="E1" s="7" t="s">
        <v>930</v>
      </c>
      <c r="F1" s="7"/>
      <c r="G1" s="7"/>
      <c r="H1" s="7"/>
      <c r="I1" s="7"/>
      <c r="J1" s="9"/>
      <c r="K1" s="9"/>
      <c r="L1" s="7"/>
      <c r="M1" s="7"/>
      <c r="N1" s="7"/>
      <c r="O1" s="7"/>
      <c r="P1" s="7"/>
      <c r="Q1" s="9"/>
      <c r="R1" s="7"/>
      <c r="S1" s="7"/>
      <c r="T1" s="8"/>
      <c r="U1" s="7"/>
      <c r="V1" s="7"/>
      <c r="W1" s="10" t="s">
        <v>931</v>
      </c>
      <c r="X1" s="10"/>
      <c r="Y1" s="10"/>
      <c r="Z1" s="10"/>
      <c r="AA1" s="10"/>
      <c r="AB1" s="10"/>
      <c r="AC1" s="10"/>
      <c r="AD1" s="10"/>
      <c r="AE1" s="11" t="s">
        <v>932</v>
      </c>
      <c r="AF1" s="11"/>
      <c r="AG1" s="11"/>
      <c r="AH1" s="11"/>
      <c r="AI1" s="12" t="s">
        <v>933</v>
      </c>
      <c r="AJ1" s="12"/>
      <c r="AK1" s="12"/>
      <c r="AL1" s="12"/>
      <c r="AM1" s="12"/>
      <c r="AN1" s="12"/>
      <c r="AO1" s="9"/>
      <c r="AP1" s="9"/>
      <c r="AQ1" s="12"/>
      <c r="AR1" s="12"/>
      <c r="AS1" s="12"/>
      <c r="AT1" s="12"/>
      <c r="AU1" s="9"/>
      <c r="AV1" s="12"/>
      <c r="AW1" s="12"/>
      <c r="AX1" s="12"/>
      <c r="AY1" s="12"/>
      <c r="AZ1" s="9" t="s">
        <v>934</v>
      </c>
      <c r="BA1" s="9"/>
      <c r="BB1" s="9"/>
      <c r="BC1" s="9"/>
      <c r="BD1" s="9"/>
      <c r="BE1" s="9"/>
      <c r="BF1" s="9"/>
      <c r="BG1" s="9"/>
      <c r="BH1" s="9"/>
      <c r="BI1" s="9"/>
      <c r="BJ1" s="9"/>
      <c r="BK1" s="9"/>
      <c r="BL1" s="9"/>
      <c r="BM1" s="9"/>
      <c r="BN1" s="9"/>
      <c r="BO1" s="9"/>
      <c r="BP1" s="9"/>
      <c r="BQ1" s="9"/>
      <c r="BR1" s="13" t="s">
        <v>935</v>
      </c>
      <c r="BS1" s="13"/>
      <c r="BT1" s="13"/>
      <c r="BU1" s="13"/>
      <c r="BV1" s="13"/>
      <c r="BW1" s="13"/>
      <c r="BX1" s="13"/>
      <c r="BY1" s="14" t="s">
        <v>936</v>
      </c>
      <c r="BZ1" s="14"/>
      <c r="CA1" s="14"/>
      <c r="CB1" s="14"/>
      <c r="CC1" s="14"/>
      <c r="CD1" s="14"/>
      <c r="CE1" s="14"/>
      <c r="CF1" s="15" t="s">
        <v>937</v>
      </c>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6" t="s">
        <v>938</v>
      </c>
      <c r="DS1" s="16"/>
      <c r="DT1" s="16"/>
      <c r="DU1" s="16"/>
      <c r="DV1" s="16"/>
      <c r="DW1" s="16"/>
      <c r="DX1" s="16"/>
      <c r="DY1" s="16"/>
      <c r="DZ1" s="16"/>
      <c r="EA1" s="16"/>
      <c r="EB1" s="16"/>
      <c r="EC1" s="16"/>
      <c r="ED1" s="16"/>
      <c r="EE1" s="16"/>
      <c r="EF1" s="16"/>
      <c r="EG1" s="16"/>
      <c r="EH1" s="16"/>
      <c r="EI1" s="16"/>
      <c r="EJ1" s="16"/>
      <c r="EK1" s="16"/>
      <c r="EL1" s="16"/>
      <c r="EM1" s="16"/>
      <c r="EN1" s="17" t="s">
        <v>939</v>
      </c>
      <c r="EO1" s="17"/>
      <c r="EP1" s="17"/>
      <c r="EQ1" s="17"/>
      <c r="ER1" s="17"/>
      <c r="ES1" s="17"/>
      <c r="ET1" s="17"/>
      <c r="EU1" s="17"/>
      <c r="EV1" s="17"/>
      <c r="EW1" s="17"/>
      <c r="EX1" s="17"/>
      <c r="EY1" s="17"/>
      <c r="EZ1" s="17"/>
      <c r="FA1" s="17"/>
      <c r="FB1" s="17"/>
      <c r="FC1" s="17"/>
      <c r="FD1" s="17"/>
      <c r="FE1" s="17"/>
      <c r="FF1" s="17"/>
      <c r="FG1" s="17"/>
      <c r="FH1" s="17"/>
      <c r="FI1" s="17"/>
    </row>
    <row r="2" ht="28.05" customHeight="1" spans="1:165">
      <c r="A2" s="18" t="s">
        <v>940</v>
      </c>
      <c r="B2" s="19" t="s">
        <v>941</v>
      </c>
      <c r="C2" s="18" t="s">
        <v>942</v>
      </c>
      <c r="D2" s="19" t="s">
        <v>943</v>
      </c>
      <c r="E2" s="18" t="s">
        <v>944</v>
      </c>
      <c r="F2" s="18" t="s">
        <v>945</v>
      </c>
      <c r="G2" s="18" t="s">
        <v>946</v>
      </c>
      <c r="H2" s="20" t="s">
        <v>947</v>
      </c>
      <c r="I2" s="18" t="s">
        <v>948</v>
      </c>
      <c r="J2" s="21" t="s">
        <v>949</v>
      </c>
      <c r="K2" s="21" t="s">
        <v>950</v>
      </c>
      <c r="L2" s="18" t="s">
        <v>951</v>
      </c>
      <c r="M2" s="18" t="s">
        <v>952</v>
      </c>
      <c r="N2" s="18" t="s">
        <v>953</v>
      </c>
      <c r="O2" s="18" t="s">
        <v>954</v>
      </c>
      <c r="P2" s="18" t="s">
        <v>955</v>
      </c>
      <c r="Q2" s="21" t="s">
        <v>956</v>
      </c>
      <c r="R2" s="18" t="s">
        <v>957</v>
      </c>
      <c r="S2" s="18" t="s">
        <v>958</v>
      </c>
      <c r="T2" s="19" t="s">
        <v>959</v>
      </c>
      <c r="U2" s="18" t="s">
        <v>960</v>
      </c>
      <c r="V2" s="18" t="s">
        <v>961</v>
      </c>
      <c r="W2" s="22" t="s">
        <v>962</v>
      </c>
      <c r="X2" s="22" t="s">
        <v>963</v>
      </c>
      <c r="Y2" s="22" t="s">
        <v>964</v>
      </c>
      <c r="Z2" s="22" t="s">
        <v>965</v>
      </c>
      <c r="AA2" s="22" t="s">
        <v>966</v>
      </c>
      <c r="AB2" s="22" t="s">
        <v>967</v>
      </c>
      <c r="AC2" s="22" t="s">
        <v>968</v>
      </c>
      <c r="AD2" s="22" t="s">
        <v>969</v>
      </c>
      <c r="AE2" s="23" t="s">
        <v>970</v>
      </c>
      <c r="AF2" s="23" t="s">
        <v>971</v>
      </c>
      <c r="AG2" s="23" t="s">
        <v>972</v>
      </c>
      <c r="AH2" s="23" t="s">
        <v>973</v>
      </c>
      <c r="AI2" s="24" t="s">
        <v>974</v>
      </c>
      <c r="AJ2" s="24" t="s">
        <v>975</v>
      </c>
      <c r="AK2" s="24" t="s">
        <v>976</v>
      </c>
      <c r="AL2" s="24" t="s">
        <v>977</v>
      </c>
      <c r="AM2" s="20" t="s">
        <v>978</v>
      </c>
      <c r="AN2" s="24" t="s">
        <v>979</v>
      </c>
      <c r="AO2" s="21" t="s">
        <v>980</v>
      </c>
      <c r="AP2" s="21" t="s">
        <v>981</v>
      </c>
      <c r="AQ2" s="24" t="s">
        <v>982</v>
      </c>
      <c r="AR2" s="24" t="s">
        <v>983</v>
      </c>
      <c r="AS2" s="24" t="s">
        <v>984</v>
      </c>
      <c r="AT2" s="24" t="s">
        <v>985</v>
      </c>
      <c r="AU2" s="21" t="s">
        <v>986</v>
      </c>
      <c r="AV2" s="24" t="s">
        <v>987</v>
      </c>
      <c r="AW2" s="24" t="s">
        <v>988</v>
      </c>
      <c r="AX2" s="24" t="s">
        <v>989</v>
      </c>
      <c r="AY2" s="24" t="s">
        <v>990</v>
      </c>
      <c r="AZ2" s="21" t="s">
        <v>991</v>
      </c>
      <c r="BA2" s="21" t="s">
        <v>992</v>
      </c>
      <c r="BB2" s="21" t="s">
        <v>993</v>
      </c>
      <c r="BC2" s="21" t="s">
        <v>993</v>
      </c>
      <c r="BD2" s="21" t="s">
        <v>993</v>
      </c>
      <c r="BE2" s="21" t="s">
        <v>993</v>
      </c>
      <c r="BF2" s="21" t="s">
        <v>993</v>
      </c>
      <c r="BG2" s="21" t="s">
        <v>994</v>
      </c>
      <c r="BH2" s="21" t="s">
        <v>995</v>
      </c>
      <c r="BI2" s="21" t="s">
        <v>995</v>
      </c>
      <c r="BJ2" s="21" t="s">
        <v>995</v>
      </c>
      <c r="BK2" s="21" t="s">
        <v>995</v>
      </c>
      <c r="BL2" s="21" t="s">
        <v>995</v>
      </c>
      <c r="BM2" s="21" t="s">
        <v>996</v>
      </c>
      <c r="BN2" s="21" t="s">
        <v>997</v>
      </c>
      <c r="BO2" s="20" t="s">
        <v>998</v>
      </c>
      <c r="BP2" s="20" t="s">
        <v>999</v>
      </c>
      <c r="BQ2" s="20" t="s">
        <v>1000</v>
      </c>
      <c r="BR2" s="25" t="s">
        <v>1001</v>
      </c>
      <c r="BS2" s="25" t="s">
        <v>1002</v>
      </c>
      <c r="BT2" s="25" t="s">
        <v>1003</v>
      </c>
      <c r="BU2" s="25" t="s">
        <v>1004</v>
      </c>
      <c r="BV2" s="25" t="s">
        <v>1005</v>
      </c>
      <c r="BW2" s="25" t="s">
        <v>1006</v>
      </c>
      <c r="BX2" s="25" t="s">
        <v>1007</v>
      </c>
      <c r="BY2" s="26" t="s">
        <v>1008</v>
      </c>
      <c r="BZ2" s="26" t="s">
        <v>1009</v>
      </c>
      <c r="CA2" s="26" t="s">
        <v>1010</v>
      </c>
      <c r="CB2" s="26" t="s">
        <v>1011</v>
      </c>
      <c r="CC2" s="26" t="s">
        <v>1012</v>
      </c>
      <c r="CD2" s="26" t="s">
        <v>1013</v>
      </c>
      <c r="CE2" s="26" t="s">
        <v>1014</v>
      </c>
      <c r="CF2" s="27" t="s">
        <v>1015</v>
      </c>
      <c r="CG2" s="27" t="s">
        <v>1016</v>
      </c>
      <c r="CH2" s="27" t="s">
        <v>1017</v>
      </c>
      <c r="CI2" s="27" t="s">
        <v>1018</v>
      </c>
      <c r="CJ2" s="27" t="s">
        <v>1019</v>
      </c>
      <c r="CK2" s="27" t="s">
        <v>1020</v>
      </c>
      <c r="CL2" s="27" t="s">
        <v>1021</v>
      </c>
      <c r="CM2" s="27" t="s">
        <v>1022</v>
      </c>
      <c r="CN2" s="27" t="s">
        <v>1023</v>
      </c>
      <c r="CO2" s="27" t="s">
        <v>1023</v>
      </c>
      <c r="CP2" s="27" t="s">
        <v>1023</v>
      </c>
      <c r="CQ2" s="27" t="s">
        <v>1024</v>
      </c>
      <c r="CR2" s="27" t="s">
        <v>1024</v>
      </c>
      <c r="CS2" s="27" t="s">
        <v>1024</v>
      </c>
      <c r="CT2" s="27" t="s">
        <v>1025</v>
      </c>
      <c r="CU2" s="27" t="s">
        <v>1026</v>
      </c>
      <c r="CV2" s="27" t="s">
        <v>1027</v>
      </c>
      <c r="CW2" s="27" t="s">
        <v>1028</v>
      </c>
      <c r="CX2" s="27" t="s">
        <v>1029</v>
      </c>
      <c r="CY2" s="27" t="s">
        <v>1030</v>
      </c>
      <c r="CZ2" s="27" t="s">
        <v>1031</v>
      </c>
      <c r="DA2" s="27" t="s">
        <v>1032</v>
      </c>
      <c r="DB2" s="27" t="s">
        <v>1033</v>
      </c>
      <c r="DC2" s="27" t="s">
        <v>1034</v>
      </c>
      <c r="DD2" s="27" t="s">
        <v>1034</v>
      </c>
      <c r="DE2" s="27" t="s">
        <v>1034</v>
      </c>
      <c r="DF2" s="27" t="s">
        <v>1034</v>
      </c>
      <c r="DG2" s="27" t="s">
        <v>1034</v>
      </c>
      <c r="DH2" s="27" t="s">
        <v>1035</v>
      </c>
      <c r="DI2" s="27" t="s">
        <v>1036</v>
      </c>
      <c r="DJ2" s="27" t="s">
        <v>1037</v>
      </c>
      <c r="DK2" s="27" t="s">
        <v>1038</v>
      </c>
      <c r="DL2" s="27" t="s">
        <v>1039</v>
      </c>
      <c r="DM2" s="27" t="s">
        <v>1040</v>
      </c>
      <c r="DN2" s="27" t="s">
        <v>1041</v>
      </c>
      <c r="DO2" s="27" t="s">
        <v>1042</v>
      </c>
      <c r="DP2" s="27" t="s">
        <v>1042</v>
      </c>
      <c r="DQ2" s="27" t="s">
        <v>1042</v>
      </c>
      <c r="DR2" s="28" t="s">
        <v>1043</v>
      </c>
      <c r="DS2" s="28" t="s">
        <v>1044</v>
      </c>
      <c r="DT2" s="28" t="s">
        <v>1045</v>
      </c>
      <c r="DU2" s="28" t="s">
        <v>1046</v>
      </c>
      <c r="DV2" s="28" t="s">
        <v>1047</v>
      </c>
      <c r="DW2" s="28" t="s">
        <v>1048</v>
      </c>
      <c r="DX2" s="28" t="s">
        <v>1049</v>
      </c>
      <c r="DY2" s="28" t="s">
        <v>1050</v>
      </c>
      <c r="DZ2" s="28" t="s">
        <v>1051</v>
      </c>
      <c r="EA2" s="28" t="s">
        <v>1052</v>
      </c>
      <c r="EB2" s="28" t="s">
        <v>1053</v>
      </c>
      <c r="EC2" s="28" t="s">
        <v>1054</v>
      </c>
      <c r="ED2" s="28" t="s">
        <v>1055</v>
      </c>
      <c r="EE2" s="28" t="s">
        <v>1056</v>
      </c>
      <c r="EF2" s="28" t="s">
        <v>1057</v>
      </c>
      <c r="EG2" s="28" t="s">
        <v>1058</v>
      </c>
      <c r="EH2" s="28" t="s">
        <v>1059</v>
      </c>
      <c r="EI2" s="28" t="s">
        <v>1060</v>
      </c>
      <c r="EJ2" s="28" t="s">
        <v>1061</v>
      </c>
      <c r="EK2" s="28" t="s">
        <v>1062</v>
      </c>
      <c r="EL2" s="28" t="s">
        <v>1063</v>
      </c>
      <c r="EM2" s="28" t="s">
        <v>1064</v>
      </c>
      <c r="EN2" s="29" t="s">
        <v>1065</v>
      </c>
      <c r="EO2" s="29" t="s">
        <v>1066</v>
      </c>
      <c r="EP2" s="29" t="s">
        <v>1067</v>
      </c>
      <c r="EQ2" s="29" t="s">
        <v>1068</v>
      </c>
      <c r="ER2" s="29" t="s">
        <v>1069</v>
      </c>
      <c r="ES2" s="29" t="s">
        <v>1070</v>
      </c>
      <c r="ET2" s="29" t="s">
        <v>1071</v>
      </c>
      <c r="EU2" s="29" t="s">
        <v>1072</v>
      </c>
      <c r="EV2" s="29" t="s">
        <v>1073</v>
      </c>
      <c r="EW2" s="29" t="s">
        <v>1074</v>
      </c>
      <c r="EX2" s="29" t="s">
        <v>1075</v>
      </c>
      <c r="EY2" s="29" t="s">
        <v>1076</v>
      </c>
      <c r="EZ2" s="29" t="s">
        <v>1077</v>
      </c>
      <c r="FA2" s="29" t="s">
        <v>1078</v>
      </c>
      <c r="FB2" s="29" t="s">
        <v>1079</v>
      </c>
      <c r="FC2" s="29" t="s">
        <v>1080</v>
      </c>
      <c r="FD2" s="29" t="s">
        <v>1081</v>
      </c>
      <c r="FE2" s="29" t="s">
        <v>1082</v>
      </c>
      <c r="FF2" s="29" t="s">
        <v>1083</v>
      </c>
      <c r="FG2" s="29" t="s">
        <v>1084</v>
      </c>
      <c r="FH2" s="29" t="s">
        <v>1085</v>
      </c>
      <c r="FI2" s="29" t="s">
        <v>1086</v>
      </c>
    </row>
    <row r="3" spans="1:165">
      <c r="A3" s="18" t="s">
        <v>1087</v>
      </c>
      <c r="B3" s="19" t="s">
        <v>1088</v>
      </c>
      <c r="C3" s="18" t="s">
        <v>1089</v>
      </c>
      <c r="D3" s="19" t="s">
        <v>1090</v>
      </c>
      <c r="E3" s="18" t="s">
        <v>1091</v>
      </c>
      <c r="F3" s="18" t="s">
        <v>1092</v>
      </c>
      <c r="G3" s="18" t="s">
        <v>1093</v>
      </c>
      <c r="H3" s="20" t="s">
        <v>1094</v>
      </c>
      <c r="I3" s="18" t="s">
        <v>1095</v>
      </c>
      <c r="J3" s="21" t="s">
        <v>1096</v>
      </c>
      <c r="K3" s="21" t="s">
        <v>1097</v>
      </c>
      <c r="L3" s="18" t="s">
        <v>1098</v>
      </c>
      <c r="M3" s="18" t="s">
        <v>1099</v>
      </c>
      <c r="N3" s="18" t="s">
        <v>1100</v>
      </c>
      <c r="O3" s="18" t="s">
        <v>1101</v>
      </c>
      <c r="P3" s="18" t="s">
        <v>1102</v>
      </c>
      <c r="Q3" s="21" t="s">
        <v>1103</v>
      </c>
      <c r="R3" s="18" t="s">
        <v>1104</v>
      </c>
      <c r="S3" s="18" t="s">
        <v>1105</v>
      </c>
      <c r="T3" s="19" t="s">
        <v>1106</v>
      </c>
      <c r="U3" s="18" t="s">
        <v>1107</v>
      </c>
      <c r="V3" s="18" t="s">
        <v>1108</v>
      </c>
      <c r="W3" s="22" t="s">
        <v>1109</v>
      </c>
      <c r="X3" s="22" t="s">
        <v>1110</v>
      </c>
      <c r="Y3" s="22" t="s">
        <v>1111</v>
      </c>
      <c r="Z3" s="22" t="s">
        <v>1112</v>
      </c>
      <c r="AA3" s="22" t="s">
        <v>1113</v>
      </c>
      <c r="AB3" s="22" t="s">
        <v>1114</v>
      </c>
      <c r="AC3" s="22" t="s">
        <v>1115</v>
      </c>
      <c r="AD3" s="22" t="s">
        <v>1116</v>
      </c>
      <c r="AE3" s="23" t="s">
        <v>1117</v>
      </c>
      <c r="AF3" s="23" t="s">
        <v>1118</v>
      </c>
      <c r="AG3" s="23" t="s">
        <v>1119</v>
      </c>
      <c r="AH3" s="23" t="s">
        <v>1120</v>
      </c>
      <c r="AI3" s="24" t="s">
        <v>1121</v>
      </c>
      <c r="AJ3" s="24" t="s">
        <v>1122</v>
      </c>
      <c r="AK3" s="24" t="s">
        <v>1123</v>
      </c>
      <c r="AL3" s="24" t="s">
        <v>1124</v>
      </c>
      <c r="AM3" s="20" t="s">
        <v>1125</v>
      </c>
      <c r="AN3" s="24" t="s">
        <v>1126</v>
      </c>
      <c r="AO3" s="21" t="s">
        <v>1127</v>
      </c>
      <c r="AP3" s="21" t="s">
        <v>1128</v>
      </c>
      <c r="AQ3" s="24" t="s">
        <v>1129</v>
      </c>
      <c r="AR3" s="24" t="s">
        <v>1130</v>
      </c>
      <c r="AS3" s="24" t="s">
        <v>1131</v>
      </c>
      <c r="AT3" s="24" t="s">
        <v>1132</v>
      </c>
      <c r="AU3" s="21" t="s">
        <v>1133</v>
      </c>
      <c r="AV3" s="24" t="s">
        <v>1134</v>
      </c>
      <c r="AW3" s="24" t="s">
        <v>1135</v>
      </c>
      <c r="AX3" s="24" t="s">
        <v>1136</v>
      </c>
      <c r="AY3" s="24" t="s">
        <v>990</v>
      </c>
      <c r="AZ3" s="21" t="s">
        <v>1137</v>
      </c>
      <c r="BA3" s="21" t="s">
        <v>1138</v>
      </c>
      <c r="BB3" s="21" t="s">
        <v>1139</v>
      </c>
      <c r="BC3" s="21" t="s">
        <v>1140</v>
      </c>
      <c r="BD3" s="21" t="s">
        <v>1141</v>
      </c>
      <c r="BE3" s="21" t="s">
        <v>1142</v>
      </c>
      <c r="BF3" s="21" t="s">
        <v>1143</v>
      </c>
      <c r="BG3" s="21" t="s">
        <v>1144</v>
      </c>
      <c r="BH3" s="21" t="s">
        <v>1145</v>
      </c>
      <c r="BI3" s="21" t="s">
        <v>1146</v>
      </c>
      <c r="BJ3" s="21" t="s">
        <v>1147</v>
      </c>
      <c r="BK3" s="21" t="s">
        <v>1148</v>
      </c>
      <c r="BL3" s="21" t="s">
        <v>1149</v>
      </c>
      <c r="BM3" s="21" t="s">
        <v>1150</v>
      </c>
      <c r="BN3" s="21" t="s">
        <v>997</v>
      </c>
      <c r="BO3" s="20" t="s">
        <v>1151</v>
      </c>
      <c r="BP3" s="20" t="s">
        <v>1152</v>
      </c>
      <c r="BQ3" s="20" t="s">
        <v>1153</v>
      </c>
      <c r="BR3" s="25" t="s">
        <v>1154</v>
      </c>
      <c r="BS3" s="25" t="s">
        <v>1155</v>
      </c>
      <c r="BT3" s="25" t="s">
        <v>1003</v>
      </c>
      <c r="BU3" s="25" t="s">
        <v>1004</v>
      </c>
      <c r="BV3" s="25" t="s">
        <v>1005</v>
      </c>
      <c r="BW3" s="25" t="s">
        <v>1156</v>
      </c>
      <c r="BX3" s="25" t="s">
        <v>1007</v>
      </c>
      <c r="BY3" s="26" t="s">
        <v>1157</v>
      </c>
      <c r="BZ3" s="26" t="s">
        <v>1158</v>
      </c>
      <c r="CA3" s="26" t="s">
        <v>1159</v>
      </c>
      <c r="CB3" s="26" t="s">
        <v>1160</v>
      </c>
      <c r="CC3" s="26" t="s">
        <v>1161</v>
      </c>
      <c r="CD3" s="26" t="s">
        <v>1162</v>
      </c>
      <c r="CE3" s="26" t="s">
        <v>1163</v>
      </c>
      <c r="CF3" s="27" t="s">
        <v>1164</v>
      </c>
      <c r="CG3" s="27" t="s">
        <v>1165</v>
      </c>
      <c r="CH3" s="27" t="s">
        <v>1166</v>
      </c>
      <c r="CI3" s="27" t="s">
        <v>1167</v>
      </c>
      <c r="CJ3" s="27" t="s">
        <v>1019</v>
      </c>
      <c r="CK3" s="27" t="s">
        <v>1168</v>
      </c>
      <c r="CL3" s="27" t="s">
        <v>1169</v>
      </c>
      <c r="CM3" s="27" t="s">
        <v>1170</v>
      </c>
      <c r="CN3" s="27" t="s">
        <v>1171</v>
      </c>
      <c r="CO3" s="27" t="s">
        <v>1172</v>
      </c>
      <c r="CP3" s="27" t="s">
        <v>1173</v>
      </c>
      <c r="CQ3" s="27" t="s">
        <v>1174</v>
      </c>
      <c r="CR3" s="27" t="s">
        <v>1175</v>
      </c>
      <c r="CS3" s="27" t="s">
        <v>1176</v>
      </c>
      <c r="CT3" s="27" t="s">
        <v>1177</v>
      </c>
      <c r="CU3" s="27" t="s">
        <v>1026</v>
      </c>
      <c r="CV3" s="27" t="s">
        <v>1178</v>
      </c>
      <c r="CW3" s="27" t="s">
        <v>1179</v>
      </c>
      <c r="CX3" s="27" t="s">
        <v>1180</v>
      </c>
      <c r="CY3" s="27" t="s">
        <v>1181</v>
      </c>
      <c r="CZ3" s="27" t="s">
        <v>1031</v>
      </c>
      <c r="DA3" s="27" t="s">
        <v>1182</v>
      </c>
      <c r="DB3" s="27" t="s">
        <v>1033</v>
      </c>
      <c r="DC3" s="27" t="s">
        <v>1183</v>
      </c>
      <c r="DD3" s="27" t="s">
        <v>1184</v>
      </c>
      <c r="DE3" s="27" t="s">
        <v>1185</v>
      </c>
      <c r="DF3" s="27" t="s">
        <v>1186</v>
      </c>
      <c r="DG3" s="27" t="s">
        <v>1187</v>
      </c>
      <c r="DH3" s="27" t="s">
        <v>1188</v>
      </c>
      <c r="DI3" s="27" t="s">
        <v>1189</v>
      </c>
      <c r="DJ3" s="27" t="s">
        <v>1190</v>
      </c>
      <c r="DK3" s="27" t="s">
        <v>1038</v>
      </c>
      <c r="DL3" s="27" t="s">
        <v>1191</v>
      </c>
      <c r="DM3" s="27" t="s">
        <v>1040</v>
      </c>
      <c r="DN3" s="27" t="s">
        <v>1192</v>
      </c>
      <c r="DO3" s="27" t="s">
        <v>1193</v>
      </c>
      <c r="DP3" s="27" t="s">
        <v>1194</v>
      </c>
      <c r="DQ3" s="27" t="s">
        <v>1195</v>
      </c>
      <c r="DR3" s="28" t="s">
        <v>215</v>
      </c>
      <c r="DS3" s="28" t="s">
        <v>1044</v>
      </c>
      <c r="DT3" s="28" t="s">
        <v>1196</v>
      </c>
      <c r="DU3" s="28" t="s">
        <v>1197</v>
      </c>
      <c r="DV3" s="28" t="s">
        <v>1198</v>
      </c>
      <c r="DW3" s="28" t="s">
        <v>1199</v>
      </c>
      <c r="DX3" s="28" t="s">
        <v>1200</v>
      </c>
      <c r="DY3" s="28" t="s">
        <v>1201</v>
      </c>
      <c r="DZ3" s="28" t="s">
        <v>1202</v>
      </c>
      <c r="EA3" s="28" t="s">
        <v>1203</v>
      </c>
      <c r="EB3" s="28" t="s">
        <v>1204</v>
      </c>
      <c r="EC3" s="28" t="s">
        <v>1205</v>
      </c>
      <c r="ED3" s="28" t="s">
        <v>1206</v>
      </c>
      <c r="EE3" s="28" t="s">
        <v>1207</v>
      </c>
      <c r="EF3" s="28" t="s">
        <v>1208</v>
      </c>
      <c r="EG3" s="28" t="s">
        <v>1209</v>
      </c>
      <c r="EH3" s="28" t="s">
        <v>1210</v>
      </c>
      <c r="EI3" s="28" t="s">
        <v>1211</v>
      </c>
      <c r="EJ3" s="28" t="s">
        <v>1212</v>
      </c>
      <c r="EK3" s="28" t="s">
        <v>1213</v>
      </c>
      <c r="EL3" s="28" t="s">
        <v>1063</v>
      </c>
      <c r="EM3" s="28" t="s">
        <v>1214</v>
      </c>
      <c r="EN3" s="29" t="s">
        <v>1215</v>
      </c>
      <c r="EO3" s="29" t="s">
        <v>1216</v>
      </c>
      <c r="EP3" s="29" t="s">
        <v>1217</v>
      </c>
      <c r="EQ3" s="29" t="s">
        <v>1218</v>
      </c>
      <c r="ER3" s="29" t="s">
        <v>1219</v>
      </c>
      <c r="ES3" s="29" t="s">
        <v>1220</v>
      </c>
      <c r="ET3" s="29" t="s">
        <v>1221</v>
      </c>
      <c r="EU3" s="29" t="s">
        <v>1222</v>
      </c>
      <c r="EV3" s="29" t="s">
        <v>1223</v>
      </c>
      <c r="EW3" s="29" t="s">
        <v>1224</v>
      </c>
      <c r="EX3" s="29" t="s">
        <v>1225</v>
      </c>
      <c r="EY3" s="29" t="s">
        <v>1226</v>
      </c>
      <c r="EZ3" s="29" t="s">
        <v>1227</v>
      </c>
      <c r="FA3" s="29" t="s">
        <v>1228</v>
      </c>
      <c r="FB3" s="29" t="s">
        <v>1229</v>
      </c>
      <c r="FC3" s="29" t="s">
        <v>1230</v>
      </c>
      <c r="FD3" s="29" t="s">
        <v>1231</v>
      </c>
      <c r="FE3" s="29" t="s">
        <v>1232</v>
      </c>
      <c r="FF3" s="29" t="s">
        <v>1233</v>
      </c>
      <c r="FG3" s="29" t="s">
        <v>1234</v>
      </c>
      <c r="FH3" s="29" t="s">
        <v>1235</v>
      </c>
      <c r="FI3" s="29" t="s">
        <v>1236</v>
      </c>
    </row>
    <row r="4" ht="14" customHeight="1" spans="1:165">
      <c r="A4" s="4" t="s">
        <v>1237</v>
      </c>
      <c r="B4" s="5" t="s">
        <v>1238</v>
      </c>
      <c r="C4" s="4" t="s">
        <v>1239</v>
      </c>
      <c r="F4" s="30" t="s">
        <v>1240</v>
      </c>
      <c r="G4" s="3" t="s">
        <v>1241</v>
      </c>
      <c r="H4" s="30" t="s">
        <v>1242</v>
      </c>
      <c r="L4" s="30" t="s">
        <v>1243</v>
      </c>
      <c r="M4" s="3" t="s">
        <v>1244</v>
      </c>
      <c r="N4" s="3" t="s">
        <v>1245</v>
      </c>
      <c r="O4" s="4" t="s">
        <v>1246</v>
      </c>
      <c r="P4" s="3" t="s">
        <v>1247</v>
      </c>
      <c r="R4" s="4" t="s">
        <v>1248</v>
      </c>
      <c r="S4" s="3" t="s">
        <v>549</v>
      </c>
      <c r="AE4" s="3" t="s">
        <v>1249</v>
      </c>
      <c r="AF4" s="3"/>
      <c r="AG4" s="3"/>
      <c r="AH4" s="3" t="s">
        <v>1250</v>
      </c>
      <c r="AI4" s="3" t="s">
        <v>1251</v>
      </c>
      <c r="AJ4" s="4" t="s">
        <v>1252</v>
      </c>
      <c r="AK4" s="4">
        <v>13880102031</v>
      </c>
      <c r="AM4" s="3" t="s">
        <v>1253</v>
      </c>
      <c r="BO4" s="31" t="s">
        <v>1254</v>
      </c>
      <c r="BP4" s="31" t="s">
        <v>1255</v>
      </c>
      <c r="BQ4"/>
    </row>
    <row r="5" spans="1:165">
      <c r="A5" s="4" t="s">
        <v>1237</v>
      </c>
      <c r="B5" s="32" t="s">
        <v>1256</v>
      </c>
      <c r="C5" s="4" t="s">
        <v>1239</v>
      </c>
      <c r="F5" s="30" t="s">
        <v>1257</v>
      </c>
      <c r="G5" s="3" t="s">
        <v>1241</v>
      </c>
      <c r="H5" s="30" t="s">
        <v>1242</v>
      </c>
      <c r="I5" s="33" t="s">
        <v>1258</v>
      </c>
      <c r="J5" s="34" t="str">
        <f>VLOOKUP(MID(B5,8,2),[2]Sheet1!$A:$B,2,0)</f>
        <v>Noir</v>
      </c>
      <c r="K5" s="6">
        <f>VLOOKUP(MID(B5,10,2),[2]Sheet1!$F:$G,2,0)</f>
        <v>36</v>
      </c>
      <c r="L5" s="30" t="s">
        <v>1243</v>
      </c>
      <c r="M5" s="3" t="s">
        <v>1244</v>
      </c>
      <c r="N5" s="3" t="s">
        <v>1245</v>
      </c>
      <c r="O5" s="4" t="s">
        <v>1246</v>
      </c>
      <c r="P5" s="3" t="s">
        <v>1247</v>
      </c>
      <c r="Q5" s="35">
        <f>VLOOKUP(MID(B5,10,2),[2]Sheet1!$F:$H,3,0)</f>
        <v>36</v>
      </c>
      <c r="R5" s="4" t="s">
        <v>1248</v>
      </c>
      <c r="S5" s="3" t="s">
        <v>549</v>
      </c>
      <c r="T5" s="5" t="s">
        <v>1259</v>
      </c>
      <c r="U5" s="3">
        <v>2</v>
      </c>
      <c r="V5" s="36" t="s">
        <v>1260</v>
      </c>
      <c r="W5" s="37" t="s">
        <v>1261</v>
      </c>
      <c r="X5" s="37" t="s">
        <v>1262</v>
      </c>
      <c r="Y5" s="37" t="s">
        <v>1263</v>
      </c>
      <c r="Z5" s="36" t="s">
        <v>1264</v>
      </c>
      <c r="AA5" s="36" t="s">
        <v>1265</v>
      </c>
      <c r="AB5" s="36" t="s">
        <v>1266</v>
      </c>
      <c r="AE5" s="3" t="s">
        <v>1267</v>
      </c>
      <c r="AF5" s="5" t="s">
        <v>1238</v>
      </c>
      <c r="AG5" s="3" t="s">
        <v>932</v>
      </c>
      <c r="AH5" s="3" t="s">
        <v>1250</v>
      </c>
      <c r="AI5" s="3" t="s">
        <v>1251</v>
      </c>
      <c r="AJ5" s="4" t="s">
        <v>1268</v>
      </c>
      <c r="AK5" s="4">
        <v>13880102031</v>
      </c>
      <c r="AM5" s="3" t="s">
        <v>1253</v>
      </c>
      <c r="AN5" s="4" t="str">
        <f>B5</f>
        <v>ES01749BK04</v>
      </c>
      <c r="AO5" s="6" t="str">
        <f>B5</f>
        <v>ES01749BK04</v>
      </c>
      <c r="AP5" s="38" t="str">
        <f>B5</f>
        <v>ES01749BK04</v>
      </c>
      <c r="AQ5" s="4" t="s">
        <v>1269</v>
      </c>
      <c r="AR5" s="4" t="s">
        <v>1270</v>
      </c>
      <c r="AS5" s="4" t="s">
        <v>1271</v>
      </c>
      <c r="AT5" s="4" t="s">
        <v>1272</v>
      </c>
      <c r="AU5" s="35">
        <f>VLOOKUP(MID(B5,10,2),[2]Sheet1!$F:$G,2,0)</f>
        <v>36</v>
      </c>
      <c r="AW5" s="4" t="s">
        <v>1273</v>
      </c>
      <c r="AX5" s="4" t="s">
        <v>1273</v>
      </c>
      <c r="AZ5" s="4" t="s">
        <v>1274</v>
      </c>
      <c r="BO5" s="31" t="s">
        <v>1254</v>
      </c>
      <c r="BP5" s="31" t="s">
        <v>1255</v>
      </c>
      <c r="BQ5"/>
      <c r="BZ5" s="39">
        <v>13</v>
      </c>
      <c r="CA5" s="39">
        <v>9</v>
      </c>
      <c r="CB5" s="39">
        <v>1</v>
      </c>
      <c r="CC5" s="39">
        <v>0.4</v>
      </c>
      <c r="CD5" s="39" t="s">
        <v>1275</v>
      </c>
      <c r="CE5" s="39" t="s">
        <v>1276</v>
      </c>
      <c r="CI5" s="4" t="s">
        <v>1277</v>
      </c>
      <c r="CJ5" s="4" t="s">
        <v>1278</v>
      </c>
      <c r="CK5" s="4" t="s">
        <v>1279</v>
      </c>
      <c r="CL5" s="4" t="s">
        <v>1279</v>
      </c>
      <c r="DC5" s="4" t="s">
        <v>1280</v>
      </c>
      <c r="DR5" s="3" t="s">
        <v>1281</v>
      </c>
      <c r="DT5" s="3"/>
      <c r="DW5" s="40"/>
      <c r="DX5" s="40"/>
    </row>
    <row r="6" spans="1:165">
      <c r="A6" s="4" t="s">
        <v>1237</v>
      </c>
      <c r="B6" s="32" t="s">
        <v>1282</v>
      </c>
      <c r="C6" s="4" t="s">
        <v>1239</v>
      </c>
      <c r="F6" s="30" t="s">
        <v>1283</v>
      </c>
      <c r="G6" s="3" t="s">
        <v>1241</v>
      </c>
      <c r="H6" s="30" t="s">
        <v>1242</v>
      </c>
      <c r="I6" s="33" t="s">
        <v>1258</v>
      </c>
      <c r="J6" s="34" t="str">
        <f>VLOOKUP(MID(B6,8,2),[2]Sheet1!$A:$B,2,0)</f>
        <v>Noir</v>
      </c>
      <c r="K6" s="6">
        <f>VLOOKUP(MID(B6,10,2),[2]Sheet1!$F:$G,2,0)</f>
        <v>38</v>
      </c>
      <c r="L6" s="30" t="s">
        <v>1243</v>
      </c>
      <c r="M6" s="3" t="s">
        <v>1244</v>
      </c>
      <c r="N6" s="3" t="s">
        <v>1245</v>
      </c>
      <c r="O6" s="4" t="s">
        <v>1246</v>
      </c>
      <c r="P6" s="3" t="s">
        <v>1247</v>
      </c>
      <c r="Q6" s="35">
        <f>VLOOKUP(MID(B6,10,2),[2]Sheet1!$F:$H,3,0)</f>
        <v>38</v>
      </c>
      <c r="R6" s="4" t="s">
        <v>1248</v>
      </c>
      <c r="S6" s="3" t="s">
        <v>549</v>
      </c>
      <c r="T6" s="5" t="s">
        <v>1259</v>
      </c>
      <c r="U6" s="3">
        <v>2</v>
      </c>
      <c r="V6" s="36" t="s">
        <v>1260</v>
      </c>
      <c r="W6" s="37" t="s">
        <v>1261</v>
      </c>
      <c r="X6" s="37" t="s">
        <v>1262</v>
      </c>
      <c r="Y6" s="37" t="s">
        <v>1263</v>
      </c>
      <c r="Z6" s="36" t="s">
        <v>1264</v>
      </c>
      <c r="AA6" s="36" t="s">
        <v>1265</v>
      </c>
      <c r="AB6" s="36" t="s">
        <v>1266</v>
      </c>
      <c r="AE6" s="3" t="s">
        <v>1267</v>
      </c>
      <c r="AF6" s="5" t="s">
        <v>1238</v>
      </c>
      <c r="AG6" s="3" t="s">
        <v>932</v>
      </c>
      <c r="AH6" s="3" t="s">
        <v>1250</v>
      </c>
      <c r="AI6" s="3" t="s">
        <v>1251</v>
      </c>
      <c r="AJ6" s="4" t="s">
        <v>1284</v>
      </c>
      <c r="AK6" s="4">
        <v>13880102031</v>
      </c>
      <c r="AM6" s="3" t="s">
        <v>1253</v>
      </c>
      <c r="AN6" s="4" t="str">
        <f>B6</f>
        <v>ES01749BK06</v>
      </c>
      <c r="AO6" s="6" t="str">
        <f>B6</f>
        <v>ES01749BK06</v>
      </c>
      <c r="AP6" s="38" t="str">
        <f>B6</f>
        <v>ES01749BK06</v>
      </c>
      <c r="AQ6" s="4" t="s">
        <v>1269</v>
      </c>
      <c r="AR6" s="4" t="s">
        <v>1270</v>
      </c>
      <c r="AS6" s="4" t="s">
        <v>1271</v>
      </c>
      <c r="AT6" s="4" t="s">
        <v>1272</v>
      </c>
      <c r="AU6" s="35">
        <f>VLOOKUP(MID(B6,10,2),[2]Sheet1!$F:$G,2,0)</f>
        <v>38</v>
      </c>
      <c r="AW6" s="4" t="s">
        <v>1273</v>
      </c>
      <c r="AX6" s="4" t="s">
        <v>1273</v>
      </c>
      <c r="AZ6" s="4" t="s">
        <v>1274</v>
      </c>
      <c r="BO6" s="31" t="s">
        <v>1254</v>
      </c>
      <c r="BP6" s="31" t="s">
        <v>1255</v>
      </c>
      <c r="BQ6"/>
      <c r="BZ6" s="39">
        <v>13</v>
      </c>
      <c r="CA6" s="39">
        <v>9</v>
      </c>
      <c r="CB6" s="39">
        <v>1</v>
      </c>
      <c r="CC6" s="39">
        <v>0.4</v>
      </c>
      <c r="CD6" s="39" t="s">
        <v>1275</v>
      </c>
      <c r="CE6" s="39" t="s">
        <v>1276</v>
      </c>
      <c r="CI6" s="4" t="s">
        <v>1277</v>
      </c>
      <c r="CJ6" s="4" t="s">
        <v>1278</v>
      </c>
      <c r="CK6" s="4" t="s">
        <v>1279</v>
      </c>
      <c r="CL6" s="4" t="s">
        <v>1279</v>
      </c>
      <c r="DC6" s="4" t="s">
        <v>1280</v>
      </c>
      <c r="DR6" s="3" t="s">
        <v>1281</v>
      </c>
      <c r="DT6" s="3"/>
      <c r="DW6" s="40"/>
      <c r="DX6" s="40"/>
    </row>
    <row r="7" spans="1:165">
      <c r="B7" s="32"/>
      <c r="C7" s="4"/>
      <c r="F7" s="30"/>
      <c r="G7" s="3"/>
      <c r="H7" s="30"/>
      <c r="I7" s="33"/>
      <c r="J7" s="34"/>
      <c r="K7" s="6"/>
      <c r="L7" s="30"/>
      <c r="M7" s="3"/>
      <c r="N7" s="3"/>
      <c r="O7" s="4"/>
      <c r="P7" s="3"/>
      <c r="Q7" s="35"/>
      <c r="R7" s="4"/>
      <c r="S7" s="3"/>
      <c r="T7" s="5"/>
      <c r="U7" s="3"/>
      <c r="V7" s="36"/>
      <c r="W7" s="37"/>
      <c r="X7" s="37"/>
      <c r="Y7" s="37"/>
      <c r="Z7" s="36"/>
      <c r="AA7" s="36"/>
      <c r="AB7" s="36"/>
      <c r="AE7" s="3"/>
      <c r="AF7" s="5"/>
      <c r="AG7" s="3"/>
      <c r="AH7" s="3"/>
      <c r="AI7" s="3"/>
      <c r="AJ7" s="4"/>
      <c r="AK7" s="4"/>
      <c r="AM7" s="3"/>
      <c r="AN7" s="4"/>
      <c r="AO7" s="6"/>
      <c r="AP7" s="38"/>
      <c r="AQ7" s="4"/>
      <c r="AR7" s="4"/>
      <c r="AS7" s="4"/>
      <c r="AT7" s="4"/>
      <c r="AU7" s="35"/>
      <c r="BO7" s="31"/>
      <c r="BP7" s="31"/>
      <c r="BQ7"/>
      <c r="BZ7" s="39"/>
      <c r="CA7" s="39"/>
      <c r="CB7" s="39"/>
      <c r="CC7" s="39"/>
      <c r="CD7" s="39"/>
      <c r="CE7" s="39"/>
      <c r="DR7" s="3"/>
      <c r="DT7" s="3"/>
      <c r="DW7" s="40"/>
      <c r="DX7" s="40"/>
    </row>
    <row r="8" spans="1:165">
      <c r="B8" s="32"/>
      <c r="C8" s="4"/>
      <c r="F8" s="30"/>
      <c r="G8" s="3"/>
      <c r="H8" s="30"/>
      <c r="I8" s="33"/>
      <c r="J8" s="34"/>
      <c r="K8" s="6"/>
      <c r="L8" s="30"/>
      <c r="M8" s="3"/>
      <c r="N8" s="3"/>
      <c r="O8" s="4"/>
      <c r="P8" s="3"/>
      <c r="Q8" s="35"/>
      <c r="R8" s="4"/>
      <c r="S8" s="3"/>
      <c r="T8" s="5"/>
      <c r="U8" s="3"/>
      <c r="V8" s="36"/>
      <c r="W8" s="37"/>
      <c r="X8" s="37"/>
      <c r="Y8" s="37"/>
      <c r="Z8" s="36"/>
      <c r="AA8" s="36"/>
      <c r="AB8" s="36"/>
      <c r="AE8" s="3"/>
      <c r="AF8" s="5"/>
      <c r="AG8" s="3"/>
      <c r="AH8" s="3"/>
      <c r="AI8" s="3"/>
      <c r="AJ8" s="4"/>
      <c r="AK8" s="4"/>
      <c r="AM8" s="3"/>
      <c r="AN8" s="4"/>
      <c r="AO8" s="6"/>
      <c r="AP8" s="38"/>
      <c r="AQ8" s="4"/>
      <c r="AR8" s="4"/>
      <c r="AS8" s="4"/>
      <c r="AT8" s="4"/>
      <c r="AU8" s="35"/>
      <c r="BO8" s="31"/>
      <c r="BP8" s="31"/>
      <c r="BQ8"/>
      <c r="BZ8" s="39"/>
      <c r="CA8" s="39"/>
      <c r="CB8" s="39"/>
      <c r="CC8" s="39"/>
      <c r="CD8" s="39"/>
      <c r="CE8" s="39"/>
      <c r="DR8" s="3"/>
      <c r="DT8" s="3"/>
      <c r="DW8" s="40"/>
      <c r="DX8" s="40"/>
    </row>
    <row r="9" spans="1:165">
      <c r="B9" s="32"/>
      <c r="C9" s="4"/>
      <c r="F9" s="30"/>
      <c r="G9" s="3"/>
      <c r="H9" s="30"/>
      <c r="I9" s="33"/>
      <c r="J9" s="34"/>
      <c r="K9" s="6"/>
      <c r="L9" s="30"/>
      <c r="M9" s="3"/>
      <c r="N9" s="3"/>
      <c r="O9" s="4"/>
      <c r="P9" s="3"/>
      <c r="Q9" s="35"/>
      <c r="R9" s="4"/>
      <c r="S9" s="3"/>
      <c r="T9" s="5"/>
      <c r="U9" s="3"/>
      <c r="V9" s="36"/>
      <c r="W9" s="37"/>
      <c r="X9" s="37"/>
      <c r="Y9" s="37"/>
      <c r="Z9" s="36"/>
      <c r="AA9" s="36"/>
      <c r="AB9" s="36"/>
      <c r="AE9" s="3"/>
      <c r="AF9" s="5"/>
      <c r="AG9" s="3"/>
      <c r="AH9" s="3"/>
      <c r="AI9" s="3"/>
      <c r="AJ9" s="4"/>
      <c r="AK9" s="4"/>
      <c r="AM9" s="3"/>
      <c r="AN9" s="4"/>
      <c r="AO9" s="6"/>
      <c r="AP9" s="38"/>
      <c r="AQ9" s="4"/>
      <c r="AR9" s="4"/>
      <c r="AS9" s="4"/>
      <c r="AT9" s="4"/>
      <c r="AU9" s="35"/>
      <c r="BO9" s="31"/>
      <c r="BP9" s="31"/>
      <c r="BQ9"/>
      <c r="BZ9" s="39"/>
      <c r="CA9" s="39"/>
      <c r="CB9" s="39"/>
      <c r="CC9" s="39"/>
      <c r="CD9" s="39"/>
      <c r="CE9" s="39"/>
      <c r="DR9" s="3"/>
      <c r="DT9" s="3"/>
      <c r="DW9" s="40"/>
      <c r="DX9" s="40"/>
    </row>
    <row r="10" spans="1:165">
      <c r="B10" s="32"/>
      <c r="C10" s="4"/>
      <c r="F10" s="30"/>
      <c r="G10" s="3"/>
      <c r="H10" s="30"/>
      <c r="I10" s="33"/>
      <c r="J10" s="34"/>
      <c r="K10" s="6"/>
      <c r="L10" s="30"/>
      <c r="M10" s="3"/>
      <c r="N10" s="3"/>
      <c r="O10" s="4"/>
      <c r="P10" s="3"/>
      <c r="Q10" s="35"/>
      <c r="R10" s="4"/>
      <c r="S10" s="3"/>
      <c r="T10" s="5"/>
      <c r="U10" s="3"/>
      <c r="V10" s="36"/>
      <c r="W10" s="37"/>
      <c r="X10" s="37"/>
      <c r="Y10" s="37"/>
      <c r="Z10" s="36"/>
      <c r="AA10" s="36"/>
      <c r="AB10" s="36"/>
      <c r="AE10" s="3"/>
      <c r="AF10" s="5"/>
      <c r="AG10" s="3"/>
      <c r="AH10" s="3"/>
      <c r="AI10" s="3"/>
      <c r="AJ10" s="4"/>
      <c r="AK10" s="4"/>
      <c r="AM10" s="3"/>
      <c r="AN10" s="4"/>
      <c r="AO10" s="6"/>
      <c r="AP10" s="38"/>
      <c r="AQ10" s="4"/>
      <c r="AR10" s="4"/>
      <c r="AS10" s="4"/>
      <c r="AT10" s="4"/>
      <c r="AU10" s="35"/>
      <c r="BO10" s="31"/>
      <c r="BP10" s="31"/>
      <c r="BQ10"/>
      <c r="BZ10" s="39"/>
      <c r="CA10" s="39"/>
      <c r="CB10" s="39"/>
      <c r="CC10" s="39"/>
      <c r="CD10" s="39"/>
      <c r="CE10" s="39"/>
      <c r="DR10" s="3"/>
      <c r="DT10" s="3"/>
      <c r="DW10" s="40"/>
      <c r="DX10" s="40"/>
    </row>
    <row r="11" spans="1:165">
      <c r="B11" s="32"/>
      <c r="C11" s="4"/>
      <c r="F11" s="30"/>
      <c r="G11" s="3"/>
      <c r="H11" s="30"/>
      <c r="I11" s="33"/>
      <c r="J11" s="34"/>
      <c r="K11" s="6"/>
      <c r="L11" s="30"/>
      <c r="M11" s="3"/>
      <c r="N11" s="3"/>
      <c r="O11" s="4"/>
      <c r="P11" s="3"/>
      <c r="Q11" s="35"/>
      <c r="R11" s="4"/>
      <c r="S11" s="3"/>
      <c r="T11" s="5"/>
      <c r="U11" s="3"/>
      <c r="V11" s="36"/>
      <c r="W11" s="37"/>
      <c r="X11" s="37"/>
      <c r="Y11" s="37"/>
      <c r="Z11" s="36"/>
      <c r="AA11" s="36"/>
      <c r="AB11" s="36"/>
      <c r="AE11" s="3"/>
      <c r="AF11" s="5"/>
      <c r="AG11" s="3"/>
      <c r="AH11" s="3"/>
      <c r="AI11" s="3"/>
      <c r="AJ11" s="4"/>
      <c r="AK11" s="4"/>
      <c r="AM11" s="3"/>
      <c r="AN11" s="4"/>
      <c r="AO11" s="6"/>
      <c r="AP11" s="38"/>
      <c r="AQ11" s="4"/>
      <c r="AR11" s="4"/>
      <c r="AS11" s="4"/>
      <c r="AT11" s="4"/>
      <c r="AU11" s="35"/>
      <c r="BO11" s="31"/>
      <c r="BP11" s="31"/>
      <c r="BQ11"/>
      <c r="BZ11" s="39"/>
      <c r="CA11" s="39"/>
      <c r="CB11" s="39"/>
      <c r="CC11" s="39"/>
      <c r="CD11" s="39"/>
      <c r="CE11" s="39"/>
      <c r="DR11" s="3"/>
      <c r="DT11" s="3"/>
      <c r="DW11" s="40"/>
      <c r="DX11" s="40"/>
    </row>
    <row r="12" spans="1:165">
      <c r="B12" s="32"/>
      <c r="C12" s="4"/>
      <c r="F12" s="30"/>
      <c r="G12" s="3"/>
      <c r="H12" s="30"/>
      <c r="I12" s="33"/>
      <c r="J12" s="34"/>
      <c r="K12" s="6"/>
      <c r="L12" s="30"/>
      <c r="M12" s="3"/>
      <c r="N12" s="3"/>
      <c r="O12" s="4"/>
      <c r="P12" s="3"/>
      <c r="Q12" s="35"/>
      <c r="R12" s="4"/>
      <c r="S12" s="3"/>
      <c r="T12" s="5"/>
      <c r="U12" s="3"/>
      <c r="V12" s="36"/>
      <c r="W12" s="37"/>
      <c r="X12" s="37"/>
      <c r="Y12" s="37"/>
      <c r="Z12" s="36"/>
      <c r="AA12" s="36"/>
      <c r="AB12" s="36"/>
      <c r="AE12" s="3"/>
      <c r="AF12" s="5"/>
      <c r="AG12" s="3"/>
      <c r="AH12" s="3"/>
      <c r="AI12" s="3"/>
      <c r="AJ12" s="4"/>
      <c r="AK12" s="4"/>
      <c r="AM12" s="3"/>
      <c r="AN12" s="4"/>
      <c r="AO12" s="6"/>
      <c r="AP12" s="38"/>
      <c r="AQ12" s="4"/>
      <c r="AR12" s="4"/>
      <c r="AS12" s="4"/>
      <c r="AT12" s="4"/>
      <c r="AU12" s="35"/>
      <c r="BO12" s="31"/>
      <c r="BP12" s="31"/>
      <c r="BQ12"/>
      <c r="BZ12" s="39"/>
      <c r="CA12" s="39"/>
      <c r="CB12" s="39"/>
      <c r="CC12" s="39"/>
      <c r="CD12" s="39"/>
      <c r="CE12" s="39"/>
      <c r="DR12" s="3"/>
      <c r="DT12" s="3"/>
      <c r="DW12" s="40"/>
      <c r="DX12" s="40"/>
    </row>
    <row r="13" spans="1:165">
      <c r="B13" s="32"/>
      <c r="C13" s="4"/>
      <c r="F13" s="30"/>
      <c r="G13" s="3"/>
      <c r="H13" s="30"/>
      <c r="I13" s="33"/>
      <c r="J13" s="34"/>
      <c r="K13" s="6"/>
      <c r="L13" s="30"/>
      <c r="M13" s="3"/>
      <c r="N13" s="3"/>
      <c r="O13" s="4"/>
      <c r="P13" s="3"/>
      <c r="Q13" s="35"/>
      <c r="R13" s="4"/>
      <c r="S13" s="3"/>
      <c r="T13" s="5"/>
      <c r="U13" s="3"/>
      <c r="V13" s="36"/>
      <c r="W13" s="37"/>
      <c r="X13" s="37"/>
      <c r="Y13" s="37"/>
      <c r="Z13" s="36"/>
      <c r="AA13" s="36"/>
      <c r="AB13" s="36"/>
      <c r="AE13" s="3"/>
      <c r="AF13" s="5"/>
      <c r="AG13" s="3"/>
      <c r="AH13" s="3"/>
      <c r="AI13" s="3"/>
      <c r="AJ13" s="4"/>
      <c r="AK13" s="4"/>
      <c r="AM13" s="3"/>
      <c r="AN13" s="4"/>
      <c r="AO13" s="6"/>
      <c r="AP13" s="38"/>
      <c r="AQ13" s="4"/>
      <c r="AR13" s="4"/>
      <c r="AS13" s="4"/>
      <c r="AT13" s="4"/>
      <c r="AU13" s="35"/>
      <c r="BO13" s="31"/>
      <c r="BP13" s="31"/>
      <c r="BQ13"/>
      <c r="BZ13" s="39"/>
      <c r="CA13" s="39"/>
      <c r="CB13" s="39"/>
      <c r="CC13" s="39"/>
      <c r="CD13" s="39"/>
      <c r="CE13" s="39"/>
      <c r="DR13" s="3"/>
      <c r="DT13" s="3"/>
      <c r="DW13" s="40"/>
      <c r="DX13" s="40"/>
    </row>
    <row r="14" spans="1:165">
      <c r="B14" s="32"/>
      <c r="C14" s="4"/>
      <c r="F14" s="30"/>
      <c r="G14" s="3"/>
      <c r="H14" s="30"/>
      <c r="I14" s="33"/>
      <c r="J14" s="34"/>
      <c r="K14" s="6"/>
      <c r="L14" s="30"/>
      <c r="M14" s="3"/>
      <c r="N14" s="3"/>
      <c r="O14" s="4"/>
      <c r="P14" s="3"/>
      <c r="Q14" s="35"/>
      <c r="R14" s="4"/>
      <c r="S14" s="3"/>
      <c r="T14" s="5"/>
      <c r="U14" s="3"/>
      <c r="V14" s="36"/>
      <c r="W14" s="37"/>
      <c r="X14" s="37"/>
      <c r="Y14" s="37"/>
      <c r="Z14" s="36"/>
      <c r="AA14" s="36"/>
      <c r="AB14" s="36"/>
      <c r="AE14" s="3"/>
      <c r="AF14" s="5"/>
      <c r="AG14" s="3"/>
      <c r="AH14" s="3"/>
      <c r="AI14" s="3"/>
      <c r="AJ14" s="4"/>
      <c r="AK14" s="4"/>
      <c r="AM14" s="3"/>
      <c r="AN14" s="4"/>
      <c r="AO14" s="6"/>
      <c r="AP14" s="38"/>
      <c r="AQ14" s="4"/>
      <c r="AR14" s="4"/>
      <c r="AS14" s="4"/>
      <c r="AT14" s="4"/>
      <c r="AU14" s="35"/>
      <c r="BO14" s="31"/>
      <c r="BP14" s="31"/>
      <c r="BQ14"/>
      <c r="BZ14" s="39"/>
      <c r="CA14" s="39"/>
      <c r="CB14" s="39"/>
      <c r="CC14" s="39"/>
      <c r="CD14" s="39"/>
      <c r="CE14" s="39"/>
      <c r="DR14" s="3"/>
      <c r="DT14" s="3"/>
      <c r="DW14" s="40"/>
      <c r="DX14" s="40"/>
    </row>
    <row r="15" s="2" customFormat="1" spans="1:165">
      <c r="B15" s="32"/>
      <c r="C15" s="2"/>
      <c r="D15" s="41"/>
      <c r="F15" s="42"/>
      <c r="G15" s="2"/>
      <c r="H15" s="30"/>
      <c r="I15" s="33"/>
      <c r="J15" s="43"/>
      <c r="K15" s="2"/>
      <c r="L15" s="42"/>
      <c r="M15" s="2"/>
      <c r="N15" s="2"/>
      <c r="O15" s="2"/>
      <c r="P15" s="2"/>
      <c r="Q15" s="44"/>
      <c r="R15" s="2"/>
      <c r="S15" s="2"/>
      <c r="T15" s="41"/>
      <c r="U15" s="2"/>
      <c r="V15" s="36"/>
      <c r="W15" s="37"/>
      <c r="X15" s="37"/>
      <c r="Y15" s="37"/>
      <c r="Z15" s="36"/>
      <c r="AA15" s="36"/>
      <c r="AB15" s="36"/>
      <c r="AF15" s="41"/>
      <c r="AG15" s="2"/>
      <c r="AH15" s="2"/>
      <c r="AI15" s="3"/>
      <c r="AJ15" s="2"/>
      <c r="AK15" s="2"/>
      <c r="AP15" s="45"/>
      <c r="AQ15" s="2"/>
      <c r="AR15" s="2"/>
      <c r="AS15" s="2"/>
      <c r="AT15" s="2"/>
      <c r="AU15" s="44"/>
      <c r="AZ15" s="4"/>
      <c r="BO15" s="46"/>
      <c r="BP15" s="46"/>
      <c r="BQ15" s="47"/>
      <c r="BZ15" s="48"/>
      <c r="CA15" s="48"/>
      <c r="CB15" s="48"/>
      <c r="CC15" s="48"/>
      <c r="CD15" s="48"/>
      <c r="CE15" s="48"/>
      <c r="DW15" s="49"/>
      <c r="DX15" s="49"/>
    </row>
    <row r="16" spans="1:165">
      <c r="B16" s="32"/>
      <c r="C16" s="4"/>
      <c r="F16" s="30"/>
      <c r="G16" s="3"/>
      <c r="H16" s="30"/>
      <c r="I16" s="33"/>
      <c r="J16" s="34"/>
      <c r="K16" s="6"/>
      <c r="L16" s="30"/>
      <c r="M16" s="3"/>
      <c r="N16" s="3"/>
      <c r="O16" s="4"/>
      <c r="P16" s="3"/>
      <c r="Q16" s="35"/>
      <c r="R16" s="4"/>
      <c r="S16" s="3"/>
      <c r="T16" s="5"/>
      <c r="U16" s="3"/>
      <c r="V16" s="36"/>
      <c r="W16" s="37"/>
      <c r="X16" s="37"/>
      <c r="Y16" s="37"/>
      <c r="Z16" s="36"/>
      <c r="AA16" s="36"/>
      <c r="AB16" s="36"/>
      <c r="AE16" s="3"/>
      <c r="AF16" s="5"/>
      <c r="AG16" s="3"/>
      <c r="AH16" s="3"/>
      <c r="AI16" s="3"/>
      <c r="AJ16" s="4"/>
      <c r="AK16" s="4"/>
      <c r="AM16" s="3"/>
      <c r="AN16" s="4"/>
      <c r="AO16" s="6"/>
      <c r="AP16" s="38"/>
      <c r="AQ16" s="4"/>
      <c r="AR16" s="4"/>
      <c r="AS16" s="4"/>
      <c r="AT16" s="4"/>
      <c r="AU16" s="35"/>
      <c r="BO16" s="31"/>
      <c r="BP16" s="31"/>
      <c r="BQ16"/>
      <c r="BZ16" s="39"/>
      <c r="CA16" s="39"/>
      <c r="CB16" s="39"/>
      <c r="CC16" s="39"/>
      <c r="CD16" s="39"/>
      <c r="CE16" s="39"/>
      <c r="DR16" s="3"/>
      <c r="DT16" s="3"/>
      <c r="DW16" s="40"/>
      <c r="DX16" s="40"/>
    </row>
    <row r="17" s="3" customFormat="1" spans="2:128">
      <c r="B17" s="32"/>
      <c r="C17" s="3"/>
      <c r="D17" s="50"/>
      <c r="F17" s="30"/>
      <c r="G17" s="3"/>
      <c r="H17" s="30"/>
      <c r="I17" s="33"/>
      <c r="J17" s="51"/>
      <c r="K17" s="3"/>
      <c r="L17" s="52"/>
      <c r="M17" s="3"/>
      <c r="N17" s="3"/>
      <c r="O17" s="3"/>
      <c r="P17" s="3"/>
      <c r="Q17" s="53"/>
      <c r="R17" s="3"/>
      <c r="S17" s="3"/>
      <c r="T17" s="50"/>
      <c r="U17" s="3"/>
      <c r="V17" s="54"/>
      <c r="W17" s="55"/>
      <c r="X17" s="55"/>
      <c r="Y17" s="55"/>
      <c r="Z17" s="55"/>
      <c r="AA17" s="54"/>
      <c r="AB17" s="55"/>
      <c r="AF17" s="50"/>
      <c r="AG17" s="3"/>
      <c r="AH17" s="3"/>
      <c r="AI17" s="3"/>
      <c r="AJ17" s="3"/>
      <c r="AK17" s="3"/>
      <c r="AP17" s="56"/>
      <c r="AQ17" s="3"/>
      <c r="AR17" s="3"/>
      <c r="AS17" s="3"/>
      <c r="AT17" s="3"/>
      <c r="AU17" s="53"/>
      <c r="AZ17" s="4"/>
      <c r="BO17" s="31"/>
      <c r="BP17" s="31"/>
      <c r="BQ17" s="57"/>
      <c r="BZ17" s="58"/>
      <c r="CA17" s="58"/>
      <c r="CB17" s="58"/>
      <c r="CC17" s="58"/>
      <c r="CD17" s="58"/>
      <c r="CE17" s="58"/>
      <c r="DW17" s="40"/>
      <c r="DX17" s="40"/>
    </row>
    <row r="18" spans="2:128">
      <c r="B18" s="32"/>
      <c r="C18" s="4"/>
      <c r="F18" s="30"/>
      <c r="G18" s="3"/>
      <c r="H18" s="30"/>
      <c r="I18" s="33"/>
      <c r="J18" s="34"/>
      <c r="K18" s="6"/>
      <c r="L18" s="30"/>
      <c r="M18" s="3"/>
      <c r="N18" s="3"/>
      <c r="O18" s="4"/>
      <c r="P18" s="3"/>
      <c r="Q18" s="35"/>
      <c r="R18" s="4"/>
      <c r="S18" s="3"/>
      <c r="T18" s="5"/>
      <c r="U18" s="3"/>
      <c r="V18" s="54"/>
      <c r="W18" s="55"/>
      <c r="X18" s="55"/>
      <c r="Y18" s="55"/>
      <c r="Z18" s="55"/>
      <c r="AA18" s="55"/>
      <c r="AB18" s="55"/>
      <c r="AE18" s="3"/>
      <c r="AF18" s="5"/>
      <c r="AG18" s="3"/>
      <c r="AH18" s="3"/>
      <c r="AI18" s="3"/>
      <c r="AJ18" s="4"/>
      <c r="AK18" s="4"/>
      <c r="AM18" s="3"/>
      <c r="AN18" s="4"/>
      <c r="AO18" s="6"/>
      <c r="AP18" s="38"/>
      <c r="AQ18" s="4"/>
      <c r="AR18" s="4"/>
      <c r="AS18" s="4"/>
      <c r="AT18" s="4"/>
      <c r="AU18" s="35"/>
      <c r="BO18" s="31"/>
      <c r="BP18" s="31"/>
      <c r="BQ18"/>
      <c r="BZ18" s="39"/>
      <c r="CA18" s="39"/>
      <c r="CB18" s="39"/>
      <c r="CC18" s="39"/>
      <c r="CD18" s="39"/>
      <c r="CE18" s="39"/>
      <c r="DR18" s="3"/>
      <c r="DT18" s="3"/>
      <c r="DW18" s="40"/>
      <c r="DX18" s="40"/>
    </row>
    <row r="19" spans="2:128">
      <c r="B19" s="32"/>
      <c r="C19" s="4"/>
      <c r="F19" s="30"/>
      <c r="G19" s="3"/>
      <c r="H19" s="30"/>
      <c r="I19" s="33"/>
      <c r="J19" s="34"/>
      <c r="K19" s="6"/>
      <c r="L19" s="30"/>
      <c r="M19" s="3"/>
      <c r="N19" s="3"/>
      <c r="O19" s="4"/>
      <c r="P19" s="3"/>
      <c r="Q19" s="35"/>
      <c r="R19" s="4"/>
      <c r="S19" s="3"/>
      <c r="T19" s="5"/>
      <c r="U19" s="3"/>
      <c r="V19" s="54"/>
      <c r="W19" s="55"/>
      <c r="X19" s="55"/>
      <c r="Y19" s="55"/>
      <c r="Z19" s="55"/>
      <c r="AA19" s="55"/>
      <c r="AB19" s="55"/>
      <c r="AE19" s="3"/>
      <c r="AF19" s="5"/>
      <c r="AG19" s="3"/>
      <c r="AH19" s="3"/>
      <c r="AI19" s="3"/>
      <c r="AJ19" s="4"/>
      <c r="AK19" s="4"/>
      <c r="AM19" s="3"/>
      <c r="AN19" s="4"/>
      <c r="AO19" s="6"/>
      <c r="AP19" s="38"/>
      <c r="AQ19" s="4"/>
      <c r="AR19" s="4"/>
      <c r="AS19" s="4"/>
      <c r="AT19" s="4"/>
      <c r="AU19" s="35"/>
      <c r="BO19" s="31"/>
      <c r="BP19" s="31"/>
      <c r="BQ19"/>
      <c r="BZ19" s="39"/>
      <c r="CA19" s="39"/>
      <c r="CB19" s="39"/>
      <c r="CC19" s="39"/>
      <c r="CD19" s="39"/>
      <c r="CE19" s="39"/>
      <c r="DR19" s="3"/>
      <c r="DT19" s="3"/>
      <c r="DW19" s="40"/>
      <c r="DX19" s="40"/>
    </row>
    <row r="20" spans="2:128">
      <c r="B20" s="32"/>
      <c r="C20" s="4"/>
      <c r="F20" s="30"/>
      <c r="G20" s="3"/>
      <c r="H20" s="30"/>
      <c r="I20" s="33"/>
      <c r="J20" s="34"/>
      <c r="K20" s="6"/>
      <c r="L20" s="30"/>
      <c r="M20" s="3"/>
      <c r="N20" s="3"/>
      <c r="O20" s="4"/>
      <c r="P20" s="3"/>
      <c r="Q20" s="35"/>
      <c r="R20" s="4"/>
      <c r="S20" s="3"/>
      <c r="T20" s="5"/>
      <c r="U20" s="3"/>
      <c r="V20" s="54"/>
      <c r="W20" s="55"/>
      <c r="X20" s="55"/>
      <c r="Y20" s="55"/>
      <c r="Z20" s="55"/>
      <c r="AA20" s="55"/>
      <c r="AB20" s="55"/>
      <c r="AE20" s="3"/>
      <c r="AF20" s="5"/>
      <c r="AG20" s="3"/>
      <c r="AH20" s="3"/>
      <c r="AI20" s="3"/>
      <c r="AJ20" s="4"/>
      <c r="AK20" s="4"/>
      <c r="AM20" s="3"/>
      <c r="AN20" s="4"/>
      <c r="AO20" s="6"/>
      <c r="AP20" s="38"/>
      <c r="AQ20" s="4"/>
      <c r="AR20" s="4"/>
      <c r="AS20" s="4"/>
      <c r="AT20" s="4"/>
      <c r="AU20" s="35"/>
      <c r="BO20" s="31"/>
      <c r="BP20" s="31"/>
      <c r="BQ20"/>
      <c r="BZ20" s="39"/>
      <c r="CA20" s="39"/>
      <c r="CB20" s="39"/>
      <c r="CC20" s="39"/>
      <c r="CD20" s="39"/>
      <c r="CE20" s="39"/>
      <c r="DR20" s="3"/>
      <c r="DT20" s="3"/>
      <c r="DW20" s="40"/>
      <c r="DX20" s="40"/>
    </row>
    <row r="21" spans="2:128">
      <c r="B21" s="32"/>
      <c r="C21" s="4"/>
      <c r="F21" s="30"/>
      <c r="G21" s="3"/>
      <c r="H21" s="30"/>
      <c r="I21" s="33"/>
      <c r="J21" s="34"/>
      <c r="K21" s="6"/>
      <c r="L21" s="30"/>
      <c r="M21" s="3"/>
      <c r="N21" s="3"/>
      <c r="O21" s="4"/>
      <c r="P21" s="3"/>
      <c r="Q21" s="35"/>
      <c r="R21" s="4"/>
      <c r="S21" s="3"/>
      <c r="T21" s="5"/>
      <c r="U21" s="3"/>
      <c r="V21" s="54"/>
      <c r="W21" s="55"/>
      <c r="X21" s="55"/>
      <c r="Y21" s="55"/>
      <c r="Z21" s="55"/>
      <c r="AA21" s="55"/>
      <c r="AB21" s="55"/>
      <c r="AE21" s="3"/>
      <c r="AF21" s="5"/>
      <c r="AG21" s="3"/>
      <c r="AH21" s="3"/>
      <c r="AI21" s="3"/>
      <c r="AJ21" s="4"/>
      <c r="AK21" s="4"/>
      <c r="AM21" s="3"/>
      <c r="AN21" s="4"/>
      <c r="AO21" s="6"/>
      <c r="AP21" s="38"/>
      <c r="AQ21" s="4"/>
      <c r="AR21" s="4"/>
      <c r="AS21" s="4"/>
      <c r="AT21" s="4"/>
      <c r="AU21" s="35"/>
      <c r="BO21" s="31"/>
      <c r="BP21" s="31"/>
      <c r="BQ21"/>
      <c r="BZ21" s="39"/>
      <c r="CA21" s="39"/>
      <c r="CB21" s="39"/>
      <c r="CC21" s="39"/>
      <c r="CD21" s="39"/>
      <c r="CE21" s="39"/>
      <c r="DR21" s="3"/>
      <c r="DT21" s="3"/>
      <c r="DW21" s="40"/>
      <c r="DX21" s="40"/>
    </row>
    <row r="22" spans="2:128">
      <c r="B22" s="32"/>
      <c r="C22" s="4"/>
      <c r="F22" s="30"/>
      <c r="G22" s="3"/>
      <c r="H22" s="30"/>
      <c r="I22" s="33"/>
      <c r="J22" s="34"/>
      <c r="K22" s="6"/>
      <c r="L22" s="30"/>
      <c r="M22" s="3"/>
      <c r="N22" s="3"/>
      <c r="O22" s="4"/>
      <c r="P22" s="3"/>
      <c r="Q22" s="35"/>
      <c r="R22" s="4"/>
      <c r="S22" s="3"/>
      <c r="T22" s="5"/>
      <c r="U22" s="3"/>
      <c r="V22" s="54"/>
      <c r="W22" s="55"/>
      <c r="X22" s="55"/>
      <c r="Y22" s="55"/>
      <c r="Z22" s="55"/>
      <c r="AA22" s="55"/>
      <c r="AB22" s="55"/>
      <c r="AE22" s="3"/>
      <c r="AF22" s="5"/>
      <c r="AG22" s="3"/>
      <c r="AH22" s="3"/>
      <c r="AI22" s="3"/>
      <c r="AJ22" s="4"/>
      <c r="AK22" s="4"/>
      <c r="AM22" s="3"/>
      <c r="AN22" s="4"/>
      <c r="AO22" s="6"/>
      <c r="AP22" s="38"/>
      <c r="AQ22" s="4"/>
      <c r="AR22" s="4"/>
      <c r="AS22" s="4"/>
      <c r="AT22" s="4"/>
      <c r="AU22" s="35"/>
      <c r="BO22" s="31"/>
      <c r="BP22" s="31"/>
      <c r="BQ22"/>
      <c r="BZ22" s="39"/>
      <c r="CA22" s="39"/>
      <c r="CB22" s="39"/>
      <c r="CC22" s="39"/>
      <c r="CD22" s="39"/>
      <c r="CE22" s="39"/>
      <c r="DR22" s="3"/>
      <c r="DT22" s="3"/>
      <c r="DW22" s="40"/>
      <c r="DX22" s="40"/>
    </row>
    <row r="23" spans="2:128">
      <c r="B23" s="32"/>
      <c r="C23" s="4"/>
      <c r="F23" s="30"/>
      <c r="G23" s="3"/>
      <c r="H23" s="30"/>
      <c r="I23" s="33"/>
      <c r="J23" s="34"/>
      <c r="K23" s="6"/>
      <c r="L23" s="30"/>
      <c r="M23" s="3"/>
      <c r="N23" s="3"/>
      <c r="O23" s="4"/>
      <c r="P23" s="3"/>
      <c r="Q23" s="35"/>
      <c r="R23" s="4"/>
      <c r="S23" s="3"/>
      <c r="T23" s="5"/>
      <c r="U23" s="3"/>
      <c r="V23" s="54"/>
      <c r="W23" s="55"/>
      <c r="X23" s="55"/>
      <c r="Y23" s="55"/>
      <c r="Z23" s="55"/>
      <c r="AA23" s="55"/>
      <c r="AB23" s="55"/>
      <c r="AE23" s="3"/>
      <c r="AF23" s="5"/>
      <c r="AG23" s="3"/>
      <c r="AH23" s="3"/>
      <c r="AI23" s="3"/>
      <c r="AJ23" s="4"/>
      <c r="AK23" s="4"/>
      <c r="AM23" s="3"/>
      <c r="AN23" s="4"/>
      <c r="AO23" s="6"/>
      <c r="AP23" s="38"/>
      <c r="AQ23" s="4"/>
      <c r="AR23" s="4"/>
      <c r="AS23" s="4"/>
      <c r="AT23" s="4"/>
      <c r="AU23" s="35"/>
      <c r="BO23" s="31"/>
      <c r="BP23" s="31"/>
      <c r="BQ23"/>
      <c r="BZ23" s="39"/>
      <c r="CA23" s="39"/>
      <c r="CB23" s="39"/>
      <c r="CC23" s="39"/>
      <c r="CD23" s="39"/>
      <c r="CE23" s="39"/>
      <c r="DR23" s="3"/>
      <c r="DT23" s="3"/>
      <c r="DW23" s="40"/>
      <c r="DX23" s="40"/>
    </row>
    <row r="24" spans="2:128">
      <c r="B24" s="32"/>
      <c r="C24" s="4"/>
      <c r="F24" s="30"/>
      <c r="G24" s="3"/>
      <c r="H24" s="30"/>
      <c r="I24" s="33"/>
      <c r="J24" s="34"/>
      <c r="K24" s="6"/>
      <c r="L24" s="30"/>
      <c r="M24" s="3"/>
      <c r="N24" s="3"/>
      <c r="O24" s="4"/>
      <c r="P24" s="3"/>
      <c r="Q24" s="35"/>
      <c r="R24" s="4"/>
      <c r="S24" s="3"/>
      <c r="T24" s="5"/>
      <c r="U24" s="3"/>
      <c r="V24" s="54"/>
      <c r="W24" s="55"/>
      <c r="X24" s="55"/>
      <c r="Y24" s="55"/>
      <c r="Z24" s="55"/>
      <c r="AA24" s="55"/>
      <c r="AB24" s="55"/>
      <c r="AE24" s="3"/>
      <c r="AF24" s="5"/>
      <c r="AG24" s="3"/>
      <c r="AH24" s="3"/>
      <c r="AI24" s="3"/>
      <c r="AJ24" s="4"/>
      <c r="AK24" s="4"/>
      <c r="AM24" s="3"/>
      <c r="AN24" s="4"/>
      <c r="AO24" s="6"/>
      <c r="AP24" s="38"/>
      <c r="AQ24" s="4"/>
      <c r="AR24" s="4"/>
      <c r="AS24" s="4"/>
      <c r="AT24" s="4"/>
      <c r="AU24" s="35"/>
      <c r="BO24" s="31"/>
      <c r="BP24" s="31"/>
      <c r="BQ24"/>
      <c r="BZ24" s="39"/>
      <c r="CA24" s="39"/>
      <c r="CB24" s="39"/>
      <c r="CC24" s="39"/>
      <c r="CD24" s="39"/>
      <c r="CE24" s="39"/>
      <c r="DR24" s="3"/>
      <c r="DT24" s="3"/>
      <c r="DW24" s="40"/>
      <c r="DX24" s="40"/>
    </row>
    <row r="25" spans="2:128">
      <c r="B25" s="32"/>
      <c r="C25" s="4"/>
      <c r="F25" s="30"/>
      <c r="G25" s="3"/>
      <c r="H25" s="30"/>
      <c r="I25" s="33"/>
      <c r="J25" s="34"/>
      <c r="K25" s="6"/>
      <c r="L25" s="30"/>
      <c r="M25" s="3"/>
      <c r="N25" s="3"/>
      <c r="O25" s="4"/>
      <c r="P25" s="3"/>
      <c r="Q25" s="35"/>
      <c r="R25" s="4"/>
      <c r="S25" s="3"/>
      <c r="T25" s="5"/>
      <c r="U25" s="3"/>
      <c r="V25" s="54"/>
      <c r="W25" s="55"/>
      <c r="X25" s="55"/>
      <c r="Y25" s="55"/>
      <c r="Z25" s="55"/>
      <c r="AA25" s="55"/>
      <c r="AB25" s="55"/>
      <c r="AE25" s="3"/>
      <c r="AF25" s="5"/>
      <c r="AG25" s="3"/>
      <c r="AH25" s="3"/>
      <c r="AI25" s="3"/>
      <c r="AJ25" s="4"/>
      <c r="AK25" s="4"/>
      <c r="AM25" s="3"/>
      <c r="AN25" s="4"/>
      <c r="AO25" s="6"/>
      <c r="AP25" s="38"/>
      <c r="AQ25" s="4"/>
      <c r="AR25" s="4"/>
      <c r="AS25" s="4"/>
      <c r="AT25" s="4"/>
      <c r="AU25" s="35"/>
      <c r="BO25" s="31"/>
      <c r="BP25" s="31"/>
      <c r="BQ25"/>
      <c r="BZ25" s="39"/>
      <c r="CA25" s="39"/>
      <c r="CB25" s="39"/>
      <c r="CC25" s="39"/>
      <c r="CD25" s="39"/>
      <c r="CE25" s="39"/>
      <c r="DR25" s="3"/>
      <c r="DT25" s="3"/>
      <c r="DW25" s="40"/>
      <c r="DX25" s="40"/>
    </row>
    <row r="26" s="2" customFormat="1" spans="2:128">
      <c r="B26" s="32"/>
      <c r="C26" s="2"/>
      <c r="D26" s="41"/>
      <c r="F26" s="30"/>
      <c r="G26" s="2"/>
      <c r="H26" s="30"/>
      <c r="I26" s="33"/>
      <c r="J26" s="43"/>
      <c r="K26" s="2"/>
      <c r="L26" s="42"/>
      <c r="M26" s="2"/>
      <c r="N26" s="2"/>
      <c r="O26" s="2"/>
      <c r="P26" s="2"/>
      <c r="Q26" s="44"/>
      <c r="R26" s="2"/>
      <c r="S26" s="2"/>
      <c r="T26" s="41"/>
      <c r="U26" s="2"/>
      <c r="V26" s="54"/>
      <c r="W26" s="55"/>
      <c r="X26" s="55"/>
      <c r="Y26" s="55"/>
      <c r="Z26" s="55"/>
      <c r="AA26" s="55"/>
      <c r="AB26" s="55"/>
      <c r="AF26" s="41"/>
      <c r="AG26" s="2"/>
      <c r="AH26" s="2"/>
      <c r="AI26" s="3"/>
      <c r="AJ26" s="2"/>
      <c r="AK26" s="2"/>
      <c r="AP26" s="45"/>
      <c r="AQ26" s="2"/>
      <c r="AR26" s="2"/>
      <c r="AS26" s="2"/>
      <c r="AT26" s="2"/>
      <c r="AU26" s="44"/>
      <c r="AZ26" s="4"/>
      <c r="BO26" s="46"/>
      <c r="BP26" s="46"/>
      <c r="BQ26" s="47"/>
      <c r="BZ26" s="48"/>
      <c r="CA26" s="48"/>
      <c r="CB26" s="48"/>
      <c r="CC26" s="48"/>
      <c r="CD26" s="48"/>
      <c r="CE26" s="48"/>
      <c r="DW26" s="49"/>
      <c r="DX26" s="49"/>
    </row>
    <row r="27" spans="2:128">
      <c r="B27" s="32"/>
      <c r="C27" s="4"/>
      <c r="F27" s="42"/>
      <c r="G27" s="3"/>
      <c r="H27" s="30"/>
      <c r="I27" s="33"/>
      <c r="J27" s="34"/>
      <c r="K27" s="6"/>
      <c r="L27" s="30"/>
      <c r="M27" s="3"/>
      <c r="N27" s="3"/>
      <c r="O27" s="4"/>
      <c r="P27" s="3"/>
      <c r="Q27" s="35"/>
      <c r="R27" s="4"/>
      <c r="S27" s="3"/>
      <c r="T27" s="5"/>
      <c r="U27" s="3"/>
      <c r="V27" s="54"/>
      <c r="W27" s="55"/>
      <c r="X27" s="55"/>
      <c r="Y27" s="55"/>
      <c r="Z27" s="55"/>
      <c r="AA27" s="55"/>
      <c r="AB27" s="55"/>
      <c r="AE27" s="3"/>
      <c r="AF27" s="5"/>
      <c r="AG27" s="3"/>
      <c r="AH27" s="3"/>
      <c r="AI27" s="3"/>
      <c r="AJ27" s="4"/>
      <c r="AK27" s="4"/>
      <c r="AM27" s="3"/>
      <c r="AN27" s="4"/>
      <c r="AO27" s="6"/>
      <c r="AP27" s="38"/>
      <c r="AQ27" s="4"/>
      <c r="AR27" s="4"/>
      <c r="AS27" s="4"/>
      <c r="AT27" s="4"/>
      <c r="AU27" s="35"/>
      <c r="BO27" s="31"/>
      <c r="BP27" s="31"/>
      <c r="BQ27"/>
      <c r="BZ27" s="39"/>
      <c r="CA27" s="39"/>
      <c r="CB27" s="39"/>
      <c r="CC27" s="39"/>
      <c r="CD27" s="39"/>
      <c r="CE27" s="39"/>
      <c r="DR27" s="3"/>
      <c r="DT27" s="3"/>
      <c r="DW27" s="40"/>
      <c r="DX27" s="40"/>
    </row>
    <row r="28" spans="2:128">
      <c r="B28" s="32"/>
      <c r="C28" s="4"/>
      <c r="F28" s="30"/>
      <c r="G28" s="3"/>
      <c r="H28" s="30"/>
      <c r="I28" s="33"/>
      <c r="J28" s="34"/>
      <c r="K28" s="6"/>
      <c r="L28" s="30"/>
      <c r="M28" s="3"/>
      <c r="N28" s="3"/>
      <c r="O28" s="4"/>
      <c r="P28" s="3"/>
      <c r="Q28" s="35"/>
      <c r="R28" s="4"/>
      <c r="S28" s="3"/>
      <c r="T28" s="5"/>
      <c r="U28" s="3"/>
      <c r="V28" s="54"/>
      <c r="W28" s="55"/>
      <c r="X28" s="55"/>
      <c r="Y28" s="55"/>
      <c r="Z28" s="55"/>
      <c r="AA28" s="55"/>
      <c r="AB28" s="55"/>
      <c r="AE28" s="3"/>
      <c r="AF28" s="5"/>
      <c r="AG28" s="3"/>
      <c r="AH28" s="3"/>
      <c r="AI28" s="3"/>
      <c r="AJ28" s="4"/>
      <c r="AK28" s="4"/>
      <c r="AM28" s="3"/>
      <c r="AN28" s="4"/>
      <c r="AO28" s="6"/>
      <c r="AP28" s="38"/>
      <c r="AQ28" s="4"/>
      <c r="AR28" s="4"/>
      <c r="AS28" s="4"/>
      <c r="AT28" s="4"/>
      <c r="AU28" s="35"/>
      <c r="BO28" s="31"/>
      <c r="BP28" s="31"/>
      <c r="BQ28"/>
      <c r="BZ28" s="39"/>
      <c r="CA28" s="39"/>
      <c r="CB28" s="39"/>
      <c r="CC28" s="39"/>
      <c r="CD28" s="39"/>
      <c r="CE28" s="39"/>
      <c r="DR28" s="3"/>
      <c r="DT28" s="3"/>
      <c r="DW28" s="40"/>
      <c r="DX28" s="40"/>
    </row>
    <row r="29" spans="2:128">
      <c r="B29" s="32"/>
      <c r="C29" s="4"/>
      <c r="F29" s="30"/>
      <c r="G29" s="3"/>
      <c r="H29" s="30"/>
      <c r="I29" s="4"/>
      <c r="J29" s="34"/>
      <c r="K29" s="6"/>
      <c r="L29" s="30"/>
      <c r="M29" s="3"/>
      <c r="N29" s="3"/>
      <c r="O29" s="4"/>
      <c r="P29" s="3"/>
      <c r="Q29" s="35"/>
      <c r="R29" s="4"/>
      <c r="S29" s="3"/>
      <c r="T29" s="5"/>
      <c r="U29" s="3"/>
      <c r="V29" s="36"/>
      <c r="W29" s="36"/>
      <c r="X29" s="36"/>
      <c r="Y29" s="36"/>
      <c r="Z29" s="36"/>
      <c r="AA29" s="36"/>
      <c r="AB29" s="36"/>
      <c r="AE29" s="3"/>
      <c r="AF29" s="5"/>
      <c r="AG29" s="3"/>
      <c r="AH29" s="3"/>
      <c r="AI29" s="3"/>
      <c r="AJ29" s="4"/>
      <c r="AK29" s="4"/>
      <c r="AM29" s="3"/>
      <c r="AN29" s="4"/>
      <c r="AO29" s="6"/>
      <c r="AP29" s="38"/>
      <c r="AQ29" s="4"/>
      <c r="AR29" s="4"/>
      <c r="AS29" s="4"/>
      <c r="AT29" s="4"/>
      <c r="AU29" s="35"/>
      <c r="BO29" s="31"/>
      <c r="BP29" s="31"/>
      <c r="BZ29" s="39"/>
      <c r="CA29" s="39"/>
      <c r="CB29" s="39"/>
      <c r="CC29" s="39"/>
      <c r="CD29" s="39"/>
      <c r="CE29" s="39"/>
      <c r="DR29" s="3"/>
    </row>
    <row r="30" spans="2:128">
      <c r="B30" s="32"/>
      <c r="C30" s="4"/>
      <c r="F30" s="30"/>
      <c r="G30" s="3"/>
      <c r="H30" s="30"/>
      <c r="I30" s="4"/>
      <c r="J30" s="34"/>
      <c r="K30" s="6"/>
      <c r="L30" s="30"/>
      <c r="M30" s="3"/>
      <c r="N30" s="3"/>
      <c r="O30" s="4"/>
      <c r="P30" s="3"/>
      <c r="Q30" s="35"/>
      <c r="R30" s="4"/>
      <c r="S30" s="3"/>
      <c r="T30" s="5"/>
      <c r="U30" s="3"/>
      <c r="V30" s="36"/>
      <c r="W30" s="36"/>
      <c r="X30" s="36"/>
      <c r="Y30" s="36"/>
      <c r="Z30" s="36"/>
      <c r="AA30" s="36"/>
      <c r="AB30" s="36"/>
      <c r="AE30" s="3"/>
      <c r="AF30" s="5"/>
      <c r="AG30" s="3"/>
      <c r="AH30" s="3"/>
      <c r="AI30" s="3"/>
      <c r="AJ30" s="4"/>
      <c r="AK30" s="4"/>
      <c r="AM30" s="3"/>
      <c r="AN30" s="4"/>
      <c r="AO30" s="6"/>
      <c r="AP30" s="38"/>
      <c r="AQ30" s="4"/>
      <c r="AR30" s="4"/>
      <c r="AS30" s="4"/>
      <c r="AT30" s="4"/>
      <c r="AU30" s="35"/>
      <c r="BO30" s="31"/>
      <c r="BP30" s="31"/>
      <c r="BZ30" s="39"/>
      <c r="CA30" s="39"/>
      <c r="CB30" s="39"/>
      <c r="CC30" s="39"/>
      <c r="CD30" s="39"/>
      <c r="CE30" s="39"/>
      <c r="DR30" s="3"/>
    </row>
    <row r="31" spans="2:128">
      <c r="B31" s="32"/>
      <c r="C31" s="4"/>
      <c r="F31" s="30"/>
      <c r="G31" s="3"/>
      <c r="H31" s="30"/>
      <c r="I31" s="4"/>
      <c r="J31" s="34"/>
      <c r="K31" s="6"/>
      <c r="L31" s="30"/>
      <c r="M31" s="3"/>
      <c r="N31" s="3"/>
      <c r="O31" s="4"/>
      <c r="P31" s="3"/>
      <c r="Q31" s="35"/>
      <c r="R31" s="4"/>
      <c r="S31" s="3"/>
      <c r="T31" s="5"/>
      <c r="U31" s="3"/>
      <c r="V31" s="36"/>
      <c r="W31" s="36"/>
      <c r="X31" s="36"/>
      <c r="Y31" s="36"/>
      <c r="Z31" s="36"/>
      <c r="AA31" s="36"/>
      <c r="AB31" s="36"/>
      <c r="AE31" s="3"/>
      <c r="AF31" s="5"/>
      <c r="AG31" s="3"/>
      <c r="AH31" s="3"/>
      <c r="AI31" s="3"/>
      <c r="AJ31" s="4"/>
      <c r="AK31" s="4"/>
      <c r="AM31" s="3"/>
      <c r="AN31" s="4"/>
      <c r="AO31" s="6"/>
      <c r="AP31" s="38"/>
      <c r="AQ31" s="4"/>
      <c r="AR31" s="4"/>
      <c r="AS31" s="4"/>
      <c r="AT31" s="4"/>
      <c r="AU31" s="35"/>
      <c r="BO31" s="31"/>
      <c r="BP31" s="31"/>
      <c r="BZ31" s="39"/>
      <c r="CA31" s="39"/>
      <c r="CB31" s="39"/>
      <c r="CC31" s="39"/>
      <c r="CD31" s="39"/>
      <c r="CE31" s="39"/>
      <c r="DR31" s="3"/>
    </row>
    <row r="32" spans="2:128">
      <c r="B32" s="32"/>
      <c r="C32" s="4"/>
      <c r="F32" s="30"/>
      <c r="G32" s="3"/>
      <c r="H32" s="30"/>
      <c r="I32" s="4"/>
      <c r="J32" s="34"/>
      <c r="K32" s="6"/>
      <c r="L32" s="30"/>
      <c r="M32" s="3"/>
      <c r="N32" s="3"/>
      <c r="O32" s="4"/>
      <c r="P32" s="3"/>
      <c r="Q32" s="35"/>
      <c r="R32" s="4"/>
      <c r="S32" s="3"/>
      <c r="T32" s="5"/>
      <c r="U32" s="3"/>
      <c r="V32" s="36"/>
      <c r="W32" s="36"/>
      <c r="X32" s="36"/>
      <c r="Y32" s="36"/>
      <c r="Z32" s="36"/>
      <c r="AA32" s="36"/>
      <c r="AB32" s="36"/>
      <c r="AE32" s="3"/>
      <c r="AF32" s="5"/>
      <c r="AG32" s="3"/>
      <c r="AH32" s="3"/>
      <c r="AI32" s="3"/>
      <c r="AJ32" s="4"/>
      <c r="AK32" s="4"/>
      <c r="AM32" s="3"/>
      <c r="AN32" s="4"/>
      <c r="AO32" s="6"/>
      <c r="AP32" s="38"/>
      <c r="AQ32" s="4"/>
      <c r="AR32" s="4"/>
      <c r="AS32" s="4"/>
      <c r="AT32" s="4"/>
      <c r="AU32" s="35"/>
      <c r="BO32" s="31"/>
      <c r="BP32" s="31"/>
      <c r="BZ32" s="39"/>
      <c r="CA32" s="39"/>
      <c r="CB32" s="39"/>
      <c r="CC32" s="39"/>
      <c r="CD32" s="39"/>
      <c r="CE32" s="39"/>
      <c r="DR32" s="3"/>
    </row>
    <row r="33" spans="2:122">
      <c r="B33" s="32"/>
      <c r="C33" s="4"/>
      <c r="F33" s="30"/>
      <c r="G33" s="3"/>
      <c r="H33" s="30"/>
      <c r="I33" s="4"/>
      <c r="J33" s="34"/>
      <c r="K33" s="6"/>
      <c r="L33" s="30"/>
      <c r="M33" s="3"/>
      <c r="N33" s="3"/>
      <c r="O33" s="4"/>
      <c r="P33" s="3"/>
      <c r="Q33" s="35"/>
      <c r="R33" s="4"/>
      <c r="S33" s="3"/>
      <c r="T33" s="5"/>
      <c r="U33" s="3"/>
      <c r="V33" s="36"/>
      <c r="W33" s="36"/>
      <c r="X33" s="36"/>
      <c r="Y33" s="36"/>
      <c r="Z33" s="36"/>
      <c r="AA33" s="36"/>
      <c r="AB33" s="36"/>
      <c r="AE33" s="3"/>
      <c r="AF33" s="5"/>
      <c r="AG33" s="3"/>
      <c r="AH33" s="3"/>
      <c r="AI33" s="3"/>
      <c r="AJ33" s="4"/>
      <c r="AK33" s="4"/>
      <c r="AM33" s="3"/>
      <c r="AN33" s="4"/>
      <c r="AO33" s="6"/>
      <c r="AP33" s="38"/>
      <c r="AQ33" s="4"/>
      <c r="AR33" s="4"/>
      <c r="AS33" s="4"/>
      <c r="AT33" s="4"/>
      <c r="AU33" s="35"/>
      <c r="BO33" s="31"/>
      <c r="BP33" s="31"/>
      <c r="BZ33" s="39"/>
      <c r="CA33" s="39"/>
      <c r="CB33" s="39"/>
      <c r="CC33" s="39"/>
      <c r="CD33" s="39"/>
      <c r="CE33" s="39"/>
      <c r="DR33" s="3"/>
    </row>
    <row r="34" spans="2:122">
      <c r="B34" s="32"/>
      <c r="C34" s="4"/>
      <c r="F34" s="30"/>
      <c r="G34" s="3"/>
      <c r="H34" s="30"/>
      <c r="I34" s="4"/>
      <c r="J34" s="34"/>
      <c r="K34" s="6"/>
      <c r="L34" s="30"/>
      <c r="M34" s="3"/>
      <c r="N34" s="3"/>
      <c r="O34" s="4"/>
      <c r="P34" s="3"/>
      <c r="Q34" s="35"/>
      <c r="R34" s="4"/>
      <c r="S34" s="3"/>
      <c r="T34" s="5"/>
      <c r="U34" s="3"/>
      <c r="V34" s="36"/>
      <c r="W34" s="36"/>
      <c r="X34" s="36"/>
      <c r="Y34" s="36"/>
      <c r="Z34" s="36"/>
      <c r="AA34" s="36"/>
      <c r="AB34" s="36"/>
      <c r="AE34" s="3"/>
      <c r="AF34" s="5"/>
      <c r="AG34" s="3"/>
      <c r="AH34" s="3"/>
      <c r="AI34" s="3"/>
      <c r="AJ34" s="4"/>
      <c r="AK34" s="4"/>
      <c r="AM34" s="3"/>
      <c r="AN34" s="4"/>
      <c r="AO34" s="6"/>
      <c r="AP34" s="38"/>
      <c r="AQ34" s="4"/>
      <c r="AR34" s="4"/>
      <c r="AS34" s="4"/>
      <c r="AT34" s="4"/>
      <c r="AU34" s="35"/>
      <c r="BO34" s="31"/>
      <c r="BP34" s="31"/>
      <c r="BZ34" s="39"/>
      <c r="CA34" s="39"/>
      <c r="CB34" s="39"/>
      <c r="CC34" s="39"/>
      <c r="CD34" s="39"/>
      <c r="CE34" s="39"/>
      <c r="DR34" s="3"/>
    </row>
    <row r="35" spans="2:122">
      <c r="B35" s="32"/>
      <c r="C35" s="4"/>
      <c r="F35" s="30"/>
      <c r="G35" s="3"/>
      <c r="H35" s="30"/>
      <c r="I35" s="4"/>
      <c r="J35" s="34"/>
      <c r="K35" s="6"/>
      <c r="L35" s="30"/>
      <c r="M35" s="3"/>
      <c r="N35" s="3"/>
      <c r="O35" s="4"/>
      <c r="P35" s="3"/>
      <c r="Q35" s="35"/>
      <c r="R35" s="4"/>
      <c r="S35" s="3"/>
      <c r="T35" s="5"/>
      <c r="U35" s="3"/>
      <c r="V35" s="36"/>
      <c r="W35" s="36"/>
      <c r="X35" s="36"/>
      <c r="Y35" s="36"/>
      <c r="Z35" s="36"/>
      <c r="AA35" s="36"/>
      <c r="AB35" s="36"/>
      <c r="AE35" s="3"/>
      <c r="AF35" s="5"/>
      <c r="AG35" s="3"/>
      <c r="AH35" s="3"/>
      <c r="AI35" s="3"/>
      <c r="AJ35" s="4"/>
      <c r="AK35" s="4"/>
      <c r="AM35" s="3"/>
      <c r="AN35" s="4"/>
      <c r="AO35" s="6"/>
      <c r="AP35" s="38"/>
      <c r="AQ35" s="4"/>
      <c r="AR35" s="4"/>
      <c r="AS35" s="4"/>
      <c r="AT35" s="4"/>
      <c r="AU35" s="35"/>
      <c r="BO35" s="31"/>
      <c r="BP35" s="31"/>
      <c r="BZ35" s="39"/>
      <c r="CA35" s="39"/>
      <c r="CB35" s="39"/>
      <c r="CC35" s="39"/>
      <c r="CD35" s="39"/>
      <c r="CE35" s="39"/>
      <c r="DR35" s="3"/>
    </row>
    <row r="36" spans="2:122">
      <c r="B36" s="32"/>
      <c r="C36" s="4"/>
      <c r="F36" s="30"/>
      <c r="G36" s="3"/>
      <c r="H36" s="30"/>
      <c r="I36" s="4"/>
      <c r="J36" s="34"/>
      <c r="K36" s="6"/>
      <c r="L36" s="30"/>
      <c r="M36" s="3"/>
      <c r="N36" s="3"/>
      <c r="O36" s="4"/>
      <c r="P36" s="3"/>
      <c r="Q36" s="35"/>
      <c r="R36" s="4"/>
      <c r="S36" s="3"/>
      <c r="T36" s="5"/>
      <c r="U36" s="3"/>
      <c r="V36" s="36"/>
      <c r="W36" s="36"/>
      <c r="X36" s="36"/>
      <c r="Y36" s="36"/>
      <c r="Z36" s="36"/>
      <c r="AA36" s="36"/>
      <c r="AB36" s="36"/>
      <c r="AE36" s="3"/>
      <c r="AF36" s="5"/>
      <c r="AG36" s="3"/>
      <c r="AH36" s="3"/>
      <c r="AI36" s="3"/>
      <c r="AJ36" s="4"/>
      <c r="AK36" s="4"/>
      <c r="AM36" s="3"/>
      <c r="AN36" s="4"/>
      <c r="AO36" s="6"/>
      <c r="AP36" s="38"/>
      <c r="AQ36" s="4"/>
      <c r="AR36" s="4"/>
      <c r="AS36" s="4"/>
      <c r="AT36" s="4"/>
      <c r="AU36" s="35"/>
      <c r="BO36" s="31"/>
      <c r="BP36" s="31"/>
      <c r="BZ36" s="39"/>
      <c r="CA36" s="39"/>
      <c r="CB36" s="39"/>
      <c r="CC36" s="39"/>
      <c r="CD36" s="39"/>
      <c r="CE36" s="39"/>
      <c r="DR36" s="3"/>
    </row>
    <row r="37" spans="2:122">
      <c r="B37" s="32"/>
      <c r="C37" s="4"/>
      <c r="F37" s="30"/>
      <c r="G37" s="3"/>
      <c r="H37" s="30"/>
      <c r="I37" s="4"/>
      <c r="J37" s="34"/>
      <c r="K37" s="6"/>
      <c r="L37" s="30"/>
      <c r="M37" s="3"/>
      <c r="N37" s="3"/>
      <c r="O37" s="4"/>
      <c r="P37" s="3"/>
      <c r="Q37" s="35"/>
      <c r="R37" s="4"/>
      <c r="S37" s="3"/>
      <c r="T37" s="5"/>
      <c r="U37" s="3"/>
      <c r="V37" s="36"/>
      <c r="W37" s="36"/>
      <c r="X37" s="36"/>
      <c r="Y37" s="36"/>
      <c r="Z37" s="36"/>
      <c r="AA37" s="36"/>
      <c r="AB37" s="36"/>
      <c r="AE37" s="3"/>
      <c r="AF37" s="5"/>
      <c r="AG37" s="3"/>
      <c r="AH37" s="3"/>
      <c r="AI37" s="3"/>
      <c r="AJ37" s="4"/>
      <c r="AK37" s="4"/>
      <c r="AM37" s="3"/>
      <c r="AN37" s="4"/>
      <c r="AO37" s="6"/>
      <c r="AP37" s="38"/>
      <c r="AQ37" s="4"/>
      <c r="AR37" s="4"/>
      <c r="AS37" s="4"/>
      <c r="AT37" s="4"/>
      <c r="AU37" s="35"/>
      <c r="BO37" s="31"/>
      <c r="BP37" s="31"/>
      <c r="BZ37" s="39"/>
      <c r="CA37" s="39"/>
      <c r="CB37" s="39"/>
      <c r="CC37" s="39"/>
      <c r="CD37" s="39"/>
      <c r="CE37" s="39"/>
      <c r="DR37" s="3"/>
    </row>
    <row r="38" spans="2:122">
      <c r="B38" s="32"/>
      <c r="C38" s="4"/>
      <c r="F38" s="30"/>
      <c r="G38" s="3"/>
      <c r="H38" s="30"/>
      <c r="I38" s="4"/>
      <c r="J38" s="34"/>
      <c r="K38" s="6"/>
      <c r="L38" s="30"/>
      <c r="M38" s="3"/>
      <c r="N38" s="3"/>
      <c r="O38" s="4"/>
      <c r="P38" s="3"/>
      <c r="Q38" s="35"/>
      <c r="R38" s="4"/>
      <c r="S38" s="3"/>
      <c r="T38" s="5"/>
      <c r="U38" s="3"/>
      <c r="V38" s="36"/>
      <c r="W38" s="36"/>
      <c r="X38" s="36"/>
      <c r="Y38" s="36"/>
      <c r="Z38" s="36"/>
      <c r="AA38" s="36"/>
      <c r="AB38" s="36"/>
      <c r="AE38" s="3"/>
      <c r="AF38" s="5"/>
      <c r="AG38" s="3"/>
      <c r="AH38" s="3"/>
      <c r="AI38" s="3"/>
      <c r="AJ38" s="4"/>
      <c r="AK38" s="4"/>
      <c r="AM38" s="3"/>
      <c r="AN38" s="4"/>
      <c r="AO38" s="6"/>
      <c r="AP38" s="38"/>
      <c r="AQ38" s="4"/>
      <c r="AR38" s="4"/>
      <c r="AS38" s="4"/>
      <c r="AT38" s="4"/>
      <c r="AU38" s="35"/>
      <c r="BO38" s="31"/>
      <c r="BP38" s="31"/>
      <c r="BZ38" s="39"/>
      <c r="CA38" s="39"/>
      <c r="CB38" s="39"/>
      <c r="CC38" s="39"/>
      <c r="CD38" s="39"/>
      <c r="CE38" s="39"/>
      <c r="DR38" s="3"/>
    </row>
    <row r="39" spans="2:122">
      <c r="B39" s="32"/>
      <c r="C39" s="4"/>
      <c r="F39" s="42"/>
      <c r="G39" s="3"/>
      <c r="H39" s="30"/>
      <c r="I39" s="4"/>
      <c r="J39" s="34"/>
      <c r="K39" s="6"/>
      <c r="L39" s="30"/>
      <c r="M39" s="3"/>
      <c r="N39" s="3"/>
      <c r="O39" s="4"/>
      <c r="P39" s="3"/>
      <c r="Q39" s="35"/>
      <c r="R39" s="4"/>
      <c r="S39" s="3"/>
      <c r="T39" s="5"/>
      <c r="U39" s="3"/>
      <c r="V39" s="36"/>
      <c r="W39" s="36"/>
      <c r="X39" s="36"/>
      <c r="Y39" s="36"/>
      <c r="Z39" s="36"/>
      <c r="AA39" s="36"/>
      <c r="AB39" s="36"/>
      <c r="AE39" s="3"/>
      <c r="AF39" s="5"/>
      <c r="AG39" s="3"/>
      <c r="AH39" s="3"/>
      <c r="AI39" s="3"/>
      <c r="AJ39" s="4"/>
      <c r="AK39" s="4"/>
      <c r="AM39" s="3"/>
      <c r="AN39" s="4"/>
      <c r="AO39" s="6"/>
      <c r="AP39" s="38"/>
      <c r="AQ39" s="4"/>
      <c r="AR39" s="4"/>
      <c r="AS39" s="4"/>
      <c r="AT39" s="4"/>
      <c r="AU39" s="35"/>
      <c r="BO39" s="31"/>
      <c r="BP39" s="31"/>
      <c r="BZ39" s="39"/>
      <c r="CA39" s="39"/>
      <c r="CB39" s="39"/>
      <c r="CC39" s="39"/>
      <c r="CD39" s="39"/>
      <c r="CE39" s="39"/>
      <c r="DR39" s="3"/>
    </row>
    <row r="40" spans="2:122">
      <c r="B40" s="32"/>
      <c r="C40" s="4"/>
      <c r="F40" s="30"/>
      <c r="G40" s="3"/>
      <c r="H40" s="30"/>
      <c r="I40" s="4"/>
      <c r="J40" s="34"/>
      <c r="K40" s="6"/>
      <c r="L40" s="30"/>
      <c r="M40" s="3"/>
      <c r="N40" s="3"/>
      <c r="O40" s="4"/>
      <c r="P40" s="3"/>
      <c r="Q40" s="35"/>
      <c r="R40" s="4"/>
      <c r="S40" s="3"/>
      <c r="T40" s="5"/>
      <c r="U40" s="3"/>
      <c r="V40" s="36"/>
      <c r="W40" s="36"/>
      <c r="X40" s="36"/>
      <c r="Y40" s="36"/>
      <c r="Z40" s="36"/>
      <c r="AA40" s="36"/>
      <c r="AB40" s="36"/>
      <c r="AE40" s="3"/>
      <c r="AF40" s="5"/>
      <c r="AG40" s="3"/>
      <c r="AH40" s="3"/>
      <c r="AI40" s="3"/>
      <c r="AJ40" s="4"/>
      <c r="AK40" s="4"/>
      <c r="AM40" s="3"/>
      <c r="AN40" s="4"/>
      <c r="AO40" s="6"/>
      <c r="AP40" s="38"/>
      <c r="AQ40" s="4"/>
      <c r="AR40" s="4"/>
      <c r="AS40" s="4"/>
      <c r="AT40" s="4"/>
      <c r="AU40" s="35"/>
      <c r="BO40" s="31"/>
      <c r="BP40" s="31"/>
      <c r="BZ40" s="39"/>
      <c r="CA40" s="39"/>
      <c r="CB40" s="39"/>
      <c r="CC40" s="39"/>
      <c r="CD40" s="39"/>
      <c r="CE40" s="39"/>
      <c r="DR40" s="3"/>
    </row>
  </sheetData>
  <sheetProtection formatColumns="0" formatRows="0" insertRows="0" deleteColumns="0" deleteRows="0"/>
  <conditionalFormatting sqref="M4">
    <cfRule type="expression" dxfId="0" priority="3286">
      <formula>IF(VLOOKUP($M$3,requiredAttributePTDMap,MATCH($A4,attributeMapFeedProductType,0)+1,FALSE)&gt;0,1,0)</formula>
    </cfRule>
    <cfRule type="expression" dxfId="1" priority="3287">
      <formula>IF(VLOOKUP($M$3,optionalAttributePTDMap,MATCH($A4,attributeMapFeedProductType,0)+1,FALSE)&gt;0,1,0)</formula>
    </cfRule>
    <cfRule type="expression" dxfId="2" priority="3288">
      <formula>IF(VLOOKUP($M$3,preferredAttributePTDMap,MATCH($A4,attributeMapFeedProductType,0)+1,FALSE)&gt;0,1,0)</formula>
    </cfRule>
    <cfRule type="expression" dxfId="3" priority="3289">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M4:N4">
    <cfRule type="expression" dxfId="4" priority="3285">
      <formula>IF(LEN(M4)&gt;0,1,0)</formula>
    </cfRule>
  </conditionalFormatting>
  <conditionalFormatting sqref="N4">
    <cfRule type="expression" dxfId="0" priority="3291">
      <formula>IF(VLOOKUP($N$3,requiredAttributePTDMap,MATCH($A4,attributeMapFeedProductType,0)+1,FALSE)&gt;0,1,0)</formula>
    </cfRule>
    <cfRule type="expression" dxfId="1" priority="3292">
      <formula>IF(VLOOKUP($N$3,optionalAttributePTDMap,MATCH($A4,attributeMapFeedProductType,0)+1,FALSE)&gt;0,1,0)</formula>
    </cfRule>
    <cfRule type="expression" dxfId="2" priority="3293">
      <formula>IF(VLOOKUP($N$3,preferredAttributePTDMap,MATCH($A4,attributeMapFeedProductType,0)+1,FALSE)&gt;0,1,0)</formula>
    </cfRule>
    <cfRule type="expression" dxfId="3" priority="329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AV9">
    <cfRule type="expression" dxfId="0" priority="4534">
      <formula>IF(VLOOKUP($AV$3,requiredAttributePTDMap,MATCH($A10,attributeMapFeedProductType,0)+1,FALSE)&gt;0,1,0)</formula>
    </cfRule>
    <cfRule type="expression" dxfId="1" priority="4535">
      <formula>IF(VLOOKUP($AV$3,optionalAttributePTDMap,MATCH($A10,attributeMapFeedProductType,0)+1,FALSE)&gt;0,1,0)</formula>
    </cfRule>
    <cfRule type="expression" dxfId="2" priority="4536">
      <formula>IF(VLOOKUP($AV$3,preferredAttributePTDMap,MATCH($A10,attributeMapFeedProductType,0)+1,FALSE)&gt;0,1,0)</formula>
    </cfRule>
    <cfRule type="expression" dxfId="3" priority="4537">
      <formula>AND(IF(IFERROR(VLOOKUP($AV$3,requiredAttributePTDMap,MATCH($A10,attributeMapFeedProductType,0)+1,FALSE),0)&gt;0,0,1),IF(IFERROR(VLOOKUP($AV$3,optionalAttributePTDMap,MATCH($A10,attributeMapFeedProductType,0)+1,FALSE),0)&gt;0,0,1),IF(IFERROR(VLOOKUP($AV$3,preferredAttributePTDMap,MATCH($A10,attributeMapFeedProductType,0)+1,FALSE),0)&gt;0,0,1),IF(IFERROR(MATCH($A10,attributeMapFeedProductType,0),0)&gt;0,1,0))</formula>
    </cfRule>
  </conditionalFormatting>
  <conditionalFormatting sqref="AV20">
    <cfRule type="expression" dxfId="0" priority="7">
      <formula>IF(VLOOKUP($AV$3,requiredAttributePTDMap,MATCH($A21,attributeMapFeedProductType,0)+1,FALSE)&gt;0,1,0)</formula>
    </cfRule>
    <cfRule type="expression" dxfId="1" priority="8">
      <formula>IF(VLOOKUP($AV$3,optionalAttributePTDMap,MATCH($A21,attributeMapFeedProductType,0)+1,FALSE)&gt;0,1,0)</formula>
    </cfRule>
    <cfRule type="expression" dxfId="2" priority="9">
      <formula>IF(VLOOKUP($AV$3,preferredAttributePTDMap,MATCH($A21,attributeMapFeedProductType,0)+1,FALSE)&gt;0,1,0)</formula>
    </cfRule>
    <cfRule type="expression" dxfId="3" priority="10">
      <formula>AND(IF(IFERROR(VLOOKUP($AV$3,requiredAttributePTDMap,MATCH($A21,attributeMapFeedProductType,0)+1,FALSE),0)&gt;0,0,1),IF(IFERROR(VLOOKUP($AV$3,optionalAttributePTDMap,MATCH($A21,attributeMapFeedProductType,0)+1,FALSE),0)&gt;0,0,1),IF(IFERROR(VLOOKUP($AV$3,preferredAttributePTDMap,MATCH($A21,attributeMapFeedProductType,0)+1,FALSE),0)&gt;0,0,1),IF(IFERROR(MATCH($A21,attributeMapFeedProductType,0),0)&gt;0,1,0))</formula>
    </cfRule>
  </conditionalFormatting>
  <conditionalFormatting sqref="A4:A1048576">
    <cfRule type="expression" dxfId="0" priority="3382">
      <formula>IF(VLOOKUP($A$3,requiredAttributePTDMap,MATCH($A4,attributeMapFeedProductType,0)+1,FALSE)&gt;0,1,0)</formula>
    </cfRule>
    <cfRule type="expression" dxfId="1" priority="3383">
      <formula>IF(VLOOKUP($A$3,optionalAttributePTDMap,MATCH($A4,attributeMapFeedProductType,0)+1,FALSE)&gt;0,1,0)</formula>
    </cfRule>
    <cfRule type="expression" dxfId="2" priority="3384">
      <formula>IF(VLOOKUP($A$3,preferredAttributePTDMap,MATCH($A4,attributeMapFeedProductType,0)+1,FALSE)&gt;0,1,0)</formula>
    </cfRule>
    <cfRule type="expression" dxfId="3" priority="338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C4:C1048576">
    <cfRule type="expression" dxfId="0" priority="3392">
      <formula>IF(VLOOKUP($C$3,requiredAttributePTDMap,MATCH($A4,attributeMapFeedProductType,0)+1,FALSE)&gt;0,1,0)</formula>
    </cfRule>
    <cfRule type="expression" dxfId="1" priority="3393">
      <formula>IF(VLOOKUP($C$3,optionalAttributePTDMap,MATCH($A4,attributeMapFeedProductType,0)+1,FALSE)&gt;0,1,0)</formula>
    </cfRule>
    <cfRule type="expression" dxfId="2" priority="3394">
      <formula>IF(VLOOKUP($C$3,preferredAttributePTDMap,MATCH($A4,attributeMapFeedProductType,0)+1,FALSE)&gt;0,1,0)</formula>
    </cfRule>
    <cfRule type="expression" dxfId="3" priority="339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3397">
      <formula>IF(VLOOKUP($D$3,requiredAttributePTDMap,MATCH($A4,attributeMapFeedProductType,0)+1,FALSE)&gt;0,1,0)</formula>
    </cfRule>
    <cfRule type="expression" dxfId="1" priority="3398">
      <formula>IF(VLOOKUP($D$3,optionalAttributePTDMap,MATCH($A4,attributeMapFeedProductType,0)+1,FALSE)&gt;0,1,0)</formula>
    </cfRule>
    <cfRule type="expression" dxfId="2" priority="3399">
      <formula>IF(VLOOKUP($D$3,preferredAttributePTDMap,MATCH($A4,attributeMapFeedProductType,0)+1,FALSE)&gt;0,1,0)</formula>
    </cfRule>
    <cfRule type="expression" dxfId="3" priority="340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3402">
      <formula>IF(VLOOKUP($E$3,requiredAttributePTDMap,MATCH($A4,attributeMapFeedProductType,0)+1,FALSE)&gt;0,1,0)</formula>
    </cfRule>
    <cfRule type="expression" dxfId="1" priority="3403">
      <formula>IF(VLOOKUP($E$3,optionalAttributePTDMap,MATCH($A4,attributeMapFeedProductType,0)+1,FALSE)&gt;0,1,0)</formula>
    </cfRule>
    <cfRule type="expression" dxfId="2" priority="3404">
      <formula>IF(VLOOKUP($E$3,preferredAttributePTDMap,MATCH($A4,attributeMapFeedProductType,0)+1,FALSE)&gt;0,1,0)</formula>
    </cfRule>
    <cfRule type="expression" dxfId="3" priority="340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3407">
      <formula>IF(VLOOKUP($F$3,requiredAttributePTDMap,MATCH($A4,attributeMapFeedProductType,0)+1,FALSE)&gt;0,1,0)</formula>
    </cfRule>
    <cfRule type="expression" dxfId="1" priority="3408">
      <formula>IF(VLOOKUP($F$3,optionalAttributePTDMap,MATCH($A4,attributeMapFeedProductType,0)+1,FALSE)&gt;0,1,0)</formula>
    </cfRule>
    <cfRule type="expression" dxfId="2" priority="3409">
      <formula>IF(VLOOKUP($F$3,preferredAttributePTDMap,MATCH($A4,attributeMapFeedProductType,0)+1,FALSE)&gt;0,1,0)</formula>
    </cfRule>
    <cfRule type="expression" dxfId="3" priority="341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412">
      <formula>IF(VLOOKUP($G$3,requiredAttributePTDMap,MATCH($A4,attributeMapFeedProductType,0)+1,FALSE)&gt;0,1,0)</formula>
    </cfRule>
    <cfRule type="expression" dxfId="1" priority="3413">
      <formula>IF(VLOOKUP($G$3,optionalAttributePTDMap,MATCH($A4,attributeMapFeedProductType,0)+1,FALSE)&gt;0,1,0)</formula>
    </cfRule>
    <cfRule type="expression" dxfId="2" priority="3414">
      <formula>IF(VLOOKUP($G$3,preferredAttributePTDMap,MATCH($A4,attributeMapFeedProductType,0)+1,FALSE)&gt;0,1,0)</formula>
    </cfRule>
    <cfRule type="expression" dxfId="3" priority="341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K4:K1048576">
    <cfRule type="expression" dxfId="4" priority="3431">
      <formula>IF(LEN(K4)&gt;0,1,0)</formula>
    </cfRule>
    <cfRule type="expression" dxfId="0" priority="3432">
      <formula>IF(VLOOKUP($K$3,requiredAttributePTDMap,MATCH($A4,attributeMapFeedProductType,0)+1,FALSE)&gt;0,1,0)</formula>
    </cfRule>
    <cfRule type="expression" dxfId="1" priority="3433">
      <formula>IF(VLOOKUP($K$3,optionalAttributePTDMap,MATCH($A4,attributeMapFeedProductType,0)+1,FALSE)&gt;0,1,0)</formula>
    </cfRule>
    <cfRule type="expression" dxfId="2" priority="3434">
      <formula>IF(VLOOKUP($K$3,preferredAttributePTDMap,MATCH($A4,attributeMapFeedProductType,0)+1,FALSE)&gt;0,1,0)</formula>
    </cfRule>
    <cfRule type="expression" dxfId="3" priority="343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1:L1048576">
    <cfRule type="expression" dxfId="4" priority="3436">
      <formula>IF(LEN(L41)&gt;0,1,0)</formula>
    </cfRule>
    <cfRule type="expression" dxfId="0" priority="3437">
      <formula>IF(VLOOKUP($L$3,requiredAttributePTDMap,MATCH($A41,attributeMapFeedProductType,0)+1,FALSE)&gt;0,1,0)</formula>
    </cfRule>
    <cfRule type="expression" dxfId="1" priority="3438">
      <formula>IF(VLOOKUP($L$3,optionalAttributePTDMap,MATCH($A41,attributeMapFeedProductType,0)+1,FALSE)&gt;0,1,0)</formula>
    </cfRule>
    <cfRule type="expression" dxfId="2" priority="3439">
      <formula>IF(VLOOKUP($L$3,preferredAttributePTDMap,MATCH($A41,attributeMapFeedProductType,0)+1,FALSE)&gt;0,1,0)</formula>
    </cfRule>
    <cfRule type="expression" dxfId="3" priority="3440">
      <formula>AND(IF(IFERROR(VLOOKUP($L$3,requiredAttributePTDMap,MATCH($A41,attributeMapFeedProductType,0)+1,FALSE),0)&gt;0,0,1),IF(IFERROR(VLOOKUP($L$3,optionalAttributePTDMap,MATCH($A41,attributeMapFeedProductType,0)+1,FALSE),0)&gt;0,0,1),IF(IFERROR(VLOOKUP($L$3,preferredAttributePTDMap,MATCH($A41,attributeMapFeedProductType,0)+1,FALSE),0)&gt;0,0,1),IF(IFERROR(MATCH($A41,attributeMapFeedProductType,0),0)&gt;0,1,0))</formula>
    </cfRule>
  </conditionalFormatting>
  <conditionalFormatting sqref="M5:M1048576">
    <cfRule type="expression" dxfId="0" priority="3442">
      <formula>IF(VLOOKUP($M$3,requiredAttributePTDMap,MATCH($A5,attributeMapFeedProductType,0)+1,FALSE)&gt;0,1,0)</formula>
    </cfRule>
    <cfRule type="expression" dxfId="1" priority="3443">
      <formula>IF(VLOOKUP($M$3,optionalAttributePTDMap,MATCH($A5,attributeMapFeedProductType,0)+1,FALSE)&gt;0,1,0)</formula>
    </cfRule>
    <cfRule type="expression" dxfId="2" priority="3444">
      <formula>IF(VLOOKUP($M$3,preferredAttributePTDMap,MATCH($A5,attributeMapFeedProductType,0)+1,FALSE)&gt;0,1,0)</formula>
    </cfRule>
    <cfRule type="expression" dxfId="3" priority="3445">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48576">
    <cfRule type="expression" dxfId="0" priority="3447">
      <formula>IF(VLOOKUP($N$3,requiredAttributePTDMap,MATCH($A5,attributeMapFeedProductType,0)+1,FALSE)&gt;0,1,0)</formula>
    </cfRule>
    <cfRule type="expression" dxfId="1" priority="3448">
      <formula>IF(VLOOKUP($N$3,optionalAttributePTDMap,MATCH($A5,attributeMapFeedProductType,0)+1,FALSE)&gt;0,1,0)</formula>
    </cfRule>
    <cfRule type="expression" dxfId="2" priority="3449">
      <formula>IF(VLOOKUP($N$3,preferredAttributePTDMap,MATCH($A5,attributeMapFeedProductType,0)+1,FALSE)&gt;0,1,0)</formula>
    </cfRule>
    <cfRule type="expression" dxfId="3" priority="3450">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4:O1048576">
    <cfRule type="expression" dxfId="0" priority="3452">
      <formula>IF(VLOOKUP($O$3,requiredAttributePTDMap,MATCH($A4,attributeMapFeedProductType,0)+1,FALSE)&gt;0,1,0)</formula>
    </cfRule>
    <cfRule type="expression" dxfId="1" priority="3453">
      <formula>IF(VLOOKUP($O$3,optionalAttributePTDMap,MATCH($A4,attributeMapFeedProductType,0)+1,FALSE)&gt;0,1,0)</formula>
    </cfRule>
    <cfRule type="expression" dxfId="2" priority="3454">
      <formula>IF(VLOOKUP($O$3,preferredAttributePTDMap,MATCH($A4,attributeMapFeedProductType,0)+1,FALSE)&gt;0,1,0)</formula>
    </cfRule>
    <cfRule type="expression" dxfId="3" priority="345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3457">
      <formula>IF(VLOOKUP($P$3,requiredAttributePTDMap,MATCH($A4,attributeMapFeedProductType,0)+1,FALSE)&gt;0,1,0)</formula>
    </cfRule>
    <cfRule type="expression" dxfId="1" priority="3458">
      <formula>IF(VLOOKUP($P$3,optionalAttributePTDMap,MATCH($A4,attributeMapFeedProductType,0)+1,FALSE)&gt;0,1,0)</formula>
    </cfRule>
    <cfRule type="expression" dxfId="2" priority="3459">
      <formula>IF(VLOOKUP($P$3,preferredAttributePTDMap,MATCH($A4,attributeMapFeedProductType,0)+1,FALSE)&gt;0,1,0)</formula>
    </cfRule>
    <cfRule type="expression" dxfId="3" priority="346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R4:R1048576">
    <cfRule type="expression" dxfId="0" priority="3467">
      <formula>IF(VLOOKUP($R$3,requiredAttributePTDMap,MATCH($A4,attributeMapFeedProductType,0)+1,FALSE)&gt;0,1,0)</formula>
    </cfRule>
    <cfRule type="expression" dxfId="1" priority="3468">
      <formula>IF(VLOOKUP($R$3,optionalAttributePTDMap,MATCH($A4,attributeMapFeedProductType,0)+1,FALSE)&gt;0,1,0)</formula>
    </cfRule>
    <cfRule type="expression" dxfId="2" priority="3469">
      <formula>IF(VLOOKUP($R$3,preferredAttributePTDMap,MATCH($A4,attributeMapFeedProductType,0)+1,FALSE)&gt;0,1,0)</formula>
    </cfRule>
    <cfRule type="expression" dxfId="3" priority="347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3472">
      <formula>IF(VLOOKUP($S$3,requiredAttributePTDMap,MATCH($A4,attributeMapFeedProductType,0)+1,FALSE)&gt;0,1,0)</formula>
    </cfRule>
    <cfRule type="expression" dxfId="1" priority="3473">
      <formula>IF(VLOOKUP($S$3,optionalAttributePTDMap,MATCH($A4,attributeMapFeedProductType,0)+1,FALSE)&gt;0,1,0)</formula>
    </cfRule>
    <cfRule type="expression" dxfId="2" priority="3474">
      <formula>IF(VLOOKUP($S$3,preferredAttributePTDMap,MATCH($A4,attributeMapFeedProductType,0)+1,FALSE)&gt;0,1,0)</formula>
    </cfRule>
    <cfRule type="expression" dxfId="3" priority="347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3477">
      <formula>IF(VLOOKUP($T$3,requiredAttributePTDMap,MATCH($A4,attributeMapFeedProductType,0)+1,FALSE)&gt;0,1,0)</formula>
    </cfRule>
    <cfRule type="expression" dxfId="1" priority="3478">
      <formula>IF(VLOOKUP($T$3,optionalAttributePTDMap,MATCH($A4,attributeMapFeedProductType,0)+1,FALSE)&gt;0,1,0)</formula>
    </cfRule>
    <cfRule type="expression" dxfId="2" priority="3479">
      <formula>IF(VLOOKUP($T$3,preferredAttributePTDMap,MATCH($A4,attributeMapFeedProductType,0)+1,FALSE)&gt;0,1,0)</formula>
    </cfRule>
    <cfRule type="expression" dxfId="3" priority="348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3482">
      <formula>IF(VLOOKUP($U$3,requiredAttributePTDMap,MATCH($A4,attributeMapFeedProductType,0)+1,FALSE)&gt;0,1,0)</formula>
    </cfRule>
    <cfRule type="expression" dxfId="1" priority="3483">
      <formula>IF(VLOOKUP($U$3,optionalAttributePTDMap,MATCH($A4,attributeMapFeedProductType,0)+1,FALSE)&gt;0,1,0)</formula>
    </cfRule>
    <cfRule type="expression" dxfId="2" priority="3484">
      <formula>IF(VLOOKUP($U$3,preferredAttributePTDMap,MATCH($A4,attributeMapFeedProductType,0)+1,FALSE)&gt;0,1,0)</formula>
    </cfRule>
    <cfRule type="expression" dxfId="3" priority="348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AB4:AB1048576">
    <cfRule type="expression" dxfId="0" priority="3517">
      <formula>IF(VLOOKUP($AB$3,requiredAttributePTDMap,MATCH($A4,attributeMapFeedProductType,0)+1,FALSE)&gt;0,1,0)</formula>
    </cfRule>
    <cfRule type="expression" dxfId="1" priority="3518">
      <formula>IF(VLOOKUP($AB$3,optionalAttributePTDMap,MATCH($A4,attributeMapFeedProductType,0)+1,FALSE)&gt;0,1,0)</formula>
    </cfRule>
    <cfRule type="expression" dxfId="2" priority="3519">
      <formula>IF(VLOOKUP($AB$3,preferredAttributePTDMap,MATCH($A4,attributeMapFeedProductType,0)+1,FALSE)&gt;0,1,0)</formula>
    </cfRule>
    <cfRule type="expression" dxfId="3" priority="352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3522">
      <formula>IF(VLOOKUP($AC$3,requiredAttributePTDMap,MATCH($A4,attributeMapFeedProductType,0)+1,FALSE)&gt;0,1,0)</formula>
    </cfRule>
    <cfRule type="expression" dxfId="1" priority="3523">
      <formula>IF(VLOOKUP($AC$3,optionalAttributePTDMap,MATCH($A4,attributeMapFeedProductType,0)+1,FALSE)&gt;0,1,0)</formula>
    </cfRule>
    <cfRule type="expression" dxfId="2" priority="3524">
      <formula>IF(VLOOKUP($AC$3,preferredAttributePTDMap,MATCH($A4,attributeMapFeedProductType,0)+1,FALSE)&gt;0,1,0)</formula>
    </cfRule>
    <cfRule type="expression" dxfId="3" priority="352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3527">
      <formula>IF(VLOOKUP($AD$3,requiredAttributePTDMap,MATCH($A4,attributeMapFeedProductType,0)+1,FALSE)&gt;0,1,0)</formula>
    </cfRule>
    <cfRule type="expression" dxfId="1" priority="3528">
      <formula>IF(VLOOKUP($AD$3,optionalAttributePTDMap,MATCH($A4,attributeMapFeedProductType,0)+1,FALSE)&gt;0,1,0)</formula>
    </cfRule>
    <cfRule type="expression" dxfId="2" priority="3529">
      <formula>IF(VLOOKUP($AD$3,preferredAttributePTDMap,MATCH($A4,attributeMapFeedProductType,0)+1,FALSE)&gt;0,1,0)</formula>
    </cfRule>
    <cfRule type="expression" dxfId="3" priority="353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3532">
      <formula>IF(VLOOKUP($AE$3,requiredAttributePTDMap,MATCH($A4,attributeMapFeedProductType,0)+1,FALSE)&gt;0,1,0)</formula>
    </cfRule>
    <cfRule type="expression" dxfId="1" priority="3533">
      <formula>IF(VLOOKUP($AE$3,optionalAttributePTDMap,MATCH($A4,attributeMapFeedProductType,0)+1,FALSE)&gt;0,1,0)</formula>
    </cfRule>
    <cfRule type="expression" dxfId="2" priority="3534">
      <formula>IF(VLOOKUP($AE$3,preferredAttributePTDMap,MATCH($A4,attributeMapFeedProductType,0)+1,FALSE)&gt;0,1,0)</formula>
    </cfRule>
    <cfRule type="expression" dxfId="3" priority="353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G4:AG1048576">
    <cfRule type="expression" dxfId="0" priority="3542">
      <formula>IF(VLOOKUP($AG$3,requiredAttributePTDMap,MATCH($A4,attributeMapFeedProductType,0)+1,FALSE)&gt;0,1,0)</formula>
    </cfRule>
    <cfRule type="expression" dxfId="1" priority="3543">
      <formula>IF(VLOOKUP($AG$3,optionalAttributePTDMap,MATCH($A4,attributeMapFeedProductType,0)+1,FALSE)&gt;0,1,0)</formula>
    </cfRule>
    <cfRule type="expression" dxfId="2" priority="3544">
      <formula>IF(VLOOKUP($AG$3,preferredAttributePTDMap,MATCH($A4,attributeMapFeedProductType,0)+1,FALSE)&gt;0,1,0)</formula>
    </cfRule>
    <cfRule type="expression" dxfId="3" priority="354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547">
      <formula>IF(VLOOKUP($AH$3,requiredAttributePTDMap,MATCH($A4,attributeMapFeedProductType,0)+1,FALSE)&gt;0,1,0)</formula>
    </cfRule>
    <cfRule type="expression" dxfId="1" priority="3548">
      <formula>IF(VLOOKUP($AH$3,optionalAttributePTDMap,MATCH($A4,attributeMapFeedProductType,0)+1,FALSE)&gt;0,1,0)</formula>
    </cfRule>
    <cfRule type="expression" dxfId="2" priority="3549">
      <formula>IF(VLOOKUP($AH$3,preferredAttributePTDMap,MATCH($A4,attributeMapFeedProductType,0)+1,FALSE)&gt;0,1,0)</formula>
    </cfRule>
    <cfRule type="expression" dxfId="3" priority="355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552">
      <formula>IF(VLOOKUP($AI$3,requiredAttributePTDMap,MATCH($A4,attributeMapFeedProductType,0)+1,FALSE)&gt;0,1,0)</formula>
    </cfRule>
    <cfRule type="expression" dxfId="1" priority="3553">
      <formula>IF(VLOOKUP($AI$3,optionalAttributePTDMap,MATCH($A4,attributeMapFeedProductType,0)+1,FALSE)&gt;0,1,0)</formula>
    </cfRule>
    <cfRule type="expression" dxfId="2" priority="3554">
      <formula>IF(VLOOKUP($AI$3,preferredAttributePTDMap,MATCH($A4,attributeMapFeedProductType,0)+1,FALSE)&gt;0,1,0)</formula>
    </cfRule>
    <cfRule type="expression" dxfId="3" priority="355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K4:AK1048576">
    <cfRule type="expression" dxfId="0" priority="3562">
      <formula>IF(VLOOKUP($AK$3,requiredAttributePTDMap,MATCH($A4,attributeMapFeedProductType,0)+1,FALSE)&gt;0,1,0)</formula>
    </cfRule>
    <cfRule type="expression" dxfId="1" priority="3563">
      <formula>IF(VLOOKUP($AK$3,optionalAttributePTDMap,MATCH($A4,attributeMapFeedProductType,0)+1,FALSE)&gt;0,1,0)</formula>
    </cfRule>
    <cfRule type="expression" dxfId="2" priority="3564">
      <formula>IF(VLOOKUP($AK$3,preferredAttributePTDMap,MATCH($A4,attributeMapFeedProductType,0)+1,FALSE)&gt;0,1,0)</formula>
    </cfRule>
    <cfRule type="expression" dxfId="3" priority="356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567">
      <formula>IF(VLOOKUP($AL$3,requiredAttributePTDMap,MATCH($A4,attributeMapFeedProductType,0)+1,FALSE)&gt;0,1,0)</formula>
    </cfRule>
    <cfRule type="expression" dxfId="1" priority="3568">
      <formula>IF(VLOOKUP($AL$3,optionalAttributePTDMap,MATCH($A4,attributeMapFeedProductType,0)+1,FALSE)&gt;0,1,0)</formula>
    </cfRule>
    <cfRule type="expression" dxfId="2" priority="3569">
      <formula>IF(VLOOKUP($AL$3,preferredAttributePTDMap,MATCH($A4,attributeMapFeedProductType,0)+1,FALSE)&gt;0,1,0)</formula>
    </cfRule>
    <cfRule type="expression" dxfId="3" priority="357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572">
      <formula>IF(VLOOKUP($AM$3,requiredAttributePTDMap,MATCH($A4,attributeMapFeedProductType,0)+1,FALSE)&gt;0,1,0)</formula>
    </cfRule>
    <cfRule type="expression" dxfId="1" priority="3573">
      <formula>IF(VLOOKUP($AM$3,optionalAttributePTDMap,MATCH($A4,attributeMapFeedProductType,0)+1,FALSE)&gt;0,1,0)</formula>
    </cfRule>
    <cfRule type="expression" dxfId="2" priority="3574">
      <formula>IF(VLOOKUP($AM$3,preferredAttributePTDMap,MATCH($A4,attributeMapFeedProductType,0)+1,FALSE)&gt;0,1,0)</formula>
    </cfRule>
    <cfRule type="expression" dxfId="3" priority="357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3582">
      <formula>IF(VLOOKUP($AO$3,requiredAttributePTDMap,MATCH($A4,attributeMapFeedProductType,0)+1,FALSE)&gt;0,1,0)</formula>
    </cfRule>
    <cfRule type="expression" dxfId="1" priority="3583">
      <formula>IF(VLOOKUP($AO$3,optionalAttributePTDMap,MATCH($A4,attributeMapFeedProductType,0)+1,FALSE)&gt;0,1,0)</formula>
    </cfRule>
    <cfRule type="expression" dxfId="2" priority="3584">
      <formula>IF(VLOOKUP($AO$3,preferredAttributePTDMap,MATCH($A4,attributeMapFeedProductType,0)+1,FALSE)&gt;0,1,0)</formula>
    </cfRule>
    <cfRule type="expression" dxfId="3" priority="358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Q4:AQ1048576">
    <cfRule type="expression" dxfId="0" priority="3592">
      <formula>IF(VLOOKUP($AQ$3,requiredAttributePTDMap,MATCH($A4,attributeMapFeedProductType,0)+1,FALSE)&gt;0,1,0)</formula>
    </cfRule>
    <cfRule type="expression" dxfId="1" priority="3593">
      <formula>IF(VLOOKUP($AQ$3,optionalAttributePTDMap,MATCH($A4,attributeMapFeedProductType,0)+1,FALSE)&gt;0,1,0)</formula>
    </cfRule>
    <cfRule type="expression" dxfId="2" priority="3594">
      <formula>IF(VLOOKUP($AQ$3,preferredAttributePTDMap,MATCH($A4,attributeMapFeedProductType,0)+1,FALSE)&gt;0,1,0)</formula>
    </cfRule>
    <cfRule type="expression" dxfId="3" priority="359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597">
      <formula>IF(VLOOKUP($AR$3,requiredAttributePTDMap,MATCH($A4,attributeMapFeedProductType,0)+1,FALSE)&gt;0,1,0)</formula>
    </cfRule>
    <cfRule type="expression" dxfId="1" priority="3598">
      <formula>IF(VLOOKUP($AR$3,optionalAttributePTDMap,MATCH($A4,attributeMapFeedProductType,0)+1,FALSE)&gt;0,1,0)</formula>
    </cfRule>
    <cfRule type="expression" dxfId="2" priority="3599">
      <formula>IF(VLOOKUP($AR$3,preferredAttributePTDMap,MATCH($A4,attributeMapFeedProductType,0)+1,FALSE)&gt;0,1,0)</formula>
    </cfRule>
    <cfRule type="expression" dxfId="3" priority="360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602">
      <formula>IF(VLOOKUP($AS$3,requiredAttributePTDMap,MATCH($A4,attributeMapFeedProductType,0)+1,FALSE)&gt;0,1,0)</formula>
    </cfRule>
    <cfRule type="expression" dxfId="1" priority="3603">
      <formula>IF(VLOOKUP($AS$3,optionalAttributePTDMap,MATCH($A4,attributeMapFeedProductType,0)+1,FALSE)&gt;0,1,0)</formula>
    </cfRule>
    <cfRule type="expression" dxfId="2" priority="3604">
      <formula>IF(VLOOKUP($AS$3,preferredAttributePTDMap,MATCH($A4,attributeMapFeedProductType,0)+1,FALSE)&gt;0,1,0)</formula>
    </cfRule>
    <cfRule type="expression" dxfId="3" priority="360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607">
      <formula>IF(VLOOKUP($AT$3,requiredAttributePTDMap,MATCH($A4,attributeMapFeedProductType,0)+1,FALSE)&gt;0,1,0)</formula>
    </cfRule>
    <cfRule type="expression" dxfId="1" priority="3608">
      <formula>IF(VLOOKUP($AT$3,optionalAttributePTDMap,MATCH($A4,attributeMapFeedProductType,0)+1,FALSE)&gt;0,1,0)</formula>
    </cfRule>
    <cfRule type="expression" dxfId="2" priority="3609">
      <formula>IF(VLOOKUP($AT$3,preferredAttributePTDMap,MATCH($A4,attributeMapFeedProductType,0)+1,FALSE)&gt;0,1,0)</formula>
    </cfRule>
    <cfRule type="expression" dxfId="3" priority="361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W4:AW1048576">
    <cfRule type="expression" dxfId="0" priority="3622">
      <formula>IF(VLOOKUP($AW$3,requiredAttributePTDMap,MATCH($A4,attributeMapFeedProductType,0)+1,FALSE)&gt;0,1,0)</formula>
    </cfRule>
    <cfRule type="expression" dxfId="1" priority="3623">
      <formula>IF(VLOOKUP($AW$3,optionalAttributePTDMap,MATCH($A4,attributeMapFeedProductType,0)+1,FALSE)&gt;0,1,0)</formula>
    </cfRule>
    <cfRule type="expression" dxfId="2" priority="3624">
      <formula>IF(VLOOKUP($AW$3,preferredAttributePTDMap,MATCH($A4,attributeMapFeedProductType,0)+1,FALSE)&gt;0,1,0)</formula>
    </cfRule>
    <cfRule type="expression" dxfId="3" priority="362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627">
      <formula>IF(VLOOKUP($AX$3,requiredAttributePTDMap,MATCH($A4,attributeMapFeedProductType,0)+1,FALSE)&gt;0,1,0)</formula>
    </cfRule>
    <cfRule type="expression" dxfId="1" priority="3628">
      <formula>IF(VLOOKUP($AX$3,optionalAttributePTDMap,MATCH($A4,attributeMapFeedProductType,0)+1,FALSE)&gt;0,1,0)</formula>
    </cfRule>
    <cfRule type="expression" dxfId="2" priority="3629">
      <formula>IF(VLOOKUP($AX$3,preferredAttributePTDMap,MATCH($A4,attributeMapFeedProductType,0)+1,FALSE)&gt;0,1,0)</formula>
    </cfRule>
    <cfRule type="expression" dxfId="3" priority="363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632">
      <formula>IF(VLOOKUP($AY$3,requiredAttributePTDMap,MATCH($A4,attributeMapFeedProductType,0)+1,FALSE)&gt;0,1,0)</formula>
    </cfRule>
    <cfRule type="expression" dxfId="1" priority="3633">
      <formula>IF(VLOOKUP($AY$3,optionalAttributePTDMap,MATCH($A4,attributeMapFeedProductType,0)+1,FALSE)&gt;0,1,0)</formula>
    </cfRule>
    <cfRule type="expression" dxfId="2" priority="3634">
      <formula>IF(VLOOKUP($AY$3,preferredAttributePTDMap,MATCH($A4,attributeMapFeedProductType,0)+1,FALSE)&gt;0,1,0)</formula>
    </cfRule>
    <cfRule type="expression" dxfId="3" priority="363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637">
      <formula>IF(VLOOKUP($AZ$3,requiredAttributePTDMap,MATCH($A4,attributeMapFeedProductType,0)+1,FALSE)&gt;0,1,0)</formula>
    </cfRule>
    <cfRule type="expression" dxfId="1" priority="3638">
      <formula>IF(VLOOKUP($AZ$3,optionalAttributePTDMap,MATCH($A4,attributeMapFeedProductType,0)+1,FALSE)&gt;0,1,0)</formula>
    </cfRule>
    <cfRule type="expression" dxfId="2" priority="3639">
      <formula>IF(VLOOKUP($AZ$3,preferredAttributePTDMap,MATCH($A4,attributeMapFeedProductType,0)+1,FALSE)&gt;0,1,0)</formula>
    </cfRule>
    <cfRule type="expression" dxfId="3" priority="364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642">
      <formula>IF(VLOOKUP($BA$3,requiredAttributePTDMap,MATCH($A4,attributeMapFeedProductType,0)+1,FALSE)&gt;0,1,0)</formula>
    </cfRule>
    <cfRule type="expression" dxfId="1" priority="3643">
      <formula>IF(VLOOKUP($BA$3,optionalAttributePTDMap,MATCH($A4,attributeMapFeedProductType,0)+1,FALSE)&gt;0,1,0)</formula>
    </cfRule>
    <cfRule type="expression" dxfId="2" priority="3644">
      <formula>IF(VLOOKUP($BA$3,preferredAttributePTDMap,MATCH($A4,attributeMapFeedProductType,0)+1,FALSE)&gt;0,1,0)</formula>
    </cfRule>
    <cfRule type="expression" dxfId="3" priority="364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647">
      <formula>IF(VLOOKUP($BB$3,requiredAttributePTDMap,MATCH($A4,attributeMapFeedProductType,0)+1,FALSE)&gt;0,1,0)</formula>
    </cfRule>
    <cfRule type="expression" dxfId="1" priority="3648">
      <formula>IF(VLOOKUP($BB$3,optionalAttributePTDMap,MATCH($A4,attributeMapFeedProductType,0)+1,FALSE)&gt;0,1,0)</formula>
    </cfRule>
    <cfRule type="expression" dxfId="2" priority="3649">
      <formula>IF(VLOOKUP($BB$3,preferredAttributePTDMap,MATCH($A4,attributeMapFeedProductType,0)+1,FALSE)&gt;0,1,0)</formula>
    </cfRule>
    <cfRule type="expression" dxfId="3" priority="365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652">
      <formula>IF(VLOOKUP($BC$3,requiredAttributePTDMap,MATCH($A4,attributeMapFeedProductType,0)+1,FALSE)&gt;0,1,0)</formula>
    </cfRule>
    <cfRule type="expression" dxfId="1" priority="3653">
      <formula>IF(VLOOKUP($BC$3,optionalAttributePTDMap,MATCH($A4,attributeMapFeedProductType,0)+1,FALSE)&gt;0,1,0)</formula>
    </cfRule>
    <cfRule type="expression" dxfId="2" priority="3654">
      <formula>IF(VLOOKUP($BC$3,preferredAttributePTDMap,MATCH($A4,attributeMapFeedProductType,0)+1,FALSE)&gt;0,1,0)</formula>
    </cfRule>
    <cfRule type="expression" dxfId="3" priority="365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657">
      <formula>IF(VLOOKUP($BD$3,requiredAttributePTDMap,MATCH($A4,attributeMapFeedProductType,0)+1,FALSE)&gt;0,1,0)</formula>
    </cfRule>
    <cfRule type="expression" dxfId="1" priority="3658">
      <formula>IF(VLOOKUP($BD$3,optionalAttributePTDMap,MATCH($A4,attributeMapFeedProductType,0)+1,FALSE)&gt;0,1,0)</formula>
    </cfRule>
    <cfRule type="expression" dxfId="2" priority="3659">
      <formula>IF(VLOOKUP($BD$3,preferredAttributePTDMap,MATCH($A4,attributeMapFeedProductType,0)+1,FALSE)&gt;0,1,0)</formula>
    </cfRule>
    <cfRule type="expression" dxfId="3" priority="366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662">
      <formula>IF(VLOOKUP($BE$3,requiredAttributePTDMap,MATCH($A4,attributeMapFeedProductType,0)+1,FALSE)&gt;0,1,0)</formula>
    </cfRule>
    <cfRule type="expression" dxfId="1" priority="3663">
      <formula>IF(VLOOKUP($BE$3,optionalAttributePTDMap,MATCH($A4,attributeMapFeedProductType,0)+1,FALSE)&gt;0,1,0)</formula>
    </cfRule>
    <cfRule type="expression" dxfId="2" priority="3664">
      <formula>IF(VLOOKUP($BE$3,preferredAttributePTDMap,MATCH($A4,attributeMapFeedProductType,0)+1,FALSE)&gt;0,1,0)</formula>
    </cfRule>
    <cfRule type="expression" dxfId="3" priority="366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667">
      <formula>IF(VLOOKUP($BF$3,requiredAttributePTDMap,MATCH($A4,attributeMapFeedProductType,0)+1,FALSE)&gt;0,1,0)</formula>
    </cfRule>
    <cfRule type="expression" dxfId="1" priority="3668">
      <formula>IF(VLOOKUP($BF$3,optionalAttributePTDMap,MATCH($A4,attributeMapFeedProductType,0)+1,FALSE)&gt;0,1,0)</formula>
    </cfRule>
    <cfRule type="expression" dxfId="2" priority="3669">
      <formula>IF(VLOOKUP($BF$3,preferredAttributePTDMap,MATCH($A4,attributeMapFeedProductType,0)+1,FALSE)&gt;0,1,0)</formula>
    </cfRule>
    <cfRule type="expression" dxfId="3" priority="367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672">
      <formula>IF(VLOOKUP($BG$3,requiredAttributePTDMap,MATCH($A4,attributeMapFeedProductType,0)+1,FALSE)&gt;0,1,0)</formula>
    </cfRule>
    <cfRule type="expression" dxfId="1" priority="3673">
      <formula>IF(VLOOKUP($BG$3,optionalAttributePTDMap,MATCH($A4,attributeMapFeedProductType,0)+1,FALSE)&gt;0,1,0)</formula>
    </cfRule>
    <cfRule type="expression" dxfId="2" priority="3674">
      <formula>IF(VLOOKUP($BG$3,preferredAttributePTDMap,MATCH($A4,attributeMapFeedProductType,0)+1,FALSE)&gt;0,1,0)</formula>
    </cfRule>
    <cfRule type="expression" dxfId="3" priority="367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677">
      <formula>IF(VLOOKUP($BH$3,requiredAttributePTDMap,MATCH($A4,attributeMapFeedProductType,0)+1,FALSE)&gt;0,1,0)</formula>
    </cfRule>
    <cfRule type="expression" dxfId="1" priority="3678">
      <formula>IF(VLOOKUP($BH$3,optionalAttributePTDMap,MATCH($A4,attributeMapFeedProductType,0)+1,FALSE)&gt;0,1,0)</formula>
    </cfRule>
    <cfRule type="expression" dxfId="2" priority="3679">
      <formula>IF(VLOOKUP($BH$3,preferredAttributePTDMap,MATCH($A4,attributeMapFeedProductType,0)+1,FALSE)&gt;0,1,0)</formula>
    </cfRule>
    <cfRule type="expression" dxfId="3" priority="368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682">
      <formula>IF(VLOOKUP($BI$3,requiredAttributePTDMap,MATCH($A4,attributeMapFeedProductType,0)+1,FALSE)&gt;0,1,0)</formula>
    </cfRule>
    <cfRule type="expression" dxfId="1" priority="3683">
      <formula>IF(VLOOKUP($BI$3,optionalAttributePTDMap,MATCH($A4,attributeMapFeedProductType,0)+1,FALSE)&gt;0,1,0)</formula>
    </cfRule>
    <cfRule type="expression" dxfId="2" priority="3684">
      <formula>IF(VLOOKUP($BI$3,preferredAttributePTDMap,MATCH($A4,attributeMapFeedProductType,0)+1,FALSE)&gt;0,1,0)</formula>
    </cfRule>
    <cfRule type="expression" dxfId="3" priority="368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687">
      <formula>IF(VLOOKUP($BJ$3,requiredAttributePTDMap,MATCH($A4,attributeMapFeedProductType,0)+1,FALSE)&gt;0,1,0)</formula>
    </cfRule>
    <cfRule type="expression" dxfId="1" priority="3688">
      <formula>IF(VLOOKUP($BJ$3,optionalAttributePTDMap,MATCH($A4,attributeMapFeedProductType,0)+1,FALSE)&gt;0,1,0)</formula>
    </cfRule>
    <cfRule type="expression" dxfId="2" priority="3689">
      <formula>IF(VLOOKUP($BJ$3,preferredAttributePTDMap,MATCH($A4,attributeMapFeedProductType,0)+1,FALSE)&gt;0,1,0)</formula>
    </cfRule>
    <cfRule type="expression" dxfId="3" priority="369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692">
      <formula>IF(VLOOKUP($BK$3,requiredAttributePTDMap,MATCH($A4,attributeMapFeedProductType,0)+1,FALSE)&gt;0,1,0)</formula>
    </cfRule>
    <cfRule type="expression" dxfId="1" priority="3693">
      <formula>IF(VLOOKUP($BK$3,optionalAttributePTDMap,MATCH($A4,attributeMapFeedProductType,0)+1,FALSE)&gt;0,1,0)</formula>
    </cfRule>
    <cfRule type="expression" dxfId="2" priority="3694">
      <formula>IF(VLOOKUP($BK$3,preferredAttributePTDMap,MATCH($A4,attributeMapFeedProductType,0)+1,FALSE)&gt;0,1,0)</formula>
    </cfRule>
    <cfRule type="expression" dxfId="3" priority="369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697">
      <formula>IF(VLOOKUP($BL$3,requiredAttributePTDMap,MATCH($A4,attributeMapFeedProductType,0)+1,FALSE)&gt;0,1,0)</formula>
    </cfRule>
    <cfRule type="expression" dxfId="1" priority="3698">
      <formula>IF(VLOOKUP($BL$3,optionalAttributePTDMap,MATCH($A4,attributeMapFeedProductType,0)+1,FALSE)&gt;0,1,0)</formula>
    </cfRule>
    <cfRule type="expression" dxfId="2" priority="3699">
      <formula>IF(VLOOKUP($BL$3,preferredAttributePTDMap,MATCH($A4,attributeMapFeedProductType,0)+1,FALSE)&gt;0,1,0)</formula>
    </cfRule>
    <cfRule type="expression" dxfId="3" priority="370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702">
      <formula>IF(VLOOKUP($BM$3,requiredAttributePTDMap,MATCH($A4,attributeMapFeedProductType,0)+1,FALSE)&gt;0,1,0)</formula>
    </cfRule>
    <cfRule type="expression" dxfId="1" priority="3703">
      <formula>IF(VLOOKUP($BM$3,optionalAttributePTDMap,MATCH($A4,attributeMapFeedProductType,0)+1,FALSE)&gt;0,1,0)</formula>
    </cfRule>
    <cfRule type="expression" dxfId="2" priority="3704">
      <formula>IF(VLOOKUP($BM$3,preferredAttributePTDMap,MATCH($A4,attributeMapFeedProductType,0)+1,FALSE)&gt;0,1,0)</formula>
    </cfRule>
    <cfRule type="expression" dxfId="3" priority="370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BQ28">
    <cfRule type="expression" dxfId="4" priority="3365">
      <formula>IF(LEN(BQ4)&gt;0,1,0)</formula>
    </cfRule>
    <cfRule type="expression" dxfId="0" priority="3366">
      <formula>IF(VLOOKUP($EJ$3,requiredAttributePTDMap,MATCH($A4,attributeMapFeedProductType,0)+1,FALSE)&gt;0,1,0)</formula>
    </cfRule>
    <cfRule type="expression" dxfId="5" priority="3367">
      <formula>IF(VLOOKUP($EJ$3,optionalAttributePTDMap,MATCH($A4,attributeMapFeedProductType,0)+1,FALSE)&gt;0,1,0)</formula>
    </cfRule>
    <cfRule type="expression" dxfId="2" priority="3368">
      <formula>IF(VLOOKUP($EJ$3,preferredAttributePTDMap,MATCH($A4,attributeMapFeedProductType,0)+1,FALSE)&gt;0,1,0)</formula>
    </cfRule>
    <cfRule type="expression" dxfId="6" priority="3369">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BW4:BW1048576">
    <cfRule type="expression" dxfId="0" priority="3742">
      <formula>IF(VLOOKUP($BW$3,requiredAttributePTDMap,MATCH($A4,attributeMapFeedProductType,0)+1,FALSE)&gt;0,1,0)</formula>
    </cfRule>
    <cfRule type="expression" dxfId="1" priority="3743">
      <formula>IF(VLOOKUP($BW$3,optionalAttributePTDMap,MATCH($A4,attributeMapFeedProductType,0)+1,FALSE)&gt;0,1,0)</formula>
    </cfRule>
    <cfRule type="expression" dxfId="2" priority="3744">
      <formula>IF(VLOOKUP($BW$3,preferredAttributePTDMap,MATCH($A4,attributeMapFeedProductType,0)+1,FALSE)&gt;0,1,0)</formula>
    </cfRule>
    <cfRule type="expression" dxfId="3" priority="374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47">
      <formula>IF(VLOOKUP($BX$3,requiredAttributePTDMap,MATCH($A4,attributeMapFeedProductType,0)+1,FALSE)&gt;0,1,0)</formula>
    </cfRule>
    <cfRule type="expression" dxfId="1" priority="3748">
      <formula>IF(VLOOKUP($BX$3,optionalAttributePTDMap,MATCH($A4,attributeMapFeedProductType,0)+1,FALSE)&gt;0,1,0)</formula>
    </cfRule>
    <cfRule type="expression" dxfId="2" priority="3749">
      <formula>IF(VLOOKUP($BX$3,preferredAttributePTDMap,MATCH($A4,attributeMapFeedProductType,0)+1,FALSE)&gt;0,1,0)</formula>
    </cfRule>
    <cfRule type="expression" dxfId="3" priority="375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 priority="3380">
      <formula>IF($AE4&lt;&gt;"Parent",0,1)</formula>
    </cfRule>
    <cfRule type="expression" dxfId="0" priority="3752">
      <formula>IF(VLOOKUP($BY$3,requiredAttributePTDMap,MATCH($A4,attributeMapFeedProductType,0)+1,FALSE)&gt;0,1,0)</formula>
    </cfRule>
    <cfRule type="expression" dxfId="1" priority="3753">
      <formula>IF(VLOOKUP($BY$3,optionalAttributePTDMap,MATCH($A4,attributeMapFeedProductType,0)+1,FALSE)&gt;0,1,0)</formula>
    </cfRule>
    <cfRule type="expression" dxfId="2" priority="3754">
      <formula>IF(VLOOKUP($BY$3,preferredAttributePTDMap,MATCH($A4,attributeMapFeedProductType,0)+1,FALSE)&gt;0,1,0)</formula>
    </cfRule>
    <cfRule type="expression" dxfId="3" priority="375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F4:CF1048576">
    <cfRule type="expression" dxfId="0" priority="3787">
      <formula>IF(VLOOKUP($CF$3,requiredAttributePTDMap,MATCH($A4,attributeMapFeedProductType,0)+1,FALSE)&gt;0,1,0)</formula>
    </cfRule>
    <cfRule type="expression" dxfId="1" priority="3788">
      <formula>IF(VLOOKUP($CF$3,optionalAttributePTDMap,MATCH($A4,attributeMapFeedProductType,0)+1,FALSE)&gt;0,1,0)</formula>
    </cfRule>
    <cfRule type="expression" dxfId="2" priority="3789">
      <formula>IF(VLOOKUP($CF$3,preferredAttributePTDMap,MATCH($A4,attributeMapFeedProductType,0)+1,FALSE)&gt;0,1,0)</formula>
    </cfRule>
    <cfRule type="expression" dxfId="3" priority="379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3792">
      <formula>IF(VLOOKUP($CG$3,requiredAttributePTDMap,MATCH($A4,attributeMapFeedProductType,0)+1,FALSE)&gt;0,1,0)</formula>
    </cfRule>
    <cfRule type="expression" dxfId="1" priority="3793">
      <formula>IF(VLOOKUP($CG$3,optionalAttributePTDMap,MATCH($A4,attributeMapFeedProductType,0)+1,FALSE)&gt;0,1,0)</formula>
    </cfRule>
    <cfRule type="expression" dxfId="2" priority="3794">
      <formula>IF(VLOOKUP($CG$3,preferredAttributePTDMap,MATCH($A4,attributeMapFeedProductType,0)+1,FALSE)&gt;0,1,0)</formula>
    </cfRule>
    <cfRule type="expression" dxfId="3" priority="379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3797">
      <formula>IF(VLOOKUP($CH$3,requiredAttributePTDMap,MATCH($A4,attributeMapFeedProductType,0)+1,FALSE)&gt;0,1,0)</formula>
    </cfRule>
    <cfRule type="expression" dxfId="1" priority="3798">
      <formula>IF(VLOOKUP($CH$3,optionalAttributePTDMap,MATCH($A4,attributeMapFeedProductType,0)+1,FALSE)&gt;0,1,0)</formula>
    </cfRule>
    <cfRule type="expression" dxfId="2" priority="3799">
      <formula>IF(VLOOKUP($CH$3,preferredAttributePTDMap,MATCH($A4,attributeMapFeedProductType,0)+1,FALSE)&gt;0,1,0)</formula>
    </cfRule>
    <cfRule type="expression" dxfId="3" priority="380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K4:CK1048576">
    <cfRule type="expression" dxfId="3" priority="3806">
      <formula>AND(AND(OR(AND(OR(OR(NOT(BY4&lt;&gt;"DEFAULT"),BY4="")))),A4&lt;&gt;""))</formula>
    </cfRule>
    <cfRule type="expression" dxfId="4" priority="3807">
      <formula>IF(LEN(CK4)&gt;0,1,0)</formula>
    </cfRule>
    <cfRule type="expression" dxfId="0" priority="3808">
      <formula>IF(VLOOKUP($CK$3,requiredAttributePTDMap,MATCH($A4,attributeMapFeedProductType,0)+1,FALSE)&gt;0,1,0)</formula>
    </cfRule>
    <cfRule type="expression" dxfId="1" priority="3809">
      <formula>IF(VLOOKUP($CK$3,optionalAttributePTDMap,MATCH($A4,attributeMapFeedProductType,0)+1,FALSE)&gt;0,1,0)</formula>
    </cfRule>
    <cfRule type="expression" dxfId="2" priority="3810">
      <formula>IF(VLOOKUP($CK$3,preferredAttributePTDMap,MATCH($A4,attributeMapFeedProductType,0)+1,FALSE)&gt;0,1,0)</formula>
    </cfRule>
    <cfRule type="expression" dxfId="3" priority="381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 priority="3812">
      <formula>AND(AND(OR(AND(AND(OR(NOT(CK4="Yes"),CK4="")))),A4&lt;&gt;""))</formula>
    </cfRule>
    <cfRule type="expression" dxfId="4" priority="3813">
      <formula>IF(LEN(CL4)&gt;0,1,0)</formula>
    </cfRule>
    <cfRule type="expression" dxfId="0" priority="3814">
      <formula>IF(VLOOKUP($CL$3,requiredAttributePTDMap,MATCH($A4,attributeMapFeedProductType,0)+1,FALSE)&gt;0,1,0)</formula>
    </cfRule>
    <cfRule type="expression" dxfId="1" priority="3815">
      <formula>IF(VLOOKUP($CL$3,optionalAttributePTDMap,MATCH($A4,attributeMapFeedProductType,0)+1,FALSE)&gt;0,1,0)</formula>
    </cfRule>
    <cfRule type="expression" dxfId="2" priority="3816">
      <formula>IF(VLOOKUP($CL$3,preferredAttributePTDMap,MATCH($A4,attributeMapFeedProductType,0)+1,FALSE)&gt;0,1,0)</formula>
    </cfRule>
    <cfRule type="expression" dxfId="3" priority="381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 priority="3818">
      <formula>AND(AND(OR(AND(AND(OR(NOT(CL4="Yes"),CL4="")))),A4&lt;&gt;""))</formula>
    </cfRule>
    <cfRule type="expression" dxfId="4" priority="3819">
      <formula>IF(LEN(CM4)&gt;0,1,0)</formula>
    </cfRule>
    <cfRule type="expression" dxfId="0" priority="3820">
      <formula>IF(VLOOKUP($CM$3,requiredAttributePTDMap,MATCH($A4,attributeMapFeedProductType,0)+1,FALSE)&gt;0,1,0)</formula>
    </cfRule>
    <cfRule type="expression" dxfId="1" priority="3821">
      <formula>IF(VLOOKUP($CM$3,optionalAttributePTDMap,MATCH($A4,attributeMapFeedProductType,0)+1,FALSE)&gt;0,1,0)</formula>
    </cfRule>
    <cfRule type="expression" dxfId="2" priority="3822">
      <formula>IF(VLOOKUP($CM$3,preferredAttributePTDMap,MATCH($A4,attributeMapFeedProductType,0)+1,FALSE)&gt;0,1,0)</formula>
    </cfRule>
    <cfRule type="expression" dxfId="3" priority="3823">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3" priority="3824">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25">
      <formula>IF(LEN(CN4)&gt;0,1,0)</formula>
    </cfRule>
    <cfRule type="expression" dxfId="0" priority="3826">
      <formula>IF(VLOOKUP($CN$3,requiredAttributePTDMap,MATCH($A4,attributeMapFeedProductType,0)+1,FALSE)&gt;0,1,0)</formula>
    </cfRule>
    <cfRule type="expression" dxfId="1" priority="3827">
      <formula>IF(VLOOKUP($CN$3,optionalAttributePTDMap,MATCH($A4,attributeMapFeedProductType,0)+1,FALSE)&gt;0,1,0)</formula>
    </cfRule>
    <cfRule type="expression" dxfId="2" priority="3828">
      <formula>IF(VLOOKUP($CN$3,preferredAttributePTDMap,MATCH($A4,attributeMapFeedProductType,0)+1,FALSE)&gt;0,1,0)</formula>
    </cfRule>
    <cfRule type="expression" dxfId="3" priority="382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 priority="3830">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31">
      <formula>IF(LEN(CO4)&gt;0,1,0)</formula>
    </cfRule>
    <cfRule type="expression" dxfId="0" priority="3832">
      <formula>IF(VLOOKUP($CO$3,requiredAttributePTDMap,MATCH($A4,attributeMapFeedProductType,0)+1,FALSE)&gt;0,1,0)</formula>
    </cfRule>
    <cfRule type="expression" dxfId="1" priority="3833">
      <formula>IF(VLOOKUP($CO$3,optionalAttributePTDMap,MATCH($A4,attributeMapFeedProductType,0)+1,FALSE)&gt;0,1,0)</formula>
    </cfRule>
    <cfRule type="expression" dxfId="2" priority="3834">
      <formula>IF(VLOOKUP($CO$3,preferredAttributePTDMap,MATCH($A4,attributeMapFeedProductType,0)+1,FALSE)&gt;0,1,0)</formula>
    </cfRule>
    <cfRule type="expression" dxfId="3" priority="383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3" priority="3836">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37">
      <formula>IF(LEN(CP4)&gt;0,1,0)</formula>
    </cfRule>
    <cfRule type="expression" dxfId="0" priority="3838">
      <formula>IF(VLOOKUP($CP$3,requiredAttributePTDMap,MATCH($A4,attributeMapFeedProductType,0)+1,FALSE)&gt;0,1,0)</formula>
    </cfRule>
    <cfRule type="expression" dxfId="1" priority="3839">
      <formula>IF(VLOOKUP($CP$3,optionalAttributePTDMap,MATCH($A4,attributeMapFeedProductType,0)+1,FALSE)&gt;0,1,0)</formula>
    </cfRule>
    <cfRule type="expression" dxfId="2" priority="3840">
      <formula>IF(VLOOKUP($CP$3,preferredAttributePTDMap,MATCH($A4,attributeMapFeedProductType,0)+1,FALSE)&gt;0,1,0)</formula>
    </cfRule>
    <cfRule type="expression" dxfId="3" priority="384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3" priority="3842">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43">
      <formula>IF(LEN(CQ4)&gt;0,1,0)</formula>
    </cfRule>
    <cfRule type="expression" dxfId="0" priority="3844">
      <formula>IF(VLOOKUP($CQ$3,requiredAttributePTDMap,MATCH($A4,attributeMapFeedProductType,0)+1,FALSE)&gt;0,1,0)</formula>
    </cfRule>
    <cfRule type="expression" dxfId="1" priority="3845">
      <formula>IF(VLOOKUP($CQ$3,optionalAttributePTDMap,MATCH($A4,attributeMapFeedProductType,0)+1,FALSE)&gt;0,1,0)</formula>
    </cfRule>
    <cfRule type="expression" dxfId="2" priority="3846">
      <formula>IF(VLOOKUP($CQ$3,preferredAttributePTDMap,MATCH($A4,attributeMapFeedProductType,0)+1,FALSE)&gt;0,1,0)</formula>
    </cfRule>
    <cfRule type="expression" dxfId="3" priority="3847">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3" priority="3848">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49">
      <formula>IF(LEN(CR4)&gt;0,1,0)</formula>
    </cfRule>
    <cfRule type="expression" dxfId="0" priority="3850">
      <formula>IF(VLOOKUP($CR$3,requiredAttributePTDMap,MATCH($A4,attributeMapFeedProductType,0)+1,FALSE)&gt;0,1,0)</formula>
    </cfRule>
    <cfRule type="expression" dxfId="1" priority="3851">
      <formula>IF(VLOOKUP($CR$3,optionalAttributePTDMap,MATCH($A4,attributeMapFeedProductType,0)+1,FALSE)&gt;0,1,0)</formula>
    </cfRule>
    <cfRule type="expression" dxfId="2" priority="3852">
      <formula>IF(VLOOKUP($CR$3,preferredAttributePTDMap,MATCH($A4,attributeMapFeedProductType,0)+1,FALSE)&gt;0,1,0)</formula>
    </cfRule>
    <cfRule type="expression" dxfId="3" priority="3853">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3" priority="3854">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55">
      <formula>IF(LEN(CS4)&gt;0,1,0)</formula>
    </cfRule>
    <cfRule type="expression" dxfId="0" priority="3856">
      <formula>IF(VLOOKUP($CS$3,requiredAttributePTDMap,MATCH($A4,attributeMapFeedProductType,0)+1,FALSE)&gt;0,1,0)</formula>
    </cfRule>
    <cfRule type="expression" dxfId="1" priority="3857">
      <formula>IF(VLOOKUP($CS$3,optionalAttributePTDMap,MATCH($A4,attributeMapFeedProductType,0)+1,FALSE)&gt;0,1,0)</formula>
    </cfRule>
    <cfRule type="expression" dxfId="2" priority="3858">
      <formula>IF(VLOOKUP($CS$3,preferredAttributePTDMap,MATCH($A4,attributeMapFeedProductType,0)+1,FALSE)&gt;0,1,0)</formula>
    </cfRule>
    <cfRule type="expression" dxfId="3" priority="3859">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3" priority="3860">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61">
      <formula>IF(LEN(CT4)&gt;0,1,0)</formula>
    </cfRule>
    <cfRule type="expression" dxfId="0" priority="3862">
      <formula>IF(VLOOKUP($CT$3,requiredAttributePTDMap,MATCH($A4,attributeMapFeedProductType,0)+1,FALSE)&gt;0,1,0)</formula>
    </cfRule>
    <cfRule type="expression" dxfId="1" priority="3863">
      <formula>IF(VLOOKUP($CT$3,optionalAttributePTDMap,MATCH($A4,attributeMapFeedProductType,0)+1,FALSE)&gt;0,1,0)</formula>
    </cfRule>
    <cfRule type="expression" dxfId="2" priority="3864">
      <formula>IF(VLOOKUP($CT$3,preferredAttributePTDMap,MATCH($A4,attributeMapFeedProductType,0)+1,FALSE)&gt;0,1,0)</formula>
    </cfRule>
    <cfRule type="expression" dxfId="3" priority="386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3" priority="3866">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67">
      <formula>IF(LEN(CU4)&gt;0,1,0)</formula>
    </cfRule>
    <cfRule type="expression" dxfId="0" priority="3868">
      <formula>IF(VLOOKUP($CU$3,requiredAttributePTDMap,MATCH($A4,attributeMapFeedProductType,0)+1,FALSE)&gt;0,1,0)</formula>
    </cfRule>
    <cfRule type="expression" dxfId="1" priority="3869">
      <formula>IF(VLOOKUP($CU$3,optionalAttributePTDMap,MATCH($A4,attributeMapFeedProductType,0)+1,FALSE)&gt;0,1,0)</formula>
    </cfRule>
    <cfRule type="expression" dxfId="2" priority="3870">
      <formula>IF(VLOOKUP($CU$3,preferredAttributePTDMap,MATCH($A4,attributeMapFeedProductType,0)+1,FALSE)&gt;0,1,0)</formula>
    </cfRule>
    <cfRule type="expression" dxfId="3" priority="387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3" priority="3872">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73">
      <formula>IF(LEN(CV4)&gt;0,1,0)</formula>
    </cfRule>
    <cfRule type="expression" dxfId="0" priority="3874">
      <formula>IF(VLOOKUP($CV$3,requiredAttributePTDMap,MATCH($A4,attributeMapFeedProductType,0)+1,FALSE)&gt;0,1,0)</formula>
    </cfRule>
    <cfRule type="expression" dxfId="1" priority="3875">
      <formula>IF(VLOOKUP($CV$3,optionalAttributePTDMap,MATCH($A4,attributeMapFeedProductType,0)+1,FALSE)&gt;0,1,0)</formula>
    </cfRule>
    <cfRule type="expression" dxfId="2" priority="3876">
      <formula>IF(VLOOKUP($CV$3,preferredAttributePTDMap,MATCH($A4,attributeMapFeedProductType,0)+1,FALSE)&gt;0,1,0)</formula>
    </cfRule>
    <cfRule type="expression" dxfId="3" priority="3877">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3" priority="3878">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79">
      <formula>IF(LEN(CW4)&gt;0,1,0)</formula>
    </cfRule>
    <cfRule type="expression" dxfId="0" priority="3880">
      <formula>IF(VLOOKUP($CW$3,requiredAttributePTDMap,MATCH($A4,attributeMapFeedProductType,0)+1,FALSE)&gt;0,1,0)</formula>
    </cfRule>
    <cfRule type="expression" dxfId="1" priority="3881">
      <formula>IF(VLOOKUP($CW$3,optionalAttributePTDMap,MATCH($A4,attributeMapFeedProductType,0)+1,FALSE)&gt;0,1,0)</formula>
    </cfRule>
    <cfRule type="expression" dxfId="2" priority="3882">
      <formula>IF(VLOOKUP($CW$3,preferredAttributePTDMap,MATCH($A4,attributeMapFeedProductType,0)+1,FALSE)&gt;0,1,0)</formula>
    </cfRule>
    <cfRule type="expression" dxfId="3" priority="388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3" priority="3884">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85">
      <formula>IF(LEN(CX4)&gt;0,1,0)</formula>
    </cfRule>
    <cfRule type="expression" dxfId="0" priority="3886">
      <formula>IF(VLOOKUP($CX$3,requiredAttributePTDMap,MATCH($A4,attributeMapFeedProductType,0)+1,FALSE)&gt;0,1,0)</formula>
    </cfRule>
    <cfRule type="expression" dxfId="1" priority="3887">
      <formula>IF(VLOOKUP($CX$3,optionalAttributePTDMap,MATCH($A4,attributeMapFeedProductType,0)+1,FALSE)&gt;0,1,0)</formula>
    </cfRule>
    <cfRule type="expression" dxfId="2" priority="3888">
      <formula>IF(VLOOKUP($CX$3,preferredAttributePTDMap,MATCH($A4,attributeMapFeedProductType,0)+1,FALSE)&gt;0,1,0)</formula>
    </cfRule>
    <cfRule type="expression" dxfId="3" priority="388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3" priority="3890">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91">
      <formula>IF(LEN(CY4)&gt;0,1,0)</formula>
    </cfRule>
    <cfRule type="expression" dxfId="0" priority="3892">
      <formula>IF(VLOOKUP($CY$3,requiredAttributePTDMap,MATCH($A4,attributeMapFeedProductType,0)+1,FALSE)&gt;0,1,0)</formula>
    </cfRule>
    <cfRule type="expression" dxfId="1" priority="3893">
      <formula>IF(VLOOKUP($CY$3,optionalAttributePTDMap,MATCH($A4,attributeMapFeedProductType,0)+1,FALSE)&gt;0,1,0)</formula>
    </cfRule>
    <cfRule type="expression" dxfId="2" priority="3894">
      <formula>IF(VLOOKUP($CY$3,preferredAttributePTDMap,MATCH($A4,attributeMapFeedProductType,0)+1,FALSE)&gt;0,1,0)</formula>
    </cfRule>
    <cfRule type="expression" dxfId="3" priority="389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3" priority="3896">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897">
      <formula>IF(LEN(CZ4)&gt;0,1,0)</formula>
    </cfRule>
    <cfRule type="expression" dxfId="0" priority="3898">
      <formula>IF(VLOOKUP($CZ$3,requiredAttributePTDMap,MATCH($A4,attributeMapFeedProductType,0)+1,FALSE)&gt;0,1,0)</formula>
    </cfRule>
    <cfRule type="expression" dxfId="1" priority="3899">
      <formula>IF(VLOOKUP($CZ$3,optionalAttributePTDMap,MATCH($A4,attributeMapFeedProductType,0)+1,FALSE)&gt;0,1,0)</formula>
    </cfRule>
    <cfRule type="expression" dxfId="2" priority="3900">
      <formula>IF(VLOOKUP($CZ$3,preferredAttributePTDMap,MATCH($A4,attributeMapFeedProductType,0)+1,FALSE)&gt;0,1,0)</formula>
    </cfRule>
    <cfRule type="expression" dxfId="3" priority="390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3" priority="3902">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903">
      <formula>IF(LEN(DA4)&gt;0,1,0)</formula>
    </cfRule>
    <cfRule type="expression" dxfId="0" priority="3904">
      <formula>IF(VLOOKUP($DA$3,requiredAttributePTDMap,MATCH($A4,attributeMapFeedProductType,0)+1,FALSE)&gt;0,1,0)</formula>
    </cfRule>
    <cfRule type="expression" dxfId="1" priority="3905">
      <formula>IF(VLOOKUP($DA$3,optionalAttributePTDMap,MATCH($A4,attributeMapFeedProductType,0)+1,FALSE)&gt;0,1,0)</formula>
    </cfRule>
    <cfRule type="expression" dxfId="2" priority="3906">
      <formula>IF(VLOOKUP($DA$3,preferredAttributePTDMap,MATCH($A4,attributeMapFeedProductType,0)+1,FALSE)&gt;0,1,0)</formula>
    </cfRule>
    <cfRule type="expression" dxfId="3" priority="390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3" priority="3908">
      <formula>AND(AND(OR(AND(AND(OR(NOT(CM4="lithium"),CM4=""),OR(NOT(CM4="Lithium-air"),CM4=""),OR(NOT(CM4="Lithium-cobalt"),CM4=""),OR(NOT(CM4="Lithium-ion"),CM4=""),OR(NOT(CM4="lithium_manganese_dioxide"),CM4=""),OR(NOT(CM4="lithium_metal"),CM4=""),OR(NOT(CM4="Lithium-nickel cobalt aluminium (NCA)"),CM4=""),OR(NOT(CM4="Lithium-nickel manganèse cobalt (NMC)"),CM4=""),OR(NOT(CM4="Lithium-phosphate"),CM4=""),OR(NOT(CM4="Lithium-polymère"),CM4=""),OR(NOT(CM4="Lithium-chlorure de thionyle (Li-SOCL2)"),CM4=""),OR(NOT(CM4="Lithium-titanate"),CM4="")))),A4&lt;&gt;""))</formula>
    </cfRule>
    <cfRule type="expression" dxfId="4" priority="3909">
      <formula>IF(LEN(DB4)&gt;0,1,0)</formula>
    </cfRule>
    <cfRule type="expression" dxfId="0" priority="3910">
      <formula>IF(VLOOKUP($DB$3,requiredAttributePTDMap,MATCH($A4,attributeMapFeedProductType,0)+1,FALSE)&gt;0,1,0)</formula>
    </cfRule>
    <cfRule type="expression" dxfId="1" priority="3911">
      <formula>IF(VLOOKUP($DB$3,optionalAttributePTDMap,MATCH($A4,attributeMapFeedProductType,0)+1,FALSE)&gt;0,1,0)</formula>
    </cfRule>
    <cfRule type="expression" dxfId="2" priority="3912">
      <formula>IF(VLOOKUP($DB$3,preferredAttributePTDMap,MATCH($A4,attributeMapFeedProductType,0)+1,FALSE)&gt;0,1,0)</formula>
    </cfRule>
    <cfRule type="expression" dxfId="3" priority="391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3" priority="3914">
      <formula>AND(AND(OR(AND(OR(OR(NOT(BY4&lt;&gt;"DEFAULT"),BY4="")))),A4&lt;&gt;""))</formula>
    </cfRule>
    <cfRule type="expression" dxfId="4" priority="3915">
      <formula>IF(LEN(DC4)&gt;0,1,0)</formula>
    </cfRule>
    <cfRule type="expression" dxfId="0" priority="3916">
      <formula>IF(VLOOKUP($DC$3,requiredAttributePTDMap,MATCH($A4,attributeMapFeedProductType,0)+1,FALSE)&gt;0,1,0)</formula>
    </cfRule>
    <cfRule type="expression" dxfId="1" priority="3917">
      <formula>IF(VLOOKUP($DC$3,optionalAttributePTDMap,MATCH($A4,attributeMapFeedProductType,0)+1,FALSE)&gt;0,1,0)</formula>
    </cfRule>
    <cfRule type="expression" dxfId="2" priority="3918">
      <formula>IF(VLOOKUP($DC$3,preferredAttributePTDMap,MATCH($A4,attributeMapFeedProductType,0)+1,FALSE)&gt;0,1,0)</formula>
    </cfRule>
    <cfRule type="expression" dxfId="3" priority="391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3" priority="3920">
      <formula>AND(AND(OR(AND(OR(OR(NOT(BY4&lt;&gt;"DEFAULT"),BY4="")))),A4&lt;&gt;""))</formula>
    </cfRule>
    <cfRule type="expression" dxfId="4" priority="3921">
      <formula>IF(LEN(DD4)&gt;0,1,0)</formula>
    </cfRule>
    <cfRule type="expression" dxfId="0" priority="3922">
      <formula>IF(VLOOKUP($DD$3,requiredAttributePTDMap,MATCH($A4,attributeMapFeedProductType,0)+1,FALSE)&gt;0,1,0)</formula>
    </cfRule>
    <cfRule type="expression" dxfId="1" priority="3923">
      <formula>IF(VLOOKUP($DD$3,optionalAttributePTDMap,MATCH($A4,attributeMapFeedProductType,0)+1,FALSE)&gt;0,1,0)</formula>
    </cfRule>
    <cfRule type="expression" dxfId="2" priority="3924">
      <formula>IF(VLOOKUP($DD$3,preferredAttributePTDMap,MATCH($A4,attributeMapFeedProductType,0)+1,FALSE)&gt;0,1,0)</formula>
    </cfRule>
    <cfRule type="expression" dxfId="3" priority="392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3" priority="3926">
      <formula>AND(AND(OR(AND(OR(OR(NOT(BY4&lt;&gt;"DEFAULT"),BY4="")))),A4&lt;&gt;""))</formula>
    </cfRule>
    <cfRule type="expression" dxfId="4" priority="3927">
      <formula>IF(LEN(DE4)&gt;0,1,0)</formula>
    </cfRule>
    <cfRule type="expression" dxfId="0" priority="3928">
      <formula>IF(VLOOKUP($DE$3,requiredAttributePTDMap,MATCH($A4,attributeMapFeedProductType,0)+1,FALSE)&gt;0,1,0)</formula>
    </cfRule>
    <cfRule type="expression" dxfId="1" priority="3929">
      <formula>IF(VLOOKUP($DE$3,optionalAttributePTDMap,MATCH($A4,attributeMapFeedProductType,0)+1,FALSE)&gt;0,1,0)</formula>
    </cfRule>
    <cfRule type="expression" dxfId="2" priority="3930">
      <formula>IF(VLOOKUP($DE$3,preferredAttributePTDMap,MATCH($A4,attributeMapFeedProductType,0)+1,FALSE)&gt;0,1,0)</formula>
    </cfRule>
    <cfRule type="expression" dxfId="3" priority="393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3" priority="3932">
      <formula>AND(AND(OR(AND(OR(OR(NOT(BY4&lt;&gt;"DEFAULT"),BY4="")))),A4&lt;&gt;""))</formula>
    </cfRule>
    <cfRule type="expression" dxfId="4" priority="3933">
      <formula>IF(LEN(DF4)&gt;0,1,0)</formula>
    </cfRule>
    <cfRule type="expression" dxfId="0" priority="3934">
      <formula>IF(VLOOKUP($DF$3,requiredAttributePTDMap,MATCH($A4,attributeMapFeedProductType,0)+1,FALSE)&gt;0,1,0)</formula>
    </cfRule>
    <cfRule type="expression" dxfId="1" priority="3935">
      <formula>IF(VLOOKUP($DF$3,optionalAttributePTDMap,MATCH($A4,attributeMapFeedProductType,0)+1,FALSE)&gt;0,1,0)</formula>
    </cfRule>
    <cfRule type="expression" dxfId="2" priority="3936">
      <formula>IF(VLOOKUP($DF$3,preferredAttributePTDMap,MATCH($A4,attributeMapFeedProductType,0)+1,FALSE)&gt;0,1,0)</formula>
    </cfRule>
    <cfRule type="expression" dxfId="3" priority="393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3" priority="3938">
      <formula>AND(AND(OR(AND(OR(OR(NOT(BY4&lt;&gt;"DEFAULT"),BY4="")))),A4&lt;&gt;""))</formula>
    </cfRule>
    <cfRule type="expression" dxfId="4" priority="3939">
      <formula>IF(LEN(DG4)&gt;0,1,0)</formula>
    </cfRule>
    <cfRule type="expression" dxfId="0" priority="3940">
      <formula>IF(VLOOKUP($DG$3,requiredAttributePTDMap,MATCH($A4,attributeMapFeedProductType,0)+1,FALSE)&gt;0,1,0)</formula>
    </cfRule>
    <cfRule type="expression" dxfId="1" priority="3941">
      <formula>IF(VLOOKUP($DG$3,optionalAttributePTDMap,MATCH($A4,attributeMapFeedProductType,0)+1,FALSE)&gt;0,1,0)</formula>
    </cfRule>
    <cfRule type="expression" dxfId="2" priority="3942">
      <formula>IF(VLOOKUP($DG$3,preferredAttributePTDMap,MATCH($A4,attributeMapFeedProductType,0)+1,FALSE)&gt;0,1,0)</formula>
    </cfRule>
    <cfRule type="expression" dxfId="3" priority="394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3" priority="3944">
      <formula>AND(AND(OR(AND(AND(OR(NOT(DC4="Transportation"),DC4="")),AND(OR(NOT(DD4="Transportation"),DD4="")),AND(OR(NOT(DE4="Transportation"),DE4="")),AND(OR(NOT(DF4="Transportation"),DF4="")),AND(OR(NOT(DG4="Transportation"),DG4="")))),A4&lt;&gt;""))</formula>
    </cfRule>
    <cfRule type="expression" dxfId="4" priority="3945">
      <formula>IF(LEN(DH4)&gt;0,1,0)</formula>
    </cfRule>
    <cfRule type="expression" dxfId="0" priority="3946">
      <formula>IF(VLOOKUP($DH$3,requiredAttributePTDMap,MATCH($A4,attributeMapFeedProductType,0)+1,FALSE)&gt;0,1,0)</formula>
    </cfRule>
    <cfRule type="expression" dxfId="1" priority="3947">
      <formula>IF(VLOOKUP($DH$3,optionalAttributePTDMap,MATCH($A4,attributeMapFeedProductType,0)+1,FALSE)&gt;0,1,0)</formula>
    </cfRule>
    <cfRule type="expression" dxfId="2" priority="3948">
      <formula>IF(VLOOKUP($DH$3,preferredAttributePTDMap,MATCH($A4,attributeMapFeedProductType,0)+1,FALSE)&gt;0,1,0)</formula>
    </cfRule>
    <cfRule type="expression" dxfId="3" priority="394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3" priority="3950">
      <formula>AND(AND(OR(AND(OR(OR(NOT(DC4&lt;&gt;"GHS"),DC4="")),OR(OR(NOT(DD4&lt;&gt;"GHS"),DD4="")),OR(OR(NOT(DE4&lt;&gt;"GHS"),DE4="")),OR(OR(NOT(DF4&lt;&gt;"GHS"),DF4="")),OR(OR(NOT(DG4&lt;&gt;"GHS"),DG4="")))),A4&lt;&gt;""))</formula>
    </cfRule>
    <cfRule type="expression" dxfId="4" priority="3951">
      <formula>IF(LEN(DI4)&gt;0,1,0)</formula>
    </cfRule>
    <cfRule type="expression" dxfId="0" priority="3952">
      <formula>IF(VLOOKUP($DI$3,requiredAttributePTDMap,MATCH($A4,attributeMapFeedProductType,0)+1,FALSE)&gt;0,1,0)</formula>
    </cfRule>
    <cfRule type="expression" dxfId="1" priority="3953">
      <formula>IF(VLOOKUP($DI$3,optionalAttributePTDMap,MATCH($A4,attributeMapFeedProductType,0)+1,FALSE)&gt;0,1,0)</formula>
    </cfRule>
    <cfRule type="expression" dxfId="2" priority="3954">
      <formula>IF(VLOOKUP($DI$3,preferredAttributePTDMap,MATCH($A4,attributeMapFeedProductType,0)+1,FALSE)&gt;0,1,0)</formula>
    </cfRule>
    <cfRule type="expression" dxfId="3" priority="395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3" priority="3956">
      <formula>AND(AND(OR(AND(OR(OR(NOT(DC4&lt;&gt;"not_applicable"),DC4="")),OR(OR(NOT(DD4&lt;&gt;"not_applicable"),DD4="")),OR(OR(NOT(DE4&lt;&gt;"not_applicable"),DE4="")),OR(OR(NOT(DF4&lt;&gt;"not_applicable"),DF4="")),OR(OR(NOT(DG4&lt;&gt;"not_applicable"),DG4="")))),A4&lt;&gt;""))</formula>
    </cfRule>
    <cfRule type="expression" dxfId="4" priority="3957">
      <formula>IF(LEN(DJ4)&gt;0,1,0)</formula>
    </cfRule>
    <cfRule type="expression" dxfId="0" priority="3958">
      <formula>IF(VLOOKUP($DJ$3,requiredAttributePTDMap,MATCH($A4,attributeMapFeedProductType,0)+1,FALSE)&gt;0,1,0)</formula>
    </cfRule>
    <cfRule type="expression" dxfId="1" priority="3959">
      <formula>IF(VLOOKUP($DJ$3,optionalAttributePTDMap,MATCH($A4,attributeMapFeedProductType,0)+1,FALSE)&gt;0,1,0)</formula>
    </cfRule>
    <cfRule type="expression" dxfId="2" priority="3960">
      <formula>IF(VLOOKUP($DJ$3,preferredAttributePTDMap,MATCH($A4,attributeMapFeedProductType,0)+1,FALSE)&gt;0,1,0)</formula>
    </cfRule>
    <cfRule type="expression" dxfId="3" priority="396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3" priority="3962">
      <formula>AND(AND(OR(AND(OR(OR(NOT(DC4&lt;&gt;"not_applicable"),DC4="")),OR(OR(NOT(DD4&lt;&gt;"not_applicable"),DD4="")),OR(OR(NOT(DE4&lt;&gt;"not_applicable"),DE4="")),OR(OR(NOT(DF4&lt;&gt;"not_applicable"),DF4="")),OR(OR(NOT(DG4&lt;&gt;"not_applicable"),DG4="")))),A4&lt;&gt;""))</formula>
    </cfRule>
    <cfRule type="expression" dxfId="4" priority="3963">
      <formula>IF(LEN(DK4)&gt;0,1,0)</formula>
    </cfRule>
    <cfRule type="expression" dxfId="0" priority="3964">
      <formula>IF(VLOOKUP($DK$3,requiredAttributePTDMap,MATCH($A4,attributeMapFeedProductType,0)+1,FALSE)&gt;0,1,0)</formula>
    </cfRule>
    <cfRule type="expression" dxfId="1" priority="3965">
      <formula>IF(VLOOKUP($DK$3,optionalAttributePTDMap,MATCH($A4,attributeMapFeedProductType,0)+1,FALSE)&gt;0,1,0)</formula>
    </cfRule>
    <cfRule type="expression" dxfId="2" priority="3966">
      <formula>IF(VLOOKUP($DK$3,preferredAttributePTDMap,MATCH($A4,attributeMapFeedProductType,0)+1,FALSE)&gt;0,1,0)</formula>
    </cfRule>
    <cfRule type="expression" dxfId="3" priority="396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3" priority="3968">
      <formula>AND(AND(OR(AND(OR(OR(NOT(DC4&lt;&gt;"not_applicable"),DC4="")),OR(OR(NOT(DD4&lt;&gt;"not_applicable"),DD4="")),OR(OR(NOT(DE4&lt;&gt;"not_applicable"),DE4="")),OR(OR(NOT(DF4&lt;&gt;"not_applicable"),DF4="")),OR(OR(NOT(DG4&lt;&gt;"not_applicable"),DG4="")))),A4&lt;&gt;""))</formula>
    </cfRule>
    <cfRule type="expression" dxfId="4" priority="3969">
      <formula>IF(LEN(DL4)&gt;0,1,0)</formula>
    </cfRule>
    <cfRule type="expression" dxfId="0" priority="3970">
      <formula>IF(VLOOKUP($DL$3,requiredAttributePTDMap,MATCH($A4,attributeMapFeedProductType,0)+1,FALSE)&gt;0,1,0)</formula>
    </cfRule>
    <cfRule type="expression" dxfId="1" priority="3971">
      <formula>IF(VLOOKUP($DL$3,optionalAttributePTDMap,MATCH($A4,attributeMapFeedProductType,0)+1,FALSE)&gt;0,1,0)</formula>
    </cfRule>
    <cfRule type="expression" dxfId="2" priority="3972">
      <formula>IF(VLOOKUP($DL$3,preferredAttributePTDMap,MATCH($A4,attributeMapFeedProductType,0)+1,FALSE)&gt;0,1,0)</formula>
    </cfRule>
    <cfRule type="expression" dxfId="3" priority="397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3" priority="3974">
      <formula>AND(AND(OR(AND(OR(OR(NOT(DC4&lt;&gt;"not_applicable"),DC4="")),OR(OR(NOT(DD4&lt;&gt;"not_applicable"),DD4="")),OR(OR(NOT(DE4&lt;&gt;"not_applicable"),DE4="")),OR(OR(NOT(DF4&lt;&gt;"not_applicable"),DF4="")),OR(OR(NOT(DG4&lt;&gt;"not_applicable"),DG4="")))),A4&lt;&gt;""))</formula>
    </cfRule>
    <cfRule type="expression" dxfId="0" priority="3976">
      <formula>IF(VLOOKUP($DM$3,requiredAttributePTDMap,MATCH($A4,attributeMapFeedProductType,0)+1,FALSE)&gt;0,1,0)</formula>
    </cfRule>
    <cfRule type="expression" dxfId="1" priority="3977">
      <formula>IF(VLOOKUP($DM$3,optionalAttributePTDMap,MATCH($A4,attributeMapFeedProductType,0)+1,FALSE)&gt;0,1,0)</formula>
    </cfRule>
    <cfRule type="expression" dxfId="2" priority="3978">
      <formula>IF(VLOOKUP($DM$3,preferredAttributePTDMap,MATCH($A4,attributeMapFeedProductType,0)+1,FALSE)&gt;0,1,0)</formula>
    </cfRule>
    <cfRule type="expression" dxfId="3" priority="3979">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3981">
      <formula>IF(VLOOKUP($DN$3,requiredAttributePTDMap,MATCH($A4,attributeMapFeedProductType,0)+1,FALSE)&gt;0,1,0)</formula>
    </cfRule>
    <cfRule type="expression" dxfId="1" priority="3982">
      <formula>IF(VLOOKUP($DN$3,optionalAttributePTDMap,MATCH($A4,attributeMapFeedProductType,0)+1,FALSE)&gt;0,1,0)</formula>
    </cfRule>
    <cfRule type="expression" dxfId="2" priority="3983">
      <formula>IF(VLOOKUP($DN$3,preferredAttributePTDMap,MATCH($A4,attributeMapFeedProductType,0)+1,FALSE)&gt;0,1,0)</formula>
    </cfRule>
    <cfRule type="expression" dxfId="3" priority="398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3" priority="3985">
      <formula>AND(AND(OR(AND(AND(OR(NOT(DC4="GHS"),DC4="")),AND(OR(NOT(DD4="GHS"),DD4="")),AND(OR(NOT(DE4="GHS"),DE4="")),AND(OR(NOT(DF4="GHS"),DF4="")),AND(OR(NOT(DG4="GHS"),DG4="")))),A4&lt;&gt;""))</formula>
    </cfRule>
    <cfRule type="expression" dxfId="4" priority="3986">
      <formula>IF(LEN(DO4)&gt;0,1,0)</formula>
    </cfRule>
    <cfRule type="expression" dxfId="0" priority="3987">
      <formula>IF(VLOOKUP($DO$3,requiredAttributePTDMap,MATCH($A4,attributeMapFeedProductType,0)+1,FALSE)&gt;0,1,0)</formula>
    </cfRule>
    <cfRule type="expression" dxfId="1" priority="3988">
      <formula>IF(VLOOKUP($DO$3,optionalAttributePTDMap,MATCH($A4,attributeMapFeedProductType,0)+1,FALSE)&gt;0,1,0)</formula>
    </cfRule>
    <cfRule type="expression" dxfId="2" priority="3989">
      <formula>IF(VLOOKUP($DO$3,preferredAttributePTDMap,MATCH($A4,attributeMapFeedProductType,0)+1,FALSE)&gt;0,1,0)</formula>
    </cfRule>
    <cfRule type="expression" dxfId="3" priority="399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3" priority="3991">
      <formula>AND(AND(OR(AND(AND(OR(NOT(DC4="GHS"),DC4="")),AND(OR(NOT(DD4="GHS"),DD4="")),AND(OR(NOT(DE4="GHS"),DE4="")),AND(OR(NOT(DF4="GHS"),DF4="")),AND(OR(NOT(DG4="GHS"),DG4="")))),A4&lt;&gt;""))</formula>
    </cfRule>
    <cfRule type="expression" dxfId="4" priority="3992">
      <formula>IF(LEN(DP4)&gt;0,1,0)</formula>
    </cfRule>
    <cfRule type="expression" dxfId="0" priority="3993">
      <formula>IF(VLOOKUP($DP$3,requiredAttributePTDMap,MATCH($A4,attributeMapFeedProductType,0)+1,FALSE)&gt;0,1,0)</formula>
    </cfRule>
    <cfRule type="expression" dxfId="1" priority="3994">
      <formula>IF(VLOOKUP($DP$3,optionalAttributePTDMap,MATCH($A4,attributeMapFeedProductType,0)+1,FALSE)&gt;0,1,0)</formula>
    </cfRule>
    <cfRule type="expression" dxfId="2" priority="3995">
      <formula>IF(VLOOKUP($DP$3,preferredAttributePTDMap,MATCH($A4,attributeMapFeedProductType,0)+1,FALSE)&gt;0,1,0)</formula>
    </cfRule>
    <cfRule type="expression" dxfId="3" priority="399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3" priority="3997">
      <formula>AND(AND(OR(AND(AND(OR(NOT(DC4="GHS"),DC4="")),AND(OR(NOT(DD4="GHS"),DD4="")),AND(OR(NOT(DE4="GHS"),DE4="")),AND(OR(NOT(DF4="GHS"),DF4="")),AND(OR(NOT(DG4="GHS"),DG4="")))),A4&lt;&gt;""))</formula>
    </cfRule>
    <cfRule type="expression" dxfId="0" priority="3999">
      <formula>IF(VLOOKUP($DQ$3,requiredAttributePTDMap,MATCH($A4,attributeMapFeedProductType,0)+1,FALSE)&gt;0,1,0)</formula>
    </cfRule>
    <cfRule type="expression" dxfId="1" priority="4000">
      <formula>IF(VLOOKUP($DQ$3,optionalAttributePTDMap,MATCH($A4,attributeMapFeedProductType,0)+1,FALSE)&gt;0,1,0)</formula>
    </cfRule>
    <cfRule type="expression" dxfId="2" priority="4001">
      <formula>IF(VLOOKUP($DQ$3,preferredAttributePTDMap,MATCH($A4,attributeMapFeedProductType,0)+1,FALSE)&gt;0,1,0)</formula>
    </cfRule>
    <cfRule type="expression" dxfId="3" priority="4002">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4004">
      <formula>IF(VLOOKUP($DR$3,requiredAttributePTDMap,MATCH($A4,attributeMapFeedProductType,0)+1,FALSE)&gt;0,1,0)</formula>
    </cfRule>
    <cfRule type="expression" dxfId="1" priority="4005">
      <formula>IF(VLOOKUP($DR$3,optionalAttributePTDMap,MATCH($A4,attributeMapFeedProductType,0)+1,FALSE)&gt;0,1,0)</formula>
    </cfRule>
    <cfRule type="expression" dxfId="2" priority="4006">
      <formula>IF(VLOOKUP($DR$3,preferredAttributePTDMap,MATCH($A4,attributeMapFeedProductType,0)+1,FALSE)&gt;0,1,0)</formula>
    </cfRule>
    <cfRule type="expression" dxfId="3" priority="4007">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4009">
      <formula>IF(VLOOKUP($DS$3,requiredAttributePTDMap,MATCH($A4,attributeMapFeedProductType,0)+1,FALSE)&gt;0,1,0)</formula>
    </cfRule>
    <cfRule type="expression" dxfId="1" priority="4010">
      <formula>IF(VLOOKUP($DS$3,optionalAttributePTDMap,MATCH($A4,attributeMapFeedProductType,0)+1,FALSE)&gt;0,1,0)</formula>
    </cfRule>
    <cfRule type="expression" dxfId="2" priority="4011">
      <formula>IF(VLOOKUP($DS$3,preferredAttributePTDMap,MATCH($A4,attributeMapFeedProductType,0)+1,FALSE)&gt;0,1,0)</formula>
    </cfRule>
    <cfRule type="expression" dxfId="3" priority="4012">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4014">
      <formula>IF(VLOOKUP($DT$3,requiredAttributePTDMap,MATCH($A4,attributeMapFeedProductType,0)+1,FALSE)&gt;0,1,0)</formula>
    </cfRule>
    <cfRule type="expression" dxfId="1" priority="4015">
      <formula>IF(VLOOKUP($DT$3,optionalAttributePTDMap,MATCH($A4,attributeMapFeedProductType,0)+1,FALSE)&gt;0,1,0)</formula>
    </cfRule>
    <cfRule type="expression" dxfId="2" priority="4016">
      <formula>IF(VLOOKUP($DT$3,preferredAttributePTDMap,MATCH($A4,attributeMapFeedProductType,0)+1,FALSE)&gt;0,1,0)</formula>
    </cfRule>
    <cfRule type="expression" dxfId="3" priority="4017">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4019">
      <formula>IF(VLOOKUP($DU$3,requiredAttributePTDMap,MATCH($A4,attributeMapFeedProductType,0)+1,FALSE)&gt;0,1,0)</formula>
    </cfRule>
    <cfRule type="expression" dxfId="1" priority="4020">
      <formula>IF(VLOOKUP($DU$3,optionalAttributePTDMap,MATCH($A4,attributeMapFeedProductType,0)+1,FALSE)&gt;0,1,0)</formula>
    </cfRule>
    <cfRule type="expression" dxfId="2" priority="4021">
      <formula>IF(VLOOKUP($DU$3,preferredAttributePTDMap,MATCH($A4,attributeMapFeedProductType,0)+1,FALSE)&gt;0,1,0)</formula>
    </cfRule>
    <cfRule type="expression" dxfId="3" priority="4022">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4024">
      <formula>IF(VLOOKUP($DV$3,requiredAttributePTDMap,MATCH($A4,attributeMapFeedProductType,0)+1,FALSE)&gt;0,1,0)</formula>
    </cfRule>
    <cfRule type="expression" dxfId="1" priority="4025">
      <formula>IF(VLOOKUP($DV$3,optionalAttributePTDMap,MATCH($A4,attributeMapFeedProductType,0)+1,FALSE)&gt;0,1,0)</formula>
    </cfRule>
    <cfRule type="expression" dxfId="2" priority="4026">
      <formula>IF(VLOOKUP($DV$3,preferredAttributePTDMap,MATCH($A4,attributeMapFeedProductType,0)+1,FALSE)&gt;0,1,0)</formula>
    </cfRule>
    <cfRule type="expression" dxfId="3" priority="4027">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4029">
      <formula>IF(VLOOKUP($DW$3,requiredAttributePTDMap,MATCH($A4,attributeMapFeedProductType,0)+1,FALSE)&gt;0,1,0)</formula>
    </cfRule>
    <cfRule type="expression" dxfId="1" priority="4030">
      <formula>IF(VLOOKUP($DW$3,optionalAttributePTDMap,MATCH($A4,attributeMapFeedProductType,0)+1,FALSE)&gt;0,1,0)</formula>
    </cfRule>
    <cfRule type="expression" dxfId="2" priority="4031">
      <formula>IF(VLOOKUP($DW$3,preferredAttributePTDMap,MATCH($A4,attributeMapFeedProductType,0)+1,FALSE)&gt;0,1,0)</formula>
    </cfRule>
    <cfRule type="expression" dxfId="3" priority="4032">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4034">
      <formula>IF(VLOOKUP($DX$3,requiredAttributePTDMap,MATCH($A4,attributeMapFeedProductType,0)+1,FALSE)&gt;0,1,0)</formula>
    </cfRule>
    <cfRule type="expression" dxfId="1" priority="4035">
      <formula>IF(VLOOKUP($DX$3,optionalAttributePTDMap,MATCH($A4,attributeMapFeedProductType,0)+1,FALSE)&gt;0,1,0)</formula>
    </cfRule>
    <cfRule type="expression" dxfId="2" priority="4036">
      <formula>IF(VLOOKUP($DX$3,preferredAttributePTDMap,MATCH($A4,attributeMapFeedProductType,0)+1,FALSE)&gt;0,1,0)</formula>
    </cfRule>
    <cfRule type="expression" dxfId="3" priority="4037">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4039">
      <formula>IF(VLOOKUP($DY$3,requiredAttributePTDMap,MATCH($A4,attributeMapFeedProductType,0)+1,FALSE)&gt;0,1,0)</formula>
    </cfRule>
    <cfRule type="expression" dxfId="1" priority="4040">
      <formula>IF(VLOOKUP($DY$3,optionalAttributePTDMap,MATCH($A4,attributeMapFeedProductType,0)+1,FALSE)&gt;0,1,0)</formula>
    </cfRule>
    <cfRule type="expression" dxfId="2" priority="4041">
      <formula>IF(VLOOKUP($DY$3,preferredAttributePTDMap,MATCH($A4,attributeMapFeedProductType,0)+1,FALSE)&gt;0,1,0)</formula>
    </cfRule>
    <cfRule type="expression" dxfId="3" priority="4042">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4044">
      <formula>IF(VLOOKUP($DZ$3,requiredAttributePTDMap,MATCH($A4,attributeMapFeedProductType,0)+1,FALSE)&gt;0,1,0)</formula>
    </cfRule>
    <cfRule type="expression" dxfId="1" priority="4045">
      <formula>IF(VLOOKUP($DZ$3,optionalAttributePTDMap,MATCH($A4,attributeMapFeedProductType,0)+1,FALSE)&gt;0,1,0)</formula>
    </cfRule>
    <cfRule type="expression" dxfId="2" priority="4046">
      <formula>IF(VLOOKUP($DZ$3,preferredAttributePTDMap,MATCH($A4,attributeMapFeedProductType,0)+1,FALSE)&gt;0,1,0)</formula>
    </cfRule>
    <cfRule type="expression" dxfId="3" priority="404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4049">
      <formula>IF(VLOOKUP($EA$3,requiredAttributePTDMap,MATCH($A4,attributeMapFeedProductType,0)+1,FALSE)&gt;0,1,0)</formula>
    </cfRule>
    <cfRule type="expression" dxfId="1" priority="4050">
      <formula>IF(VLOOKUP($EA$3,optionalAttributePTDMap,MATCH($A4,attributeMapFeedProductType,0)+1,FALSE)&gt;0,1,0)</formula>
    </cfRule>
    <cfRule type="expression" dxfId="2" priority="4051">
      <formula>IF(VLOOKUP($EA$3,preferredAttributePTDMap,MATCH($A4,attributeMapFeedProductType,0)+1,FALSE)&gt;0,1,0)</formula>
    </cfRule>
    <cfRule type="expression" dxfId="3" priority="4052">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4054">
      <formula>IF(VLOOKUP($EB$3,requiredAttributePTDMap,MATCH($A4,attributeMapFeedProductType,0)+1,FALSE)&gt;0,1,0)</formula>
    </cfRule>
    <cfRule type="expression" dxfId="1" priority="4055">
      <formula>IF(VLOOKUP($EB$3,optionalAttributePTDMap,MATCH($A4,attributeMapFeedProductType,0)+1,FALSE)&gt;0,1,0)</formula>
    </cfRule>
    <cfRule type="expression" dxfId="2" priority="4056">
      <formula>IF(VLOOKUP($EB$3,preferredAttributePTDMap,MATCH($A4,attributeMapFeedProductType,0)+1,FALSE)&gt;0,1,0)</formula>
    </cfRule>
    <cfRule type="expression" dxfId="3" priority="4057">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4059">
      <formula>IF(VLOOKUP($EC$3,requiredAttributePTDMap,MATCH($A4,attributeMapFeedProductType,0)+1,FALSE)&gt;0,1,0)</formula>
    </cfRule>
    <cfRule type="expression" dxfId="1" priority="4060">
      <formula>IF(VLOOKUP($EC$3,optionalAttributePTDMap,MATCH($A4,attributeMapFeedProductType,0)+1,FALSE)&gt;0,1,0)</formula>
    </cfRule>
    <cfRule type="expression" dxfId="2" priority="4061">
      <formula>IF(VLOOKUP($EC$3,preferredAttributePTDMap,MATCH($A4,attributeMapFeedProductType,0)+1,FALSE)&gt;0,1,0)</formula>
    </cfRule>
    <cfRule type="expression" dxfId="3" priority="4062">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4064">
      <formula>IF(VLOOKUP($ED$3,requiredAttributePTDMap,MATCH($A4,attributeMapFeedProductType,0)+1,FALSE)&gt;0,1,0)</formula>
    </cfRule>
    <cfRule type="expression" dxfId="1" priority="4065">
      <formula>IF(VLOOKUP($ED$3,optionalAttributePTDMap,MATCH($A4,attributeMapFeedProductType,0)+1,FALSE)&gt;0,1,0)</formula>
    </cfRule>
    <cfRule type="expression" dxfId="2" priority="4066">
      <formula>IF(VLOOKUP($ED$3,preferredAttributePTDMap,MATCH($A4,attributeMapFeedProductType,0)+1,FALSE)&gt;0,1,0)</formula>
    </cfRule>
    <cfRule type="expression" dxfId="3" priority="4067">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4069">
      <formula>IF(VLOOKUP($EE$3,requiredAttributePTDMap,MATCH($A4,attributeMapFeedProductType,0)+1,FALSE)&gt;0,1,0)</formula>
    </cfRule>
    <cfRule type="expression" dxfId="1" priority="4070">
      <formula>IF(VLOOKUP($EE$3,optionalAttributePTDMap,MATCH($A4,attributeMapFeedProductType,0)+1,FALSE)&gt;0,1,0)</formula>
    </cfRule>
    <cfRule type="expression" dxfId="2" priority="4071">
      <formula>IF(VLOOKUP($EE$3,preferredAttributePTDMap,MATCH($A4,attributeMapFeedProductType,0)+1,FALSE)&gt;0,1,0)</formula>
    </cfRule>
    <cfRule type="expression" dxfId="3" priority="4072">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4074">
      <formula>IF(VLOOKUP($EF$3,requiredAttributePTDMap,MATCH($A4,attributeMapFeedProductType,0)+1,FALSE)&gt;0,1,0)</formula>
    </cfRule>
    <cfRule type="expression" dxfId="1" priority="4075">
      <formula>IF(VLOOKUP($EF$3,optionalAttributePTDMap,MATCH($A4,attributeMapFeedProductType,0)+1,FALSE)&gt;0,1,0)</formula>
    </cfRule>
    <cfRule type="expression" dxfId="2" priority="4076">
      <formula>IF(VLOOKUP($EF$3,preferredAttributePTDMap,MATCH($A4,attributeMapFeedProductType,0)+1,FALSE)&gt;0,1,0)</formula>
    </cfRule>
    <cfRule type="expression" dxfId="3" priority="4077">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4079">
      <formula>IF(VLOOKUP($EG$3,requiredAttributePTDMap,MATCH($A4,attributeMapFeedProductType,0)+1,FALSE)&gt;0,1,0)</formula>
    </cfRule>
    <cfRule type="expression" dxfId="1" priority="4080">
      <formula>IF(VLOOKUP($EG$3,optionalAttributePTDMap,MATCH($A4,attributeMapFeedProductType,0)+1,FALSE)&gt;0,1,0)</formula>
    </cfRule>
    <cfRule type="expression" dxfId="2" priority="4081">
      <formula>IF(VLOOKUP($EG$3,preferredAttributePTDMap,MATCH($A4,attributeMapFeedProductType,0)+1,FALSE)&gt;0,1,0)</formula>
    </cfRule>
    <cfRule type="expression" dxfId="3" priority="4082">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4084">
      <formula>IF(VLOOKUP($EH$3,requiredAttributePTDMap,MATCH($A4,attributeMapFeedProductType,0)+1,FALSE)&gt;0,1,0)</formula>
    </cfRule>
    <cfRule type="expression" dxfId="1" priority="4085">
      <formula>IF(VLOOKUP($EH$3,optionalAttributePTDMap,MATCH($A4,attributeMapFeedProductType,0)+1,FALSE)&gt;0,1,0)</formula>
    </cfRule>
    <cfRule type="expression" dxfId="2" priority="4086">
      <formula>IF(VLOOKUP($EH$3,preferredAttributePTDMap,MATCH($A4,attributeMapFeedProductType,0)+1,FALSE)&gt;0,1,0)</formula>
    </cfRule>
    <cfRule type="expression" dxfId="3" priority="4087">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4089">
      <formula>IF(VLOOKUP($EI$3,requiredAttributePTDMap,MATCH($A4,attributeMapFeedProductType,0)+1,FALSE)&gt;0,1,0)</formula>
    </cfRule>
    <cfRule type="expression" dxfId="1" priority="4090">
      <formula>IF(VLOOKUP($EI$3,optionalAttributePTDMap,MATCH($A4,attributeMapFeedProductType,0)+1,FALSE)&gt;0,1,0)</formula>
    </cfRule>
    <cfRule type="expression" dxfId="2" priority="4091">
      <formula>IF(VLOOKUP($EI$3,preferredAttributePTDMap,MATCH($A4,attributeMapFeedProductType,0)+1,FALSE)&gt;0,1,0)</formula>
    </cfRule>
    <cfRule type="expression" dxfId="3" priority="4092">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4094">
      <formula>IF(VLOOKUP($EJ$3,requiredAttributePTDMap,MATCH($A4,attributeMapFeedProductType,0)+1,FALSE)&gt;0,1,0)</formula>
    </cfRule>
    <cfRule type="expression" dxfId="1" priority="4095">
      <formula>IF(VLOOKUP($EJ$3,optionalAttributePTDMap,MATCH($A4,attributeMapFeedProductType,0)+1,FALSE)&gt;0,1,0)</formula>
    </cfRule>
    <cfRule type="expression" dxfId="2" priority="4096">
      <formula>IF(VLOOKUP($EJ$3,preferredAttributePTDMap,MATCH($A4,attributeMapFeedProductType,0)+1,FALSE)&gt;0,1,0)</formula>
    </cfRule>
    <cfRule type="expression" dxfId="3" priority="4097">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4099">
      <formula>IF(VLOOKUP($EK$3,requiredAttributePTDMap,MATCH($A4,attributeMapFeedProductType,0)+1,FALSE)&gt;0,1,0)</formula>
    </cfRule>
    <cfRule type="expression" dxfId="1" priority="4100">
      <formula>IF(VLOOKUP($EK$3,optionalAttributePTDMap,MATCH($A4,attributeMapFeedProductType,0)+1,FALSE)&gt;0,1,0)</formula>
    </cfRule>
    <cfRule type="expression" dxfId="2" priority="4101">
      <formula>IF(VLOOKUP($EK$3,preferredAttributePTDMap,MATCH($A4,attributeMapFeedProductType,0)+1,FALSE)&gt;0,1,0)</formula>
    </cfRule>
    <cfRule type="expression" dxfId="3" priority="4102">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4104">
      <formula>IF(VLOOKUP($EL$3,requiredAttributePTDMap,MATCH($A4,attributeMapFeedProductType,0)+1,FALSE)&gt;0,1,0)</formula>
    </cfRule>
    <cfRule type="expression" dxfId="1" priority="4105">
      <formula>IF(VLOOKUP($EL$3,optionalAttributePTDMap,MATCH($A4,attributeMapFeedProductType,0)+1,FALSE)&gt;0,1,0)</formula>
    </cfRule>
    <cfRule type="expression" dxfId="2" priority="4106">
      <formula>IF(VLOOKUP($EL$3,preferredAttributePTDMap,MATCH($A4,attributeMapFeedProductType,0)+1,FALSE)&gt;0,1,0)</formula>
    </cfRule>
    <cfRule type="expression" dxfId="3" priority="4107">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4109">
      <formula>IF(VLOOKUP($EM$3,requiredAttributePTDMap,MATCH($A4,attributeMapFeedProductType,0)+1,FALSE)&gt;0,1,0)</formula>
    </cfRule>
    <cfRule type="expression" dxfId="1" priority="4110">
      <formula>IF(VLOOKUP($EM$3,optionalAttributePTDMap,MATCH($A4,attributeMapFeedProductType,0)+1,FALSE)&gt;0,1,0)</formula>
    </cfRule>
    <cfRule type="expression" dxfId="2" priority="4111">
      <formula>IF(VLOOKUP($EM$3,preferredAttributePTDMap,MATCH($A4,attributeMapFeedProductType,0)+1,FALSE)&gt;0,1,0)</formula>
    </cfRule>
    <cfRule type="expression" dxfId="3" priority="4112">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4114">
      <formula>IF(VLOOKUP($EN$3,requiredAttributePTDMap,MATCH($A4,attributeMapFeedProductType,0)+1,FALSE)&gt;0,1,0)</formula>
    </cfRule>
    <cfRule type="expression" dxfId="1" priority="4115">
      <formula>IF(VLOOKUP($EN$3,optionalAttributePTDMap,MATCH($A4,attributeMapFeedProductType,0)+1,FALSE)&gt;0,1,0)</formula>
    </cfRule>
    <cfRule type="expression" dxfId="2" priority="4116">
      <formula>IF(VLOOKUP($EN$3,preferredAttributePTDMap,MATCH($A4,attributeMapFeedProductType,0)+1,FALSE)&gt;0,1,0)</formula>
    </cfRule>
    <cfRule type="expression" dxfId="3" priority="4117">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4119">
      <formula>IF(VLOOKUP($EO$3,requiredAttributePTDMap,MATCH($A4,attributeMapFeedProductType,0)+1,FALSE)&gt;0,1,0)</formula>
    </cfRule>
    <cfRule type="expression" dxfId="1" priority="4120">
      <formula>IF(VLOOKUP($EO$3,optionalAttributePTDMap,MATCH($A4,attributeMapFeedProductType,0)+1,FALSE)&gt;0,1,0)</formula>
    </cfRule>
    <cfRule type="expression" dxfId="2" priority="4121">
      <formula>IF(VLOOKUP($EO$3,preferredAttributePTDMap,MATCH($A4,attributeMapFeedProductType,0)+1,FALSE)&gt;0,1,0)</formula>
    </cfRule>
    <cfRule type="expression" dxfId="3" priority="4122">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4124">
      <formula>IF(VLOOKUP($EP$3,requiredAttributePTDMap,MATCH($A4,attributeMapFeedProductType,0)+1,FALSE)&gt;0,1,0)</formula>
    </cfRule>
    <cfRule type="expression" dxfId="1" priority="4125">
      <formula>IF(VLOOKUP($EP$3,optionalAttributePTDMap,MATCH($A4,attributeMapFeedProductType,0)+1,FALSE)&gt;0,1,0)</formula>
    </cfRule>
    <cfRule type="expression" dxfId="2" priority="4126">
      <formula>IF(VLOOKUP($EP$3,preferredAttributePTDMap,MATCH($A4,attributeMapFeedProductType,0)+1,FALSE)&gt;0,1,0)</formula>
    </cfRule>
    <cfRule type="expression" dxfId="3" priority="4127">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4129">
      <formula>IF(VLOOKUP($EQ$3,requiredAttributePTDMap,MATCH($A4,attributeMapFeedProductType,0)+1,FALSE)&gt;0,1,0)</formula>
    </cfRule>
    <cfRule type="expression" dxfId="1" priority="4130">
      <formula>IF(VLOOKUP($EQ$3,optionalAttributePTDMap,MATCH($A4,attributeMapFeedProductType,0)+1,FALSE)&gt;0,1,0)</formula>
    </cfRule>
    <cfRule type="expression" dxfId="2" priority="4131">
      <formula>IF(VLOOKUP($EQ$3,preferredAttributePTDMap,MATCH($A4,attributeMapFeedProductType,0)+1,FALSE)&gt;0,1,0)</formula>
    </cfRule>
    <cfRule type="expression" dxfId="3" priority="4132">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4134">
      <formula>IF(VLOOKUP($ER$3,requiredAttributePTDMap,MATCH($A4,attributeMapFeedProductType,0)+1,FALSE)&gt;0,1,0)</formula>
    </cfRule>
    <cfRule type="expression" dxfId="1" priority="4135">
      <formula>IF(VLOOKUP($ER$3,optionalAttributePTDMap,MATCH($A4,attributeMapFeedProductType,0)+1,FALSE)&gt;0,1,0)</formula>
    </cfRule>
    <cfRule type="expression" dxfId="2" priority="4136">
      <formula>IF(VLOOKUP($ER$3,preferredAttributePTDMap,MATCH($A4,attributeMapFeedProductType,0)+1,FALSE)&gt;0,1,0)</formula>
    </cfRule>
    <cfRule type="expression" dxfId="3" priority="4137">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4139">
      <formula>IF(VLOOKUP($ES$3,requiredAttributePTDMap,MATCH($A4,attributeMapFeedProductType,0)+1,FALSE)&gt;0,1,0)</formula>
    </cfRule>
    <cfRule type="expression" dxfId="1" priority="4140">
      <formula>IF(VLOOKUP($ES$3,optionalAttributePTDMap,MATCH($A4,attributeMapFeedProductType,0)+1,FALSE)&gt;0,1,0)</formula>
    </cfRule>
    <cfRule type="expression" dxfId="2" priority="4141">
      <formula>IF(VLOOKUP($ES$3,preferredAttributePTDMap,MATCH($A4,attributeMapFeedProductType,0)+1,FALSE)&gt;0,1,0)</formula>
    </cfRule>
    <cfRule type="expression" dxfId="3" priority="4142">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4144">
      <formula>IF(VLOOKUP($ET$3,requiredAttributePTDMap,MATCH($A4,attributeMapFeedProductType,0)+1,FALSE)&gt;0,1,0)</formula>
    </cfRule>
    <cfRule type="expression" dxfId="1" priority="4145">
      <formula>IF(VLOOKUP($ET$3,optionalAttributePTDMap,MATCH($A4,attributeMapFeedProductType,0)+1,FALSE)&gt;0,1,0)</formula>
    </cfRule>
    <cfRule type="expression" dxfId="2" priority="4146">
      <formula>IF(VLOOKUP($ET$3,preferredAttributePTDMap,MATCH($A4,attributeMapFeedProductType,0)+1,FALSE)&gt;0,1,0)</formula>
    </cfRule>
    <cfRule type="expression" dxfId="3" priority="4147">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4149">
      <formula>IF(VLOOKUP($EU$3,requiredAttributePTDMap,MATCH($A4,attributeMapFeedProductType,0)+1,FALSE)&gt;0,1,0)</formula>
    </cfRule>
    <cfRule type="expression" dxfId="1" priority="4150">
      <formula>IF(VLOOKUP($EU$3,optionalAttributePTDMap,MATCH($A4,attributeMapFeedProductType,0)+1,FALSE)&gt;0,1,0)</formula>
    </cfRule>
    <cfRule type="expression" dxfId="2" priority="4151">
      <formula>IF(VLOOKUP($EU$3,preferredAttributePTDMap,MATCH($A4,attributeMapFeedProductType,0)+1,FALSE)&gt;0,1,0)</formula>
    </cfRule>
    <cfRule type="expression" dxfId="3" priority="4152">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4154">
      <formula>IF(VLOOKUP($EV$3,requiredAttributePTDMap,MATCH($A4,attributeMapFeedProductType,0)+1,FALSE)&gt;0,1,0)</formula>
    </cfRule>
    <cfRule type="expression" dxfId="1" priority="4155">
      <formula>IF(VLOOKUP($EV$3,optionalAttributePTDMap,MATCH($A4,attributeMapFeedProductType,0)+1,FALSE)&gt;0,1,0)</formula>
    </cfRule>
    <cfRule type="expression" dxfId="2" priority="4156">
      <formula>IF(VLOOKUP($EV$3,preferredAttributePTDMap,MATCH($A4,attributeMapFeedProductType,0)+1,FALSE)&gt;0,1,0)</formula>
    </cfRule>
    <cfRule type="expression" dxfId="3" priority="4157">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4159">
      <formula>IF(VLOOKUP($EW$3,requiredAttributePTDMap,MATCH($A4,attributeMapFeedProductType,0)+1,FALSE)&gt;0,1,0)</formula>
    </cfRule>
    <cfRule type="expression" dxfId="1" priority="4160">
      <formula>IF(VLOOKUP($EW$3,optionalAttributePTDMap,MATCH($A4,attributeMapFeedProductType,0)+1,FALSE)&gt;0,1,0)</formula>
    </cfRule>
    <cfRule type="expression" dxfId="2" priority="4161">
      <formula>IF(VLOOKUP($EW$3,preferredAttributePTDMap,MATCH($A4,attributeMapFeedProductType,0)+1,FALSE)&gt;0,1,0)</formula>
    </cfRule>
    <cfRule type="expression" dxfId="3" priority="4162">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4164">
      <formula>IF(VLOOKUP($EX$3,requiredAttributePTDMap,MATCH($A4,attributeMapFeedProductType,0)+1,FALSE)&gt;0,1,0)</formula>
    </cfRule>
    <cfRule type="expression" dxfId="1" priority="4165">
      <formula>IF(VLOOKUP($EX$3,optionalAttributePTDMap,MATCH($A4,attributeMapFeedProductType,0)+1,FALSE)&gt;0,1,0)</formula>
    </cfRule>
    <cfRule type="expression" dxfId="2" priority="4166">
      <formula>IF(VLOOKUP($EX$3,preferredAttributePTDMap,MATCH($A4,attributeMapFeedProductType,0)+1,FALSE)&gt;0,1,0)</formula>
    </cfRule>
    <cfRule type="expression" dxfId="3" priority="4167">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4169">
      <formula>IF(VLOOKUP($EY$3,requiredAttributePTDMap,MATCH($A4,attributeMapFeedProductType,0)+1,FALSE)&gt;0,1,0)</formula>
    </cfRule>
    <cfRule type="expression" dxfId="1" priority="4170">
      <formula>IF(VLOOKUP($EY$3,optionalAttributePTDMap,MATCH($A4,attributeMapFeedProductType,0)+1,FALSE)&gt;0,1,0)</formula>
    </cfRule>
    <cfRule type="expression" dxfId="2" priority="4171">
      <formula>IF(VLOOKUP($EY$3,preferredAttributePTDMap,MATCH($A4,attributeMapFeedProductType,0)+1,FALSE)&gt;0,1,0)</formula>
    </cfRule>
    <cfRule type="expression" dxfId="3" priority="4172">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4174">
      <formula>IF(VLOOKUP($EZ$3,requiredAttributePTDMap,MATCH($A4,attributeMapFeedProductType,0)+1,FALSE)&gt;0,1,0)</formula>
    </cfRule>
    <cfRule type="expression" dxfId="1" priority="4175">
      <formula>IF(VLOOKUP($EZ$3,optionalAttributePTDMap,MATCH($A4,attributeMapFeedProductType,0)+1,FALSE)&gt;0,1,0)</formula>
    </cfRule>
    <cfRule type="expression" dxfId="2" priority="4176">
      <formula>IF(VLOOKUP($EZ$3,preferredAttributePTDMap,MATCH($A4,attributeMapFeedProductType,0)+1,FALSE)&gt;0,1,0)</formula>
    </cfRule>
    <cfRule type="expression" dxfId="3" priority="4177">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4179">
      <formula>IF(VLOOKUP($FA$3,requiredAttributePTDMap,MATCH($A4,attributeMapFeedProductType,0)+1,FALSE)&gt;0,1,0)</formula>
    </cfRule>
    <cfRule type="expression" dxfId="1" priority="4180">
      <formula>IF(VLOOKUP($FA$3,optionalAttributePTDMap,MATCH($A4,attributeMapFeedProductType,0)+1,FALSE)&gt;0,1,0)</formula>
    </cfRule>
    <cfRule type="expression" dxfId="2" priority="4181">
      <formula>IF(VLOOKUP($FA$3,preferredAttributePTDMap,MATCH($A4,attributeMapFeedProductType,0)+1,FALSE)&gt;0,1,0)</formula>
    </cfRule>
    <cfRule type="expression" dxfId="3" priority="4182">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4184">
      <formula>IF(VLOOKUP($FB$3,requiredAttributePTDMap,MATCH($A4,attributeMapFeedProductType,0)+1,FALSE)&gt;0,1,0)</formula>
    </cfRule>
    <cfRule type="expression" dxfId="1" priority="4185">
      <formula>IF(VLOOKUP($FB$3,optionalAttributePTDMap,MATCH($A4,attributeMapFeedProductType,0)+1,FALSE)&gt;0,1,0)</formula>
    </cfRule>
    <cfRule type="expression" dxfId="2" priority="4186">
      <formula>IF(VLOOKUP($FB$3,preferredAttributePTDMap,MATCH($A4,attributeMapFeedProductType,0)+1,FALSE)&gt;0,1,0)</formula>
    </cfRule>
    <cfRule type="expression" dxfId="3" priority="4187">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4189">
      <formula>IF(VLOOKUP($FC$3,requiredAttributePTDMap,MATCH($A4,attributeMapFeedProductType,0)+1,FALSE)&gt;0,1,0)</formula>
    </cfRule>
    <cfRule type="expression" dxfId="1" priority="4190">
      <formula>IF(VLOOKUP($FC$3,optionalAttributePTDMap,MATCH($A4,attributeMapFeedProductType,0)+1,FALSE)&gt;0,1,0)</formula>
    </cfRule>
    <cfRule type="expression" dxfId="2" priority="4191">
      <formula>IF(VLOOKUP($FC$3,preferredAttributePTDMap,MATCH($A4,attributeMapFeedProductType,0)+1,FALSE)&gt;0,1,0)</formula>
    </cfRule>
    <cfRule type="expression" dxfId="3" priority="4192">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4194">
      <formula>IF(VLOOKUP($FD$3,requiredAttributePTDMap,MATCH($A4,attributeMapFeedProductType,0)+1,FALSE)&gt;0,1,0)</formula>
    </cfRule>
    <cfRule type="expression" dxfId="1" priority="4195">
      <formula>IF(VLOOKUP($FD$3,optionalAttributePTDMap,MATCH($A4,attributeMapFeedProductType,0)+1,FALSE)&gt;0,1,0)</formula>
    </cfRule>
    <cfRule type="expression" dxfId="2" priority="4196">
      <formula>IF(VLOOKUP($FD$3,preferredAttributePTDMap,MATCH($A4,attributeMapFeedProductType,0)+1,FALSE)&gt;0,1,0)</formula>
    </cfRule>
    <cfRule type="expression" dxfId="3" priority="4197">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4199">
      <formula>IF(VLOOKUP($FE$3,requiredAttributePTDMap,MATCH($A4,attributeMapFeedProductType,0)+1,FALSE)&gt;0,1,0)</formula>
    </cfRule>
    <cfRule type="expression" dxfId="1" priority="4200">
      <formula>IF(VLOOKUP($FE$3,optionalAttributePTDMap,MATCH($A4,attributeMapFeedProductType,0)+1,FALSE)&gt;0,1,0)</formula>
    </cfRule>
    <cfRule type="expression" dxfId="2" priority="4201">
      <formula>IF(VLOOKUP($FE$3,preferredAttributePTDMap,MATCH($A4,attributeMapFeedProductType,0)+1,FALSE)&gt;0,1,0)</formula>
    </cfRule>
    <cfRule type="expression" dxfId="3" priority="4202">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4204">
      <formula>IF(VLOOKUP($FF$3,requiredAttributePTDMap,MATCH($A4,attributeMapFeedProductType,0)+1,FALSE)&gt;0,1,0)</formula>
    </cfRule>
    <cfRule type="expression" dxfId="1" priority="4205">
      <formula>IF(VLOOKUP($FF$3,optionalAttributePTDMap,MATCH($A4,attributeMapFeedProductType,0)+1,FALSE)&gt;0,1,0)</formula>
    </cfRule>
    <cfRule type="expression" dxfId="2" priority="4206">
      <formula>IF(VLOOKUP($FF$3,preferredAttributePTDMap,MATCH($A4,attributeMapFeedProductType,0)+1,FALSE)&gt;0,1,0)</formula>
    </cfRule>
    <cfRule type="expression" dxfId="3" priority="4207">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4209">
      <formula>IF(VLOOKUP($FG$3,requiredAttributePTDMap,MATCH($A4,attributeMapFeedProductType,0)+1,FALSE)&gt;0,1,0)</formula>
    </cfRule>
    <cfRule type="expression" dxfId="1" priority="4210">
      <formula>IF(VLOOKUP($FG$3,optionalAttributePTDMap,MATCH($A4,attributeMapFeedProductType,0)+1,FALSE)&gt;0,1,0)</formula>
    </cfRule>
    <cfRule type="expression" dxfId="2" priority="4211">
      <formula>IF(VLOOKUP($FG$3,preferredAttributePTDMap,MATCH($A4,attributeMapFeedProductType,0)+1,FALSE)&gt;0,1,0)</formula>
    </cfRule>
    <cfRule type="expression" dxfId="3" priority="4212">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4214">
      <formula>IF(VLOOKUP($FH$3,requiredAttributePTDMap,MATCH($A4,attributeMapFeedProductType,0)+1,FALSE)&gt;0,1,0)</formula>
    </cfRule>
    <cfRule type="expression" dxfId="1" priority="4215">
      <formula>IF(VLOOKUP($FH$3,optionalAttributePTDMap,MATCH($A4,attributeMapFeedProductType,0)+1,FALSE)&gt;0,1,0)</formula>
    </cfRule>
    <cfRule type="expression" dxfId="2" priority="4216">
      <formula>IF(VLOOKUP($FH$3,preferredAttributePTDMap,MATCH($A4,attributeMapFeedProductType,0)+1,FALSE)&gt;0,1,0)</formula>
    </cfRule>
    <cfRule type="expression" dxfId="3" priority="4217">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4219">
      <formula>IF(VLOOKUP($FI$3,requiredAttributePTDMap,MATCH($A4,attributeMapFeedProductType,0)+1,FALSE)&gt;0,1,0)</formula>
    </cfRule>
    <cfRule type="expression" dxfId="1" priority="4220">
      <formula>IF(VLOOKUP($FI$3,optionalAttributePTDMap,MATCH($A4,attributeMapFeedProductType,0)+1,FALSE)&gt;0,1,0)</formula>
    </cfRule>
    <cfRule type="expression" dxfId="2" priority="4221">
      <formula>IF(VLOOKUP($FI$3,preferredAttributePTDMap,MATCH($A4,attributeMapFeedProductType,0)+1,FALSE)&gt;0,1,0)</formula>
    </cfRule>
    <cfRule type="expression" dxfId="3" priority="4222">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A4:G1048576">
    <cfRule type="expression" dxfId="4" priority="3381">
      <formula>IF(LEN(A4)&gt;0,1,0)</formula>
    </cfRule>
  </conditionalFormatting>
  <conditionalFormatting sqref="B4:B1048576 AF5:AF40 AP5:AP40">
    <cfRule type="expression" dxfId="0" priority="3387">
      <formula>IF(VLOOKUP($B$3,requiredAttributePTDMap,MATCH($A4,attributeMapFeedProductType,0)+1,FALSE)&gt;0,1,0)</formula>
    </cfRule>
    <cfRule type="expression" dxfId="1" priority="3388">
      <formula>IF(VLOOKUP($B$3,optionalAttributePTDMap,MATCH($A4,attributeMapFeedProductType,0)+1,FALSE)&gt;0,1,0)</formula>
    </cfRule>
    <cfRule type="expression" dxfId="2" priority="3389">
      <formula>IF(VLOOKUP($B$3,preferredAttributePTDMap,MATCH($A4,attributeMapFeedProductType,0)+1,FALSE)&gt;0,1,0)</formula>
    </cfRule>
    <cfRule type="expression" dxfId="3" priority="339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H41:H1048576 L4:L40">
    <cfRule type="expression" dxfId="4" priority="3416">
      <formula>IF(LEN(H4)&gt;0,1,0)</formula>
    </cfRule>
    <cfRule type="expression" dxfId="0" priority="3417">
      <formula>IF(VLOOKUP($H$3,requiredAttributePTDMap,MATCH($A4,attributeMapFeedProductType,0)+1,FALSE)&gt;0,1,0)</formula>
    </cfRule>
    <cfRule type="expression" dxfId="1" priority="3418">
      <formula>IF(VLOOKUP($H$3,optionalAttributePTDMap,MATCH($A4,attributeMapFeedProductType,0)+1,FALSE)&gt;0,1,0)</formula>
    </cfRule>
    <cfRule type="expression" dxfId="2" priority="3419">
      <formula>IF(VLOOKUP($H$3,preferredAttributePTDMap,MATCH($A4,attributeMapFeedProductType,0)+1,FALSE)&gt;0,1,0)</formula>
    </cfRule>
    <cfRule type="expression" dxfId="3" priority="342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I1048576 I5:J5 J6:J40">
    <cfRule type="expression" dxfId="0" priority="3422">
      <formula>IF(VLOOKUP($I$3,requiredAttributePTDMap,MATCH($A4,attributeMapFeedProductType,0)+1,FALSE)&gt;0,1,0)</formula>
    </cfRule>
    <cfRule type="expression" dxfId="1" priority="3423">
      <formula>IF(VLOOKUP($I$3,optionalAttributePTDMap,MATCH($A4,attributeMapFeedProductType,0)+1,FALSE)&gt;0,1,0)</formula>
    </cfRule>
    <cfRule type="expression" dxfId="2" priority="3424">
      <formula>IF(VLOOKUP($I$3,preferredAttributePTDMap,MATCH($A4,attributeMapFeedProductType,0)+1,FALSE)&gt;0,1,0)</formula>
    </cfRule>
    <cfRule type="expression" dxfId="3" priority="342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4:J28 I29:I1048576 J29:J40">
    <cfRule type="expression" dxfId="4" priority="3421">
      <formula>IF(LEN(I4)&gt;0,1,0)</formula>
    </cfRule>
  </conditionalFormatting>
  <conditionalFormatting sqref="J4:J15 J17:J26 J28:J1048576">
    <cfRule type="expression" dxfId="0" priority="3427">
      <formula>IF(VLOOKUP($J$3,requiredAttributePTDMap,MATCH($A4,attributeMapFeedProductType,0)+1,FALSE)&gt;0,1,0)</formula>
    </cfRule>
    <cfRule type="expression" dxfId="1" priority="3428">
      <formula>IF(VLOOKUP($J$3,optionalAttributePTDMap,MATCH($A4,attributeMapFeedProductType,0)+1,FALSE)&gt;0,1,0)</formula>
    </cfRule>
    <cfRule type="expression" dxfId="2" priority="3429">
      <formula>IF(VLOOKUP($J$3,preferredAttributePTDMap,MATCH($A4,attributeMapFeedProductType,0)+1,FALSE)&gt;0,1,0)</formula>
    </cfRule>
    <cfRule type="expression" dxfId="3" priority="343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O4:AE1048576">
    <cfRule type="expression" dxfId="4" priority="3451">
      <formula>IF(LEN(O4)&gt;0,1,0)</formula>
    </cfRule>
  </conditionalFormatting>
  <conditionalFormatting sqref="Q4:Q1048576 AU5:AU40">
    <cfRule type="expression" dxfId="0" priority="3462">
      <formula>IF(VLOOKUP($Q$3,requiredAttributePTDMap,MATCH($A4,attributeMapFeedProductType,0)+1,FALSE)&gt;0,1,0)</formula>
    </cfRule>
    <cfRule type="expression" dxfId="1" priority="3463">
      <formula>IF(VLOOKUP($Q$3,optionalAttributePTDMap,MATCH($A4,attributeMapFeedProductType,0)+1,FALSE)&gt;0,1,0)</formula>
    </cfRule>
    <cfRule type="expression" dxfId="2" priority="3464">
      <formula>IF(VLOOKUP($Q$3,preferredAttributePTDMap,MATCH($A4,attributeMapFeedProductType,0)+1,FALSE)&gt;0,1,0)</formula>
    </cfRule>
    <cfRule type="expression" dxfId="3" priority="346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V4 V29:V1048576">
    <cfRule type="expression" dxfId="0" priority="3487">
      <formula>IF(VLOOKUP($V$3,requiredAttributePTDMap,MATCH($A4,attributeMapFeedProductType,0)+1,FALSE)&gt;0,1,0)</formula>
    </cfRule>
    <cfRule type="expression" dxfId="1" priority="3488">
      <formula>IF(VLOOKUP($V$3,optionalAttributePTDMap,MATCH($A4,attributeMapFeedProductType,0)+1,FALSE)&gt;0,1,0)</formula>
    </cfRule>
    <cfRule type="expression" dxfId="2" priority="3489">
      <formula>IF(VLOOKUP($V$3,preferredAttributePTDMap,MATCH($A4,attributeMapFeedProductType,0)+1,FALSE)&gt;0,1,0)</formula>
    </cfRule>
    <cfRule type="expression" dxfId="3" priority="349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0" priority="3492">
      <formula>IF(VLOOKUP($W$3,requiredAttributePTDMap,MATCH($A4,attributeMapFeedProductType,0)+1,FALSE)&gt;0,1,0)</formula>
    </cfRule>
    <cfRule type="expression" dxfId="1" priority="3493">
      <formula>IF(VLOOKUP($W$3,optionalAttributePTDMap,MATCH($A4,attributeMapFeedProductType,0)+1,FALSE)&gt;0,1,0)</formula>
    </cfRule>
    <cfRule type="expression" dxfId="2" priority="3494">
      <formula>IF(VLOOKUP($W$3,preferredAttributePTDMap,MATCH($A4,attributeMapFeedProductType,0)+1,FALSE)&gt;0,1,0)</formula>
    </cfRule>
    <cfRule type="expression" dxfId="3" priority="349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0" priority="3497">
      <formula>IF(VLOOKUP($X$3,requiredAttributePTDMap,MATCH($A4,attributeMapFeedProductType,0)+1,FALSE)&gt;0,1,0)</formula>
    </cfRule>
    <cfRule type="expression" dxfId="1" priority="3498">
      <formula>IF(VLOOKUP($X$3,optionalAttributePTDMap,MATCH($A4,attributeMapFeedProductType,0)+1,FALSE)&gt;0,1,0)</formula>
    </cfRule>
    <cfRule type="expression" dxfId="2" priority="3499">
      <formula>IF(VLOOKUP($X$3,preferredAttributePTDMap,MATCH($A4,attributeMapFeedProductType,0)+1,FALSE)&gt;0,1,0)</formula>
    </cfRule>
    <cfRule type="expression" dxfId="3" priority="350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0" priority="3502">
      <formula>IF(VLOOKUP($Y$3,requiredAttributePTDMap,MATCH($A4,attributeMapFeedProductType,0)+1,FALSE)&gt;0,1,0)</formula>
    </cfRule>
    <cfRule type="expression" dxfId="1" priority="3503">
      <formula>IF(VLOOKUP($Y$3,optionalAttributePTDMap,MATCH($A4,attributeMapFeedProductType,0)+1,FALSE)&gt;0,1,0)</formula>
    </cfRule>
    <cfRule type="expression" dxfId="2" priority="3504">
      <formula>IF(VLOOKUP($Y$3,preferredAttributePTDMap,MATCH($A4,attributeMapFeedProductType,0)+1,FALSE)&gt;0,1,0)</formula>
    </cfRule>
    <cfRule type="expression" dxfId="3" priority="350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Z1048576">
    <cfRule type="expression" dxfId="0" priority="3507">
      <formula>IF(VLOOKUP($Z$3,requiredAttributePTDMap,MATCH($A4,attributeMapFeedProductType,0)+1,FALSE)&gt;0,1,0)</formula>
    </cfRule>
    <cfRule type="expression" dxfId="1" priority="3508">
      <formula>IF(VLOOKUP($Z$3,optionalAttributePTDMap,MATCH($A4,attributeMapFeedProductType,0)+1,FALSE)&gt;0,1,0)</formula>
    </cfRule>
    <cfRule type="expression" dxfId="2" priority="3509">
      <formula>IF(VLOOKUP($Z$3,preferredAttributePTDMap,MATCH($A4,attributeMapFeedProductType,0)+1,FALSE)&gt;0,1,0)</formula>
    </cfRule>
    <cfRule type="expression" dxfId="3" priority="351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AA1048576">
    <cfRule type="expression" dxfId="0" priority="3512">
      <formula>IF(VLOOKUP($AA$3,requiredAttributePTDMap,MATCH($A4,attributeMapFeedProductType,0)+1,FALSE)&gt;0,1,0)</formula>
    </cfRule>
    <cfRule type="expression" dxfId="1" priority="3513">
      <formula>IF(VLOOKUP($AA$3,optionalAttributePTDMap,MATCH($A4,attributeMapFeedProductType,0)+1,FALSE)&gt;0,1,0)</formula>
    </cfRule>
    <cfRule type="expression" dxfId="2" priority="3514">
      <formula>IF(VLOOKUP($AA$3,preferredAttributePTDMap,MATCH($A4,attributeMapFeedProductType,0)+1,FALSE)&gt;0,1,0)</formula>
    </cfRule>
    <cfRule type="expression" dxfId="3" priority="351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F4 AF14:AF15 AF25:AF26 AF41:AF1048576">
    <cfRule type="expression" dxfId="4" priority="3536">
      <formula>IF(LEN(AF4)&gt;0,1,0)</formula>
    </cfRule>
    <cfRule type="expression" dxfId="0" priority="3537">
      <formula>IF(VLOOKUP($AF$3,requiredAttributePTDMap,MATCH($A4,attributeMapFeedProductType,0)+1,FALSE)&gt;0,1,0)</formula>
    </cfRule>
    <cfRule type="expression" dxfId="1" priority="3538">
      <formula>IF(VLOOKUP($AF$3,optionalAttributePTDMap,MATCH($A4,attributeMapFeedProductType,0)+1,FALSE)&gt;0,1,0)</formula>
    </cfRule>
    <cfRule type="expression" dxfId="2" priority="3539">
      <formula>IF(VLOOKUP($AF$3,preferredAttributePTDMap,MATCH($A4,attributeMapFeedProductType,0)+1,FALSE)&gt;0,1,0)</formula>
    </cfRule>
    <cfRule type="expression" dxfId="3" priority="354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I1048576">
    <cfRule type="expression" dxfId="4" priority="3541">
      <formula>IF(LEN(AG4)&gt;0,1,0)</formula>
    </cfRule>
  </conditionalFormatting>
  <conditionalFormatting sqref="AN4:AN1048576 AJ4:AJ40">
    <cfRule type="expression" dxfId="0" priority="3361">
      <formula>IF(VLOOKUP($AN$3,requiredAttributePTDMap,MATCH($A4,attributeMapFeedProductType,0)+1,FALSE)&gt;0,1,0)</formula>
    </cfRule>
    <cfRule type="expression" dxfId="1" priority="3362">
      <formula>IF(VLOOKUP($AN$3,optionalAttributePTDMap,MATCH($A4,attributeMapFeedProductType,0)+1,FALSE)&gt;0,1,0)</formula>
    </cfRule>
    <cfRule type="expression" dxfId="2" priority="3363">
      <formula>IF(VLOOKUP($AN$3,preferredAttributePTDMap,MATCH($A4,attributeMapFeedProductType,0)+1,FALSE)&gt;0,1,0)</formula>
    </cfRule>
    <cfRule type="expression" dxfId="3" priority="336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J4:AO40 AK41:AO1048576">
    <cfRule type="expression" dxfId="4" priority="3360">
      <formula>IF(LEN(AJ4)&gt;0,1,0)</formula>
    </cfRule>
  </conditionalFormatting>
  <conditionalFormatting sqref="AP4 AP41:AP1048576">
    <cfRule type="expression" dxfId="4" priority="3586">
      <formula>IF(LEN(AP4)&gt;0,1,0)</formula>
    </cfRule>
    <cfRule type="expression" dxfId="0" priority="3587">
      <formula>IF(VLOOKUP($AP$3,requiredAttributePTDMap,MATCH($A4,attributeMapFeedProductType,0)+1,FALSE)&gt;0,1,0)</formula>
    </cfRule>
    <cfRule type="expression" dxfId="1" priority="3588">
      <formula>IF(VLOOKUP($AP$3,optionalAttributePTDMap,MATCH($A4,attributeMapFeedProductType,0)+1,FALSE)&gt;0,1,0)</formula>
    </cfRule>
    <cfRule type="expression" dxfId="2" priority="3589">
      <formula>IF(VLOOKUP($AP$3,preferredAttributePTDMap,MATCH($A4,attributeMapFeedProductType,0)+1,FALSE)&gt;0,1,0)</formula>
    </cfRule>
    <cfRule type="expression" dxfId="3" priority="359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CJ1048576">
    <cfRule type="expression" dxfId="4" priority="3461">
      <formula>IF(LEN(AQ4)&gt;0,1,0)</formula>
    </cfRule>
  </conditionalFormatting>
  <conditionalFormatting sqref="AU4 AU41:AU1048576">
    <cfRule type="expression" dxfId="0" priority="3612">
      <formula>IF(VLOOKUP($AU$3,requiredAttributePTDMap,MATCH($A4,attributeMapFeedProductType,0)+1,FALSE)&gt;0,1,0)</formula>
    </cfRule>
    <cfRule type="expression" dxfId="1" priority="3613">
      <formula>IF(VLOOKUP($AU$3,optionalAttributePTDMap,MATCH($A4,attributeMapFeedProductType,0)+1,FALSE)&gt;0,1,0)</formula>
    </cfRule>
    <cfRule type="expression" dxfId="2" priority="3614">
      <formula>IF(VLOOKUP($AU$3,preferredAttributePTDMap,MATCH($A4,attributeMapFeedProductType,0)+1,FALSE)&gt;0,1,0)</formula>
    </cfRule>
    <cfRule type="expression" dxfId="3" priority="361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8 AV11:AV19 AV22:AV1048576">
    <cfRule type="expression" dxfId="0" priority="3617">
      <formula>IF(VLOOKUP($AV$3,requiredAttributePTDMap,MATCH($A4,attributeMapFeedProductType,0)+1,FALSE)&gt;0,1,0)</formula>
    </cfRule>
    <cfRule type="expression" dxfId="1" priority="3618">
      <formula>IF(VLOOKUP($AV$3,optionalAttributePTDMap,MATCH($A4,attributeMapFeedProductType,0)+1,FALSE)&gt;0,1,0)</formula>
    </cfRule>
    <cfRule type="expression" dxfId="2" priority="3619">
      <formula>IF(VLOOKUP($AV$3,preferredAttributePTDMap,MATCH($A4,attributeMapFeedProductType,0)+1,FALSE)&gt;0,1,0)</formula>
    </cfRule>
    <cfRule type="expression" dxfId="3" priority="362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V4:AV9 AV11:AV20 AV22:AV1048576">
    <cfRule type="expression" dxfId="4" priority="3616">
      <formula>IF(LEN(AV4)&gt;0,1,0)</formula>
    </cfRule>
  </conditionalFormatting>
  <conditionalFormatting sqref="BN4:BN1048576 BP4:BP1048576">
    <cfRule type="expression" dxfId="4" priority="3370">
      <formula>IF(LEN(BN4)&gt;0,1,0)</formula>
    </cfRule>
    <cfRule type="expression" dxfId="0" priority="3371">
      <formula>IF(VLOOKUP($BP$3,requiredAttributePTDMap,MATCH($A4,attributeMapFeedProductType,0)+1,FALSE)&gt;0,1,0)</formula>
    </cfRule>
    <cfRule type="expression" dxfId="1" priority="3372">
      <formula>IF(VLOOKUP($BP$3,optionalAttributePTDMap,MATCH($A4,attributeMapFeedProductType,0)+1,FALSE)&gt;0,1,0)</formula>
    </cfRule>
    <cfRule type="expression" dxfId="2" priority="3373">
      <formula>IF(VLOOKUP($BP$3,preferredAttributePTDMap,MATCH($A4,attributeMapFeedProductType,0)+1,FALSE)&gt;0,1,0)</formula>
    </cfRule>
    <cfRule type="expression" dxfId="3" priority="337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14:BQ15 BQ25:BQ26 BQ29:BQ1048576 BO4:BO1048576 BZ5:BZ40">
    <cfRule type="expression" dxfId="4" priority="3300">
      <formula>IF(LEN(BO4)&gt;0,1,0)</formula>
    </cfRule>
    <cfRule type="expression" dxfId="0" priority="3301">
      <formula>IF(VLOOKUP($BQ$3,requiredAttributePTDMap,MATCH($A4,attributeMapFeedProductType,0)+1,FALSE)&gt;0,1,0)</formula>
    </cfRule>
    <cfRule type="expression" dxfId="1" priority="3302">
      <formula>IF(VLOOKUP($BQ$3,optionalAttributePTDMap,MATCH($A4,attributeMapFeedProductType,0)+1,FALSE)&gt;0,1,0)</formula>
    </cfRule>
    <cfRule type="expression" dxfId="2" priority="3303">
      <formula>IF(VLOOKUP($BQ$3,preferredAttributePTDMap,MATCH($A4,attributeMapFeedProductType,0)+1,FALSE)&gt;0,1,0)</formula>
    </cfRule>
    <cfRule type="expression" dxfId="3" priority="330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A5:CA40">
    <cfRule type="expression" dxfId="0" priority="3306">
      <formula>IF(VLOOKUP($BR$3,requiredAttributePTDMap,MATCH($A4,attributeMapFeedProductType,0)+1,FALSE)&gt;0,1,0)</formula>
    </cfRule>
    <cfRule type="expression" dxfId="1" priority="3307">
      <formula>IF(VLOOKUP($BR$3,optionalAttributePTDMap,MATCH($A4,attributeMapFeedProductType,0)+1,FALSE)&gt;0,1,0)</formula>
    </cfRule>
    <cfRule type="expression" dxfId="2" priority="3308">
      <formula>IF(VLOOKUP($BR$3,preferredAttributePTDMap,MATCH($A4,attributeMapFeedProductType,0)+1,FALSE)&gt;0,1,0)</formula>
    </cfRule>
    <cfRule type="expression" dxfId="3" priority="3309">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R4:BV1048576 CA5:CD40">
    <cfRule type="expression" dxfId="4" priority="3305">
      <formula>IF(LEN(BR4)&gt;0,1,0)</formula>
    </cfRule>
  </conditionalFormatting>
  <conditionalFormatting sqref="BS4:BS1048576 CB5:CB40">
    <cfRule type="expression" dxfId="0" priority="3311">
      <formula>IF(VLOOKUP($BS$3,requiredAttributePTDMap,MATCH($A4,attributeMapFeedProductType,0)+1,FALSE)&gt;0,1,0)</formula>
    </cfRule>
    <cfRule type="expression" dxfId="1" priority="3312">
      <formula>IF(VLOOKUP($BS$3,optionalAttributePTDMap,MATCH($A4,attributeMapFeedProductType,0)+1,FALSE)&gt;0,1,0)</formula>
    </cfRule>
    <cfRule type="expression" dxfId="2" priority="3313">
      <formula>IF(VLOOKUP($BS$3,preferredAttributePTDMap,MATCH($A4,attributeMapFeedProductType,0)+1,FALSE)&gt;0,1,0)</formula>
    </cfRule>
    <cfRule type="expression" dxfId="3" priority="331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C5:CC40">
    <cfRule type="expression" dxfId="0" priority="3316">
      <formula>IF(VLOOKUP($BT$3,requiredAttributePTDMap,MATCH($A4,attributeMapFeedProductType,0)+1,FALSE)&gt;0,1,0)</formula>
    </cfRule>
    <cfRule type="expression" dxfId="1" priority="3317">
      <formula>IF(VLOOKUP($BT$3,optionalAttributePTDMap,MATCH($A4,attributeMapFeedProductType,0)+1,FALSE)&gt;0,1,0)</formula>
    </cfRule>
    <cfRule type="expression" dxfId="2" priority="3318">
      <formula>IF(VLOOKUP($BT$3,preferredAttributePTDMap,MATCH($A4,attributeMapFeedProductType,0)+1,FALSE)&gt;0,1,0)</formula>
    </cfRule>
    <cfRule type="expression" dxfId="3" priority="331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D5:CD40">
    <cfRule type="expression" dxfId="0" priority="3321">
      <formula>IF(VLOOKUP($BU$3,requiredAttributePTDMap,MATCH($A4,attributeMapFeedProductType,0)+1,FALSE)&gt;0,1,0)</formula>
    </cfRule>
    <cfRule type="expression" dxfId="1" priority="3322">
      <formula>IF(VLOOKUP($BU$3,optionalAttributePTDMap,MATCH($A4,attributeMapFeedProductType,0)+1,FALSE)&gt;0,1,0)</formula>
    </cfRule>
    <cfRule type="expression" dxfId="2" priority="3323">
      <formula>IF(VLOOKUP($BU$3,preferredAttributePTDMap,MATCH($A4,attributeMapFeedProductType,0)+1,FALSE)&gt;0,1,0)</formula>
    </cfRule>
    <cfRule type="expression" dxfId="3" priority="332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E5:CE40">
    <cfRule type="expression" dxfId="0" priority="3326">
      <formula>IF(VLOOKUP($BV$3,requiredAttributePTDMap,MATCH($A4,attributeMapFeedProductType,0)+1,FALSE)&gt;0,1,0)</formula>
    </cfRule>
    <cfRule type="expression" dxfId="1" priority="3327">
      <formula>IF(VLOOKUP($BV$3,optionalAttributePTDMap,MATCH($A4,attributeMapFeedProductType,0)+1,FALSE)&gt;0,1,0)</formula>
    </cfRule>
    <cfRule type="expression" dxfId="2" priority="3328">
      <formula>IF(VLOOKUP($BV$3,preferredAttributePTDMap,MATCH($A4,attributeMapFeedProductType,0)+1,FALSE)&gt;0,1,0)</formula>
    </cfRule>
    <cfRule type="expression" dxfId="3" priority="332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Z4 BZ41:BZ1048576">
    <cfRule type="expression" dxfId="0" priority="3757">
      <formula>IF(VLOOKUP($BZ$3,requiredAttributePTDMap,MATCH($A4,attributeMapFeedProductType,0)+1,FALSE)&gt;0,1,0)</formula>
    </cfRule>
    <cfRule type="expression" dxfId="1" priority="3758">
      <formula>IF(VLOOKUP($BZ$3,optionalAttributePTDMap,MATCH($A4,attributeMapFeedProductType,0)+1,FALSE)&gt;0,1,0)</formula>
    </cfRule>
    <cfRule type="expression" dxfId="2" priority="3759">
      <formula>IF(VLOOKUP($BZ$3,preferredAttributePTDMap,MATCH($A4,attributeMapFeedProductType,0)+1,FALSE)&gt;0,1,0)</formula>
    </cfRule>
    <cfRule type="expression" dxfId="3" priority="376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1:CA1048576">
    <cfRule type="expression" dxfId="0" priority="3762">
      <formula>IF(VLOOKUP($CA$3,requiredAttributePTDMap,MATCH($A4,attributeMapFeedProductType,0)+1,FALSE)&gt;0,1,0)</formula>
    </cfRule>
    <cfRule type="expression" dxfId="1" priority="3763">
      <formula>IF(VLOOKUP($CA$3,optionalAttributePTDMap,MATCH($A4,attributeMapFeedProductType,0)+1,FALSE)&gt;0,1,0)</formula>
    </cfRule>
    <cfRule type="expression" dxfId="2" priority="3764">
      <formula>IF(VLOOKUP($CA$3,preferredAttributePTDMap,MATCH($A4,attributeMapFeedProductType,0)+1,FALSE)&gt;0,1,0)</formula>
    </cfRule>
    <cfRule type="expression" dxfId="3" priority="376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1:CB1048576">
    <cfRule type="expression" dxfId="0" priority="3767">
      <formula>IF(VLOOKUP($CB$3,requiredAttributePTDMap,MATCH($A4,attributeMapFeedProductType,0)+1,FALSE)&gt;0,1,0)</formula>
    </cfRule>
    <cfRule type="expression" dxfId="1" priority="3768">
      <formula>IF(VLOOKUP($CB$3,optionalAttributePTDMap,MATCH($A4,attributeMapFeedProductType,0)+1,FALSE)&gt;0,1,0)</formula>
    </cfRule>
    <cfRule type="expression" dxfId="2" priority="3769">
      <formula>IF(VLOOKUP($CB$3,preferredAttributePTDMap,MATCH($A4,attributeMapFeedProductType,0)+1,FALSE)&gt;0,1,0)</formula>
    </cfRule>
    <cfRule type="expression" dxfId="3" priority="377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1:CC1048576">
    <cfRule type="expression" dxfId="0" priority="3772">
      <formula>IF(VLOOKUP($CC$3,requiredAttributePTDMap,MATCH($A4,attributeMapFeedProductType,0)+1,FALSE)&gt;0,1,0)</formula>
    </cfRule>
    <cfRule type="expression" dxfId="1" priority="3773">
      <formula>IF(VLOOKUP($CC$3,optionalAttributePTDMap,MATCH($A4,attributeMapFeedProductType,0)+1,FALSE)&gt;0,1,0)</formula>
    </cfRule>
    <cfRule type="expression" dxfId="2" priority="3774">
      <formula>IF(VLOOKUP($CC$3,preferredAttributePTDMap,MATCH($A4,attributeMapFeedProductType,0)+1,FALSE)&gt;0,1,0)</formula>
    </cfRule>
    <cfRule type="expression" dxfId="3" priority="377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1:CD1048576">
    <cfRule type="expression" dxfId="0" priority="3777">
      <formula>IF(VLOOKUP($CD$3,requiredAttributePTDMap,MATCH($A4,attributeMapFeedProductType,0)+1,FALSE)&gt;0,1,0)</formula>
    </cfRule>
    <cfRule type="expression" dxfId="1" priority="3778">
      <formula>IF(VLOOKUP($CD$3,optionalAttributePTDMap,MATCH($A4,attributeMapFeedProductType,0)+1,FALSE)&gt;0,1,0)</formula>
    </cfRule>
    <cfRule type="expression" dxfId="2" priority="3779">
      <formula>IF(VLOOKUP($CD$3,preferredAttributePTDMap,MATCH($A4,attributeMapFeedProductType,0)+1,FALSE)&gt;0,1,0)</formula>
    </cfRule>
    <cfRule type="expression" dxfId="3" priority="378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1:CE1048576">
    <cfRule type="expression" dxfId="0" priority="3782">
      <formula>IF(VLOOKUP($CE$3,requiredAttributePTDMap,MATCH($A4,attributeMapFeedProductType,0)+1,FALSE)&gt;0,1,0)</formula>
    </cfRule>
    <cfRule type="expression" dxfId="1" priority="3783">
      <formula>IF(VLOOKUP($CE$3,optionalAttributePTDMap,MATCH($A4,attributeMapFeedProductType,0)+1,FALSE)&gt;0,1,0)</formula>
    </cfRule>
    <cfRule type="expression" dxfId="2" priority="3784">
      <formula>IF(VLOOKUP($CE$3,preferredAttributePTDMap,MATCH($A4,attributeMapFeedProductType,0)+1,FALSE)&gt;0,1,0)</formula>
    </cfRule>
    <cfRule type="expression" dxfId="3" priority="378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I4:CJ1048576">
    <cfRule type="expression" dxfId="0" priority="3802">
      <formula>IF(VLOOKUP($CI$3,requiredAttributePTDMap,MATCH($A4,attributeMapFeedProductType,0)+1,FALSE)&gt;0,1,0)</formula>
    </cfRule>
    <cfRule type="expression" dxfId="1" priority="3803">
      <formula>IF(VLOOKUP($CI$3,optionalAttributePTDMap,MATCH($A4,attributeMapFeedProductType,0)+1,FALSE)&gt;0,1,0)</formula>
    </cfRule>
    <cfRule type="expression" dxfId="2" priority="3804">
      <formula>IF(VLOOKUP($CI$3,preferredAttributePTDMap,MATCH($A4,attributeMapFeedProductType,0)+1,FALSE)&gt;0,1,0)</formula>
    </cfRule>
    <cfRule type="expression" dxfId="3" priority="380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DM4:DN1048576">
    <cfRule type="expression" dxfId="4" priority="3975">
      <formula>IF(LEN(DM4)&gt;0,1,0)</formula>
    </cfRule>
  </conditionalFormatting>
  <conditionalFormatting sqref="DQ4:FI1048576">
    <cfRule type="expression" dxfId="4" priority="3998">
      <formula>IF(LEN(DQ4)&gt;0,1,0)</formula>
    </cfRule>
  </conditionalFormatting>
  <conditionalFormatting sqref="J5:J15 J17:J26 J28:J1048576">
    <cfRule type="expression" dxfId="4" priority="3426">
      <formula>IF(LEN(J5)&gt;0,1,0)</formula>
    </cfRule>
  </conditionalFormatting>
  <conditionalFormatting sqref="M5:N1048576">
    <cfRule type="expression" dxfId="4" priority="3441">
      <formula>IF(LEN(M5)&gt;0,1,0)</formula>
    </cfRule>
  </conditionalFormatting>
  <conditionalFormatting sqref="AF5:AH15 AJ5:CE5 AJ6:AY15 BA6:CE15 AZ6:AZ40">
    <cfRule type="expression" dxfId="4" priority="3325">
      <formula>IF(LEN(AF5)&gt;0,1,0)</formula>
    </cfRule>
  </conditionalFormatting>
  <conditionalFormatting sqref="AJ14:AJ15 AJ25:AJ26 AJ41:AJ1048576">
    <cfRule type="expression" dxfId="4" priority="3556">
      <formula>IF(LEN(AJ14)&gt;0,1,0)</formula>
    </cfRule>
    <cfRule type="expression" dxfId="0" priority="3557">
      <formula>IF(VLOOKUP($AJ$3,requiredAttributePTDMap,MATCH($A14,attributeMapFeedProductType,0)+1,FALSE)&gt;0,1,0)</formula>
    </cfRule>
    <cfRule type="expression" dxfId="1" priority="3558">
      <formula>IF(VLOOKUP($AJ$3,optionalAttributePTDMap,MATCH($A14,attributeMapFeedProductType,0)+1,FALSE)&gt;0,1,0)</formula>
    </cfRule>
    <cfRule type="expression" dxfId="2" priority="3559">
      <formula>IF(VLOOKUP($AJ$3,preferredAttributePTDMap,MATCH($A14,attributeMapFeedProductType,0)+1,FALSE)&gt;0,1,0)</formula>
    </cfRule>
    <cfRule type="expression" dxfId="3" priority="3560">
      <formula>AND(IF(IFERROR(VLOOKUP($AJ$3,requiredAttributePTDMap,MATCH($A14,attributeMapFeedProductType,0)+1,FALSE),0)&gt;0,0,1),IF(IFERROR(VLOOKUP($AJ$3,optionalAttributePTDMap,MATCH($A14,attributeMapFeedProductType,0)+1,FALSE),0)&gt;0,0,1),IF(IFERROR(VLOOKUP($AJ$3,preferredAttributePTDMap,MATCH($A14,attributeMapFeedProductType,0)+1,FALSE),0)&gt;0,0,1),IF(IFERROR(MATCH($A14,attributeMapFeedProductType,0),0)&gt;0,1,0))</formula>
    </cfRule>
  </conditionalFormatting>
  <conditionalFormatting sqref="AF16:AH26 AJ16:AY26 BA16:CE26">
    <cfRule type="expression" dxfId="4" priority="6">
      <formula>IF(LEN(AF16)&gt;0,1,0)</formula>
    </cfRule>
  </conditionalFormatting>
  <conditionalFormatting sqref="AF27:AH40 AJ27:AY28 BA27:CE28 AJ29:AK40 AM29:AU40 AW29:AX40 BO29:BP40 BZ29:CE40">
    <cfRule type="expression" dxfId="4" priority="1">
      <formula>IF(LEN(AF27)&gt;0,1,0)</formula>
    </cfRule>
  </conditionalFormatting>
  <dataValidations count="157">
    <dataValidation allowBlank="1" showInputMessage="1" prompt="Faites votre choix dans la liste des valeurs valides." sqref="A3 AI3 BY3 DR3 DT3 EM3"/>
    <dataValidation allowBlank="1" showInputMessage="1" prompt="Identifiant unique. Si vous ne saisissez pas de SKU nous en créerons un pour vous." sqref="B3"/>
    <dataValidation allowBlank="1" showInputMessage="1" prompt="Une chaîne alphanumérique ; longueur minimale 1 caractère et longueur maximale 50 caractères." sqref="C3 BH3:BL3"/>
    <dataValidation allowBlank="1" showInputMessage="1" prompt="Chaîne alphanumérique de 16 caractères maximum." sqref="D3"/>
    <dataValidation allowBlank="1" showInputMessage="1" prompt="Défini le type d'identifiant unique standard saisi dans le champ standard-product-id. Ce champ est requis si Product ID est entré." sqref="E3"/>
    <dataValidation allowBlank="1" showInputMessage="1" prompt="Une chaîne alphanumérique ; longueur minimale 1 caractère et longueur maximale 200 caractères. Remarque : Les caractères ASCII en exposant de type 1 (®, ©, ™, etc.) et les autres caractères spéciaux ne sont pas pris en compte." sqref="F3"/>
    <dataValidation allowBlank="1" showInputMessage="1" prompt="Référez vous à l'onglet &quot;Valeurs valides&quot; pour la liste des valeurs acceptées." sqref="G3 L3 O3:Q3 BA3 BG3 BO3"/>
    <dataValidation allowBlank="1" showInputMessage="1" prompt="Une chaine de caractères alphanumérique de maximum 500 caractères." sqref="H3"/>
    <dataValidation allowBlank="1" showInputMessage="1" prompt="Choisir une valeur dans l'onglet Valeurs Valides" sqref="I3 R3 BQ3"/>
    <dataValidation allowBlank="1" showInputMessage="1" prompt="Une chaine de caractères alphanumériques ; 1 caractère minimum et 50 caractères maximum. Si plusieurs couleurs sont disponibles, une nouvelle entrée sera nécessaire pour chaque produit." sqref="J3"/>
    <dataValidation allowBlank="1" showInputMessage="1" prompt="Une chaîne alphanumérique ; longueur minimale 1 caractère et longueur maximale 50 caractères.&#10;&#10;Pour les articles avec des tailles de vêtement, merci d'utiliser les tailles indiquées dans l'onglet Valeurs Valides." sqref="K3"/>
    <dataValidation allowBlank="1" showInputMessage="1" prompt="'Référez vous à l'onglet &quot;Valeurs valides&quot; pour la liste des valeurs acceptées." sqref="M3"/>
    <dataValidation allowBlank="1" showInputMessage="1" prompt="Select a value from the Valid Values worksheet." sqref="N3"/>
    <dataValidation allowBlank="1" showInputMessage="1" prompt="Sélectionnez : true ou false. Si vous ne selectionnez rien, nous indiquerons la valeur &quot;false&quot; automatiquement." sqref="S3"/>
    <dataValidation allowBlank="1" showInputMessage="1" prompt="Nombre avec 10 chiffres maximum à gauche du point et de 2 chiffres à droite. Utilisez un point comme séparateur." sqref="T3"/>
    <dataValidation allowBlank="1" showInputMessage="1" prompt="Un nombre entier positif." sqref="U3 DU3 DY3:DZ3"/>
    <dataValidation allowBlank="1" showInputMessage="1" prompt="L’adresse URL où se trouve l’image principale du produit.  Il est important de le faire pour tous les produits." sqref="V3"/>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W3:AD3"/>
    <dataValidation allowBlank="1" showInputMessage="1" prompt="Il défini le produit ayant une relation avec un produit similaire.&#10;&#10;Le &quot;parent&quot; défini l'information basique du produit. &#10;Les produits parent ne sont donc pas achetables; le produit &quot;parent&quot; spécifie simplement les attributs communs du produit parmi ce..." sqref="AE3"/>
    <dataValidation allowBlank="1" showInputMessage="1" prompt="Chaîne alphanumérique de 40 caractères maximum." sqref="AF3"/>
    <dataValidation allowBlank="1" showInputMessage="1" prompt="Il décrit les relations entre produits ayant des liens les uns avec les autres. Les Accessoires peuvent être consultés sur www.amazon.fr. Utilisez ce champ pour créer une relation de variation." sqref="AG3"/>
    <dataValidation allowBlank="1" showInputMessage="1" prompt="Décrivez le ou les paramètre(s) où le parent peut varier. La valeur saisie dans ce champ doit être la même pour les articles parent et enfant (child),&#10;Exemple: &#10;Si un produit varie par couleur, entrez la valeur Color. Si le produit varie par taille ent..." sqref="AH3"/>
    <dataValidation allowBlank="1" showInputMessage="1" prompt="Une chaîne textuelle ; longueur maximale 2 000 caractères. Remarque : les caractères de type 1 ASCII étendu (®, ©, ™, etc.) ou les autres caractères spéciaux ne sont pas pris en charge." sqref="AJ3"/>
    <dataValidation allowBlank="1" showInputMessage="1" prompt="Un nombre entier positif. La valeur est prédéfinie dans le &quot;Guide de classification des produits.&quot;" sqref="AK3"/>
    <dataValidation allowBlank="1" showInputMessage="1" prompt="Conformément à la Réglementation Européenne sur les Textiles, entrez la composition textile légale de la doublure, par exemple 80% Coton, 20% Viscose (composants totalisant 100%). Si l'article n'a pas de doublure, s'il vous plaît entrer &quot;Non doublé&quot;." sqref="AL3"/>
    <dataValidation allowBlank="1" showInputMessage="1" prompt="Une chaine de caractères alphanumérique de maximum 50 caractères." sqref="AM3:AO3"/>
    <dataValidation allowBlank="1" showInputMessage="1" prompt="Une chaîne alphanumérique ; longueur minimale 1 caractère et longueur maximale 40 caractères." sqref="AP3"/>
    <dataValidation allowBlank="1" showInputMessage="1" prompt="La taille fournie doit être spécifique au système de taille du pays de vent et peut différer de la taille de l'étiquette." sqref="AQ3"/>
    <dataValidation allowBlank="1" showInputMessage="1" prompt="Sélectionner une des options suivantes:Féminin, Masculin, Unisexe" sqref="AR3"/>
    <dataValidation allowBlank="1" showInputMessage="1" prompt="Sélectionner une des options suivantes:Adulte, Enfant, Bébé" sqref="AS3"/>
    <dataValidation allowBlank="1" showInputMessage="1" prompt="Indiquez la classification des tailles." sqref="AT3"/>
    <dataValidation allowBlank="1" showInputMessage="1" prompt="Indiquez la taille associée au système de taille et à la classe de taille." sqref="AU3"/>
    <dataValidation allowBlank="1" showInputMessage="1" prompt="Indiquez la valeur supérieure de la gamme de tailles s'il s'agit d'une gamme." sqref="AV3"/>
    <dataValidation allowBlank="1" showInputMessage="1" prompt="Indiquez le type de morphologie correspondant à ce vêtement." sqref="AW3"/>
    <dataValidation allowBlank="1" showInputMessage="1" prompt="Indiquez le type de taille correspondant à ce vêtement." sqref="AX3"/>
    <dataValidation allowBlank="1" showInputMessage="1" sqref="AY3 BN3 BP3 CE3 EL3 B4 J4:K4 T4:AD4 B41:B1048576 D4:D1048576 F4:F1048576 H41:H1048576 K5:K40 O4:O1048576 AF4:AF1048576 AJ4:AJ1048576 AZ4:AZ1048576 BX3:BX1048576 CY4:CY1048576 DA4:DA1048576 DL4:DL1048576 DN4:DN1048576 DS4:DS1048576 EN4:EN1048576 J41:L1048576 T5:U28 T29:AD1048576 AB5:AD28 AL4:AP1048576 BB4:BF1048576 BH4:BL1048576 EE4:EI1048576 BN4:BR1048576 BT3:BV1048576 BZ4:CC1048576 CQ4:CT1048576 CV4:CW1048576 DH4:DJ1048576 DU4:EA1048576 EK4:EL1048576 EP4:EY1048576 FA4:FH1048576"/>
    <dataValidation allowBlank="1" showInputMessage="1" prompt="Les mots-clefs qui décrivent le mieux votre produit: n'incluez pas plusieurs fois le même mot, les marques de vos concurrents ou des ASINs." sqref="AZ3"/>
    <dataValidation allowBlank="1" showInputMessage="1" prompt="Une chaîne alphanumérique ; longueur maximale 500 caractères par puce. N’incluez pas une puce, mais uniquement le texte servant à décrire votre produit. Remarque : les caractères de type 1 ASCII étendu (®, ©, ™, etc.) ou les autres caractères spéciaux ..." sqref="BB3:BF3"/>
    <dataValidation allowBlank="1" showInputMessage="1" prompt="Sélectionnez une valeur dans la liste des valeurs valides." sqref="BM3 CM3"/>
    <dataValidation allowBlank="1" showInputMessage="1" prompt="Un nombre pouvant inclure jusqu'à 10 chiffres à gauche du séparateur décimal et jusqu'à 2 chiffres à droite du séparateur décimal. Veuillez utiliser un point et ne pas utiliser de virgules." sqref="BR3 DL3"/>
    <dataValidation allowBlank="1" showInputMessage="1" prompt="Sélectionnez l’une des options suivantes: GR, KG, OZ ou LB." sqref="BS3"/>
    <dataValidation allowBlank="1" showInputMessage="1" prompt="Sélectionnez l'une des options suivantes : MM, CM, M, IN ou FT." sqref="BW3"/>
    <dataValidation allowBlank="1" showInputMessage="1" prompt="Un nombre avec, au maximum, 10 chiffres à gauche du point et 2 chiffres à droite. Merci de ne pas utiliser de virgule" sqref="BZ3:CC3"/>
    <dataValidation allowBlank="1" showInputMessage="1" prompt="Choisir une des valeurs valides suivantes:&#10;KG&#10;GR" sqref="CD3"/>
    <dataValidation allowBlank="1" showInputMessage="1" prompt="Veuillez saisir une valeur à partir de l’onglet Valeurs Valides." sqref="CF3:CH3"/>
    <dataValidation allowBlank="1" showInputMessage="1" prompt="Indicatif de Pays/Région à deux caractères indiquant le Pays/Région dans lequel le produit a été fabriqué." sqref="CI3:CJ3"/>
    <dataValidation allowBlank="1" showInputMessage="1" prompt="Sélectionnez true (vrai) ou false (faux)" sqref="CK3:CL3"/>
    <dataValidation allowBlank="1" showInputMessage="1" prompt="Merci de vous référer à l'onglet Valid Values" sqref="CN3:CP3"/>
    <dataValidation allowBlank="1" showInputMessage="1" prompt="Un numéro entier" sqref="CQ3:CS3 EA3 EI3"/>
    <dataValidation allowBlank="1" showInputMessage="1" prompt="Nombre à 10 chiffres et 2 décimales maximum." sqref="CT3"/>
    <dataValidation allowBlank="1" showInputMessage="1" prompt="Poids de la batterie" sqref="CU3"/>
    <dataValidation allowBlank="1" showInputMessage="1" prompt="Nombres de cellules Lithium Metal dans le produit" sqref="CV3"/>
    <dataValidation allowBlank="1" showInputMessage="1" prompt="Nombre total de cellules au lithium Ion dans le produit" sqref="CW3"/>
    <dataValidation allowBlank="1" showInputMessage="1" prompt="Sélectionnez le conditionnement de la batterie: choisir entre batteries_only  (si la pile/batterie est vendue seule) batteries_contained_in_equipment  (si la pile/batterie est incluse dans l'appareil) ou batteries_packed_with_equipment  (si la pile/bat..." sqref="CX3"/>
    <dataValidation allowBlank="1" showInputMessage="1" prompt="Watt heure de chaque batterie" sqref="CY3"/>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CZ3"/>
    <dataValidation allowBlank="1" showInputMessage="1" prompt="Un nombre positif.nnVeuillez ne pas inclure le mot grammes ou g." sqref="DA3"/>
    <dataValidation allowBlank="1" showInputMessage="1" prompt="L'unité de mesure du poids de lithium contenu dans chaque métal&quot;&quot; pile ou batterie ou dans le cas des accumulateurs, il est le «contenu en équivalent lithium&quot;&quot;&quot;" sqref="DB3"/>
    <dataValidation allowBlank="1" showInputMessage="1" prompt="Veuillez sélectionner la réponse applicable dans le menu déroulant." sqref="DC3:DG3"/>
    <dataValidation allowBlank="1" showInputMessage="1" prompt="Se trouve habituellement sur la fiche de données de sécurité ou est fourni par le fabricant ou le distributeur. Pour plus d'informations, reportez-vous aux pages d'aide." sqref="DH3"/>
    <dataValidation allowBlank="1" showInputMessage="1" prompt="Contient le lien vers la fiche de sécurité (SDS, Safety Data Sheet) hébergée à l'extérieur pour un article" sqref="DI3"/>
    <dataValidation allowBlank="1" showInputMessage="1" prompt="Un nombre pouvant inclure jusqu’à 10 chiffres à gauche du séparateur décimal et jusqu’à 2 chiffres à droite du séparateur décimal. Veuillez ne pas utiliser de virgules." sqref="DJ3"/>
    <dataValidation allowBlank="1" showInputMessage="1" prompt="Unité de mesure utilisée pour décrire le poids du produit." sqref="DK3"/>
    <dataValidation allowBlank="1" showInputMessage="1" prompt="L'unité de mesure de la capacité de la piscine (litre)" sqref="DM3"/>
    <dataValidation allowBlank="1" showInputMessage="1" prompt="Un nombre pouvant contenir jusqu'à 10 chiffres avant le point décimal, et 2 chiffres après le point décimal. Merci de ne pas utiliser de virgules." sqref="DN3"/>
    <dataValidation allowBlank="1" showInputMessage="1" prompt="Se trouve habituellement sur la fiche de données de sécurité ou sur l'emballage du produit." sqref="DO3:DQ3"/>
    <dataValidation allowBlank="1" showInputMessage="1" prompt="Chaine de texte : longueur max. de 1000 caractères. L’usage de caractères spéciaux n’est pas autorisé dans les remarques sur l'état." sqref="DS3"/>
    <dataValidation allowBlank="1" showInputMessage="1" prompt="Nombre avec 10 chiffres maximum à gauche du point et de 2 chiffres à droite. Utilisez une virgule comme séparateur." sqref="DV3"/>
    <dataValidation allowBlank="1" showInputMessage="1" prompt="Date au format aaaa-mm-jj." sqref="DW3:DX3 EF3"/>
    <dataValidation allowBlank="1" showInputMessage="1" prompt="Sélectionnez 'True' (vrai) ou 'False' (faux)." sqref="EB3"/>
    <dataValidation allowBlank="1" showInputMessage="1" prompt="Sélectionnez True ou False." sqref="EC3"/>
    <dataValidation allowBlank="1" showInputMessage="1" prompt="Choisir l'une des valeurs suivantes: true ou false." sqref="ED3"/>
    <dataValidation allowBlank="1" showInputMessage="1" prompt="Une date dans ce format : jj/mm/aaaa." sqref="EE3"/>
    <dataValidation allowBlank="1" showInputMessage="1" prompt="Prix de détail suggéré par le fabricant. Cela ne veut pas le prix que les clients Amazon vont payer pour votre produit." sqref="EG3"/>
    <dataValidation allowBlank="1" showInputMessage="1" prompt="Une date respectant le format suivant: aaaa-mm-jj." sqref="EH3"/>
    <dataValidation allowBlank="1" showInputMessage="1" prompt="Le groupement de régions d’expédition pour une offre. Le groupement de régions d’expédition est créé et géré par le vendeur dans les paramètres d’expédition." sqref="EJ3"/>
    <dataValidation allowBlank="1" showInputMessage="1" prompt="Il s'agit de la date à partir de laquelle un vendeur peut livrer un produit en précommande (produit qui n'a jamais été mis à disposition avant cette date) à un client. Le format doit être aaaa-mm-jj." sqref="EK3"/>
    <dataValidation allowBlank="1" showInputMessage="1" prompt="Le prix auquel le vendeur propose le produit à des acheteurs professionnels agréés, exprimé en pesos MXN." sqref="EN3"/>
    <dataValidation allowBlank="1" showInputMessage="1" prompt="L’unité de mesure de la remise sera exprimée en. Soit le prix fixe en dollars américains ou le pourcentage de remise" sqref="EO3"/>
    <dataValidation allowBlank="1" showInputMessage="1" prompt="Nombre entier positif. N'insérez pas de séparateurs de milliers." sqref="EP3 ER3 ET3 EV3 EX3"/>
    <dataValidation allowBlank="1" showInputMessage="1" prompt="Le prix fixe ou le pourcentage de remise auquel le vendeur propose le produit à la vente si l’acheteur acquiert au moins la quantité associée, exprimé en dollars US." sqref="EQ3 ES3 EU3 EW3 EY3"/>
    <dataValidation allowBlank="1" showInputMessage="1" prompt="L'unité de mesure de la remise sera exprimée soit en prix fixe en dollars américains, soit en pourcentage de réduction." sqref="EZ3"/>
    <dataValidation allowBlank="1" showInputMessage="1" prompt="Quantité minimale d'achat nécessaire pour bénéficier du prix fixe ou du pourcentage de réduction associé." sqref="FA3 FC3 FE3"/>
    <dataValidation allowBlank="1" showInputMessage="1" prompt="Le prix fixe ou le pourcentage de réduction auquel le marchand propose le produit à la vente si l'acheteur achète au moins la quantité associée." sqref="FB3 FD3 FF3"/>
    <dataValidation allowBlank="1" showInputMessage="1" prompt="Un code alphanumérique à 13 chiffres, qui est le code article standard selon la définition de l'OTAN." sqref="FG3"/>
    <dataValidation allowBlank="1" showInputMessage="1" prompt="Un code alphanumérique à 8 chiffres pour la classification de produits selon le système UNSPSC" sqref="FH3"/>
    <dataValidation allowBlank="1" showInputMessage="1" prompt="« delete business_price » (sans les guillemets)" sqref="FI3"/>
    <dataValidation type="list" allowBlank="1" showInputMessage="1" sqref="I4 I41:I1048576 I5:J40">
      <formula1>INDIRECT(SUBSTITUTE(A4,"-","_")&amp;"color_map")</formula1>
    </dataValidation>
    <dataValidation type="list" allowBlank="1" showInputMessage="1" sqref="AU4 AU41:AU1048576">
      <formula1>INDIRECT(SUBSTITUTE(A4,"-","_")&amp;"apparel_size")</formula1>
    </dataValidation>
    <dataValidation type="list" allowBlank="1" showInputMessage="1" sqref="CD4 CD41:CD1048576">
      <formula1>INDIRECT(SUBSTITUTE(A4,"-","_")&amp;"package_weight_unit_of_measure")</formula1>
    </dataValidation>
    <dataValidation type="list" allowBlank="1" showInputMessage="1" sqref="CE4 CE41:CE1048576">
      <formula1>INDIRECT(SUBSTITUTE(A4,"-","_")&amp;"package_dimensions_unit_of_measure")</formula1>
    </dataValidation>
    <dataValidation type="list" allowBlank="1" showInputMessage="1" sqref="AV9 AV20">
      <formula1>INDIRECT(SUBSTITUTE(A10,"-","_")&amp;"apparel_size_to")</formula1>
    </dataValidation>
    <dataValidation type="list" allowBlank="1" showInputMessage="1" sqref="A4:A1048576">
      <formula1>feed_product_type</formula1>
    </dataValidation>
    <dataValidation type="list" allowBlank="1" showInputMessage="1" sqref="C4:C1048576">
      <formula1>brand_name</formula1>
    </dataValidation>
    <dataValidation type="list" allowBlank="1" showInputMessage="1" sqref="E4:E1048576">
      <formula1>INDIRECT(SUBSTITUTE(A4,"-","_")&amp;"external_product_id_type")</formula1>
    </dataValidation>
    <dataValidation type="list" allowBlank="1" showInputMessage="1" sqref="G4:G1048576">
      <formula1>INDIRECT(SUBSTITUTE(A4,"-","_")&amp;"outer_material_type")</formula1>
    </dataValidation>
    <dataValidation type="list" allowBlank="1" showInputMessage="1" sqref="M4:M1048576">
      <formula1>INDIRECT(SUBSTITUTE(A4,"-","_")&amp;"lifestyle")</formula1>
    </dataValidation>
    <dataValidation type="list" allowBlank="1" showInputMessage="1" sqref="N4:N1048576">
      <formula1>INDIRECT(SUBSTITUTE(A4,"-","_")&amp;"style_name")</formula1>
    </dataValidation>
    <dataValidation type="list" allowBlank="1" showInputMessage="1" sqref="P4:P1048576">
      <formula1>INDIRECT(SUBSTITUTE(A4,"-","_")&amp;"department_name")</formula1>
    </dataValidation>
    <dataValidation type="list" allowBlank="1" showInputMessage="1" sqref="Q4:Q1048576 AU5:AU40">
      <formula1>INDIRECT(SUBSTITUTE(A4,"-","_")&amp;"size_map")</formula1>
    </dataValidation>
    <dataValidation type="list" allowBlank="1" showInputMessage="1" sqref="R4:R1048576">
      <formula1>INDIRECT(SUBSTITUTE(A4,"-","_")&amp;"item_length_description")</formula1>
    </dataValidation>
    <dataValidation type="list" allowBlank="1" showInputMessage="1" sqref="S4:S1048576">
      <formula1>INDIRECT(SUBSTITUTE(A4,"-","_")&amp;"is_adult_product")</formula1>
    </dataValidation>
    <dataValidation type="list" allowBlank="1" showInputMessage="1" sqref="AE4:AE1048576">
      <formula1>INDIRECT(SUBSTITUTE(A4,"-","_")&amp;"parent_child")</formula1>
    </dataValidation>
    <dataValidation type="list" allowBlank="1" showInputMessage="1" sqref="AG4:AG1048576">
      <formula1>INDIRECT(SUBSTITUTE(A4,"-","_")&amp;"relationship_type")</formula1>
    </dataValidation>
    <dataValidation type="list" allowBlank="1" showInputMessage="1" sqref="AH4:AH1048576">
      <formula1>INDIRECT(SUBSTITUTE(A4,"-","_")&amp;"variation_theme")</formula1>
    </dataValidation>
    <dataValidation type="list" allowBlank="1" showInputMessage="1" sqref="AI4:AI1048576">
      <formula1>INDIRECT(SUBSTITUTE(A4,"-","_")&amp;"update_delete")</formula1>
    </dataValidation>
    <dataValidation type="list" allowBlank="1" showInputMessage="1" sqref="AK4:AK1048576">
      <formula1>INDIRECT(SUBSTITUTE(A4,"-","_")&amp;"recommended_browse_nodes")</formula1>
    </dataValidation>
    <dataValidation type="list" allowBlank="1" showInputMessage="1" sqref="AQ4:AQ1048576">
      <formula1>INDIRECT(SUBSTITUTE(A4,"-","_")&amp;"apparel_size_system")</formula1>
    </dataValidation>
    <dataValidation type="list" allowBlank="1" showInputMessage="1" sqref="AR4:AR1048576">
      <formula1>INDIRECT(SUBSTITUTE(A4,"-","_")&amp;"target_gender")</formula1>
    </dataValidation>
    <dataValidation type="list" allowBlank="1" showInputMessage="1" sqref="AS4:AS1048576">
      <formula1>INDIRECT(SUBSTITUTE(A4,"-","_")&amp;"age_range_description")</formula1>
    </dataValidation>
    <dataValidation type="list" allowBlank="1" showInputMessage="1" sqref="AT4:AT1048576">
      <formula1>INDIRECT(SUBSTITUTE(A4,"-","_")&amp;"apparel_size_class")</formula1>
    </dataValidation>
    <dataValidation type="list" allowBlank="1" showInputMessage="1" sqref="AV4:AV8 AV11:AV19 AV22:AV1048576">
      <formula1>INDIRECT(SUBSTITUTE(A4,"-","_")&amp;"apparel_size_to")</formula1>
    </dataValidation>
    <dataValidation type="list" allowBlank="1" showInputMessage="1" sqref="AW4:AW1048576">
      <formula1>INDIRECT(SUBSTITUTE(A4,"-","_")&amp;"apparel_body_type")</formula1>
    </dataValidation>
    <dataValidation type="list" allowBlank="1" showInputMessage="1" sqref="AX4:AX1048576">
      <formula1>INDIRECT(SUBSTITUTE(A4,"-","_")&amp;"apparel_height_type")</formula1>
    </dataValidation>
    <dataValidation type="list" allowBlank="1" showInputMessage="1" sqref="AY4:AY1048576">
      <formula1>INDIRECT(SUBSTITUTE(A4,"-","_")&amp;"gtin_exemption_reason")</formula1>
    </dataValidation>
    <dataValidation type="list" allowBlank="1" showInputMessage="1" sqref="BA4:BA1048576">
      <formula1>INDIRECT(SUBSTITUTE(A4,"-","_")&amp;"collection_name")</formula1>
    </dataValidation>
    <dataValidation type="list" allowBlank="1" showInputMessage="1" sqref="BG4:BG1048576">
      <formula1>INDIRECT(SUBSTITUTE(A4,"-","_")&amp;"special_size_type")</formula1>
    </dataValidation>
    <dataValidation type="list" allowBlank="1" showInputMessage="1" sqref="BM4:BM1048576">
      <formula1>INDIRECT(SUBSTITUTE(A4,"-","_")&amp;"seasons")</formula1>
    </dataValidation>
    <dataValidation type="list" allowBlank="1" showInputMessage="1" sqref="BS4:BS1048576">
      <formula1>INDIRECT(SUBSTITUTE(A4,"-","_")&amp;"website_shipping_weight_unit_of_measure")</formula1>
    </dataValidation>
    <dataValidation type="list" allowBlank="1" showInputMessage="1" sqref="BW4:BW1048576">
      <formula1>INDIRECT(SUBSTITUTE(A4,"-","_")&amp;"item_dimensions_unit_of_measure")</formula1>
    </dataValidation>
    <dataValidation type="list" allowBlank="1" showInputMessage="1" sqref="BY4:BY1048576">
      <formula1>INDIRECT(SUBSTITUTE(A4,"-","_")&amp;"fulfillment_center_id")</formula1>
    </dataValidation>
    <dataValidation type="list" allowBlank="1" showInputMessage="1" sqref="CD5:CD40">
      <formula1>INDIRECT(SUBSTITUTE(J5,"-","_")&amp;"package_weight_unit_of_measure")</formula1>
    </dataValidation>
    <dataValidation type="list" allowBlank="1" showInputMessage="1" sqref="CE5:CE40">
      <formula1>INDIRECT(SUBSTITUTE(J5,"-","_")&amp;"package_dimensions_unit_of_measure")</formula1>
    </dataValidation>
    <dataValidation type="list" allowBlank="1" showInputMessage="1" sqref="CF4:CF1048576">
      <formula1>INDIRECT(SUBSTITUTE(A4,"-","_")&amp;"eu_toys_safety_directive_age_warning")</formula1>
    </dataValidation>
    <dataValidation type="list" allowBlank="1" showInputMessage="1" sqref="CG4:CG1048576">
      <formula1>INDIRECT(SUBSTITUTE(A4,"-","_")&amp;"eu_toys_safety_directive_warning")</formula1>
    </dataValidation>
    <dataValidation type="list" allowBlank="1" showInputMessage="1" sqref="CH4:CH1048576">
      <formula1>INDIRECT(SUBSTITUTE(A4,"-","_")&amp;"eu_toys_safety_directive_language")</formula1>
    </dataValidation>
    <dataValidation type="list" allowBlank="1" showInputMessage="1" sqref="CK4:CK1048576">
      <formula1>INDIRECT(SUBSTITUTE(A4,"-","_")&amp;"batteries_required")</formula1>
    </dataValidation>
    <dataValidation type="list" allowBlank="1" showInputMessage="1" sqref="CL4:CL1048576">
      <formula1>INDIRECT(SUBSTITUTE(A4,"-","_")&amp;"are_batteries_included")</formula1>
    </dataValidation>
    <dataValidation type="list" allowBlank="1" showInputMessage="1" sqref="CM4:CM1048576">
      <formula1>INDIRECT(SUBSTITUTE(A4,"-","_")&amp;"battery_cell_composition")</formula1>
    </dataValidation>
    <dataValidation type="list" allowBlank="1" showInputMessage="1" sqref="CN4:CN1048576">
      <formula1>INDIRECT(SUBSTITUTE(A4,"-","_")&amp;"battery_type1")</formula1>
    </dataValidation>
    <dataValidation type="list" allowBlank="1" showInputMessage="1" sqref="CO4:CO1048576">
      <formula1>INDIRECT(SUBSTITUTE(A4,"-","_")&amp;"battery_type2")</formula1>
    </dataValidation>
    <dataValidation type="list" allowBlank="1" showInputMessage="1" sqref="CP4:CP1048576">
      <formula1>INDIRECT(SUBSTITUTE(A4,"-","_")&amp;"battery_type3")</formula1>
    </dataValidation>
    <dataValidation type="list" allowBlank="1" showInputMessage="1" sqref="CU4:CU1048576">
      <formula1>INDIRECT(SUBSTITUTE(A4,"-","_")&amp;"battery_weight_unit_of_measure")</formula1>
    </dataValidation>
    <dataValidation type="list" allowBlank="1" showInputMessage="1" sqref="CX4:CX1048576">
      <formula1>INDIRECT(SUBSTITUTE(A4,"-","_")&amp;"lithium_battery_packaging")</formula1>
    </dataValidation>
    <dataValidation type="list" allowBlank="1" showInputMessage="1" sqref="CZ4:CZ1048576">
      <formula1>INDIRECT(SUBSTITUTE(A4,"-","_")&amp;"lithium_battery_energy_content_unit_of_measure")</formula1>
    </dataValidation>
    <dataValidation type="list" allowBlank="1" showInputMessage="1" sqref="DB4:DB1048576">
      <formula1>INDIRECT(SUBSTITUTE(A4,"-","_")&amp;"lithium_battery_weight_unit_of_measure")</formula1>
    </dataValidation>
    <dataValidation type="list" allowBlank="1" showInputMessage="1" sqref="DC4:DC1048576">
      <formula1>INDIRECT(SUBSTITUTE(A4,"-","_")&amp;"supplier_declared_dg_hz_regulation1")</formula1>
    </dataValidation>
    <dataValidation type="list" allowBlank="1" showInputMessage="1" sqref="DD4:DD1048576">
      <formula1>INDIRECT(SUBSTITUTE(A4,"-","_")&amp;"supplier_declared_dg_hz_regulation2")</formula1>
    </dataValidation>
    <dataValidation type="list" allowBlank="1" showInputMessage="1" sqref="DE4:DE1048576">
      <formula1>INDIRECT(SUBSTITUTE(A4,"-","_")&amp;"supplier_declared_dg_hz_regulation3")</formula1>
    </dataValidation>
    <dataValidation type="list" allowBlank="1" showInputMessage="1" sqref="DF4:DF1048576">
      <formula1>INDIRECT(SUBSTITUTE(A4,"-","_")&amp;"supplier_declared_dg_hz_regulation4")</formula1>
    </dataValidation>
    <dataValidation type="list" allowBlank="1" showInputMessage="1" sqref="DG4:DG1048576">
      <formula1>INDIRECT(SUBSTITUTE(A4,"-","_")&amp;"supplier_declared_dg_hz_regulation5")</formula1>
    </dataValidation>
    <dataValidation type="list" allowBlank="1" showInputMessage="1" sqref="DK4:DK1048576">
      <formula1>INDIRECT(SUBSTITUTE(A4,"-","_")&amp;"item_weight_unit_of_measure")</formula1>
    </dataValidation>
    <dataValidation type="list" allowBlank="1" showInputMessage="1" sqref="DM4:DM1048576">
      <formula1>INDIRECT(SUBSTITUTE(A4,"-","_")&amp;"item_volume_unit_of_measure")</formula1>
    </dataValidation>
    <dataValidation type="list" allowBlank="1" showInputMessage="1" sqref="DO4:DO1048576">
      <formula1>INDIRECT(SUBSTITUTE(A4,"-","_")&amp;"ghs_classification_class1")</formula1>
    </dataValidation>
    <dataValidation type="list" allowBlank="1" showInputMessage="1" sqref="DP4:DP1048576">
      <formula1>INDIRECT(SUBSTITUTE(A4,"-","_")&amp;"ghs_classification_class2")</formula1>
    </dataValidation>
    <dataValidation type="list" allowBlank="1" showInputMessage="1" sqref="DQ4:DQ1048576">
      <formula1>INDIRECT(SUBSTITUTE(A4,"-","_")&amp;"ghs_classification_class3")</formula1>
    </dataValidation>
    <dataValidation type="list" allowBlank="1" showInputMessage="1" sqref="DR4:DR1048576">
      <formula1>INDIRECT(SUBSTITUTE(A4,"-","_")&amp;"condition_type")</formula1>
    </dataValidation>
    <dataValidation type="list" allowBlank="1" showInputMessage="1" sqref="DT4:DT1048576">
      <formula1>INDIRECT(SUBSTITUTE(A4,"-","_")&amp;"currency")</formula1>
    </dataValidation>
    <dataValidation type="list" allowBlank="1" showInputMessage="1" sqref="EB4:EB1048576">
      <formula1>INDIRECT(SUBSTITUTE(A4,"-","_")&amp;"offering_can_be_gift_messaged")</formula1>
    </dataValidation>
    <dataValidation type="list" allowBlank="1" showInputMessage="1" sqref="EC4:EC1048576">
      <formula1>INDIRECT(SUBSTITUTE(A4,"-","_")&amp;"offering_can_be_giftwrapped")</formula1>
    </dataValidation>
    <dataValidation type="list" allowBlank="1" showInputMessage="1" sqref="ED4:ED1048576">
      <formula1>INDIRECT(SUBSTITUTE(A4,"-","_")&amp;"is_discontinued_by_manufacturer")</formula1>
    </dataValidation>
    <dataValidation type="list" allowBlank="1" showInputMessage="1" sqref="EJ4:EJ1048576">
      <formula1>merchant_shipping_group_name</formula1>
    </dataValidation>
    <dataValidation type="list" allowBlank="1" showInputMessage="1" sqref="EM4:EM1048576">
      <formula1>INDIRECT(SUBSTITUTE(A4,"-","_")&amp;"product_tax_code")</formula1>
    </dataValidation>
    <dataValidation type="list" allowBlank="1" showInputMessage="1" sqref="EO4:EO1048576">
      <formula1>INDIRECT(SUBSTITUTE(A4,"-","_")&amp;"quantity_price_type")</formula1>
    </dataValidation>
    <dataValidation type="list" allowBlank="1" showInputMessage="1" sqref="EZ4:EZ1048576">
      <formula1>INDIRECT(SUBSTITUTE(A4,"-","_")&amp;"progressive_discount_type")</formula1>
    </dataValidation>
    <dataValidation type="list" allowBlank="1" showInputMessage="1" sqref="FI4:FI1048576">
      <formula1>INDIRECT(SUBSTITUTE(A4,"-","_")&amp;"pricing_action")</formula1>
    </dataValidation>
    <dataValidation type="list" allowBlank="1" showInputMessage="1" sqref="CI4:CJ1048576">
      <formula1>INDIRECT(SUBSTITUTE(A4,"-","_")&amp;"country_of_origin")</formula1>
    </dataValidation>
  </dataValidations>
  <hyperlinks>
    <hyperlink ref="V5" r:id="rId1" display="https://eppic.s3.amazonaws.com/ES01749BK-L1.jpg"/>
    <hyperlink ref="V6" r:id="rId1" display="https://eppic.s3.amazonaws.com/ES01749BK-L1.jpg"/>
    <hyperlink ref="W5" r:id="rId2" display="https://eppic.s3.amazonaws.com/ES01749BK-L2.jpg"/>
    <hyperlink ref="W6" r:id="rId2" display="https://eppic.s3.amazonaws.com/ES01749BK-L2.jpg"/>
    <hyperlink ref="X5" r:id="rId3" display="https://eppic.s3.amazonaws.com/ES01749BK-L3.jpg"/>
    <hyperlink ref="X6" r:id="rId3" display="https://eppic.s3.amazonaws.com/ES01749BK-L3.jpg"/>
    <hyperlink ref="Y5" r:id="rId4" display="https://eppic.s3.amazonaws.com/ES01749BK-L4.jpg"/>
    <hyperlink ref="Y6" r:id="rId4" display="https://eppic.s3.amazonaws.com/ES01749BK-L4.jpg"/>
    <hyperlink ref="Z5" r:id="rId5" display="https://eppic.s3.amazonaws.com/ES01749BK-L5.jpg"/>
    <hyperlink ref="Z6" r:id="rId5" display="https://eppic.s3.amazonaws.com/ES01749BK-L5.jpg"/>
    <hyperlink ref="AA5" r:id="rId6" display="https://eppic.s3.amazonaws.com/ES01749BK-L.jpg"/>
    <hyperlink ref="AA6" r:id="rId6" display="https://eppic.s3.amazonaws.com/ES01749BK-L.jpg"/>
    <hyperlink ref="AB5" r:id="rId7" display="https://eppic.s3.amazonaws.com/ES01749-S.jpg"/>
    <hyperlink ref="AB6" r:id="rId7" display="https://eppic.s3.amazonaws.com/ES01749-S.jpg"/>
  </hyperlink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O271"/>
  <sheetViews>
    <sheetView workbookViewId="0">
      <selection activeCell="A1" sqref="A1"/>
    </sheetView>
  </sheetViews>
  <sheetFormatPr defaultColWidth="9" defaultRowHeight="16.8"/>
  <sheetData>
    <row r="1" spans="1:67">
      <c r="A1" t="s">
        <v>1285</v>
      </c>
      <c r="B1" t="s">
        <v>1285</v>
      </c>
      <c r="C1" t="s">
        <v>1285</v>
      </c>
      <c r="D1" t="s">
        <v>1285</v>
      </c>
      <c r="E1" t="s">
        <v>1285</v>
      </c>
      <c r="F1" t="s">
        <v>1285</v>
      </c>
      <c r="G1" t="s">
        <v>1285</v>
      </c>
      <c r="H1" t="s">
        <v>1285</v>
      </c>
      <c r="I1" t="s">
        <v>1285</v>
      </c>
      <c r="J1" t="s">
        <v>1285</v>
      </c>
      <c r="K1" t="s">
        <v>1285</v>
      </c>
      <c r="L1" t="s">
        <v>1285</v>
      </c>
      <c r="M1" t="s">
        <v>1285</v>
      </c>
      <c r="N1" t="s">
        <v>1285</v>
      </c>
      <c r="O1" t="s">
        <v>1285</v>
      </c>
      <c r="P1" t="s">
        <v>1285</v>
      </c>
      <c r="Q1" t="s">
        <v>1285</v>
      </c>
      <c r="R1" t="s">
        <v>1285</v>
      </c>
      <c r="S1" t="s">
        <v>1285</v>
      </c>
      <c r="T1" t="s">
        <v>1285</v>
      </c>
      <c r="U1" t="s">
        <v>1285</v>
      </c>
      <c r="V1" t="s">
        <v>1285</v>
      </c>
      <c r="W1" t="s">
        <v>1285</v>
      </c>
      <c r="X1" t="s">
        <v>1285</v>
      </c>
      <c r="Y1" t="s">
        <v>1285</v>
      </c>
      <c r="Z1" t="s">
        <v>1285</v>
      </c>
      <c r="AA1" t="s">
        <v>1285</v>
      </c>
      <c r="AB1" t="s">
        <v>1285</v>
      </c>
      <c r="AC1" t="s">
        <v>1285</v>
      </c>
      <c r="AD1" t="s">
        <v>1285</v>
      </c>
      <c r="AE1" t="s">
        <v>1285</v>
      </c>
      <c r="AF1" t="s">
        <v>1285</v>
      </c>
      <c r="AG1" t="s">
        <v>1285</v>
      </c>
      <c r="AH1" t="s">
        <v>1285</v>
      </c>
      <c r="AI1" t="s">
        <v>1285</v>
      </c>
      <c r="AJ1" t="s">
        <v>1285</v>
      </c>
      <c r="AK1" t="s">
        <v>1285</v>
      </c>
      <c r="AL1" t="s">
        <v>1285</v>
      </c>
      <c r="AM1" t="s">
        <v>1285</v>
      </c>
      <c r="AN1" t="s">
        <v>1285</v>
      </c>
      <c r="AO1" t="s">
        <v>1285</v>
      </c>
      <c r="AP1" t="s">
        <v>1285</v>
      </c>
      <c r="AQ1" t="s">
        <v>1285</v>
      </c>
      <c r="AR1" t="s">
        <v>1285</v>
      </c>
      <c r="AS1" t="s">
        <v>1285</v>
      </c>
      <c r="AT1" t="s">
        <v>1285</v>
      </c>
      <c r="AU1" t="s">
        <v>1285</v>
      </c>
      <c r="AV1" t="s">
        <v>1285</v>
      </c>
      <c r="AW1" t="s">
        <v>1285</v>
      </c>
      <c r="AX1" t="s">
        <v>1285</v>
      </c>
      <c r="AY1" t="s">
        <v>1285</v>
      </c>
      <c r="AZ1" t="s">
        <v>1285</v>
      </c>
      <c r="BA1" t="s">
        <v>1285</v>
      </c>
      <c r="BB1" t="s">
        <v>1285</v>
      </c>
      <c r="BC1" t="s">
        <v>1285</v>
      </c>
      <c r="BD1" t="s">
        <v>1285</v>
      </c>
      <c r="BE1" t="s">
        <v>1285</v>
      </c>
      <c r="BF1" t="s">
        <v>1285</v>
      </c>
      <c r="BG1" t="s">
        <v>1285</v>
      </c>
      <c r="BH1" t="s">
        <v>1285</v>
      </c>
      <c r="BI1" t="s">
        <v>1285</v>
      </c>
      <c r="BJ1" t="s">
        <v>1285</v>
      </c>
      <c r="BK1" t="s">
        <v>1285</v>
      </c>
      <c r="BL1" t="s">
        <v>1285</v>
      </c>
      <c r="BM1" t="s">
        <v>1285</v>
      </c>
      <c r="BN1" t="s">
        <v>1285</v>
      </c>
      <c r="BO1" t="s">
        <v>1285</v>
      </c>
    </row>
    <row r="2" spans="1:67">
      <c r="B2" t="s">
        <v>1237</v>
      </c>
      <c r="C2" t="s">
        <v>1237</v>
      </c>
      <c r="D2" t="s">
        <v>1237</v>
      </c>
      <c r="E2" t="s">
        <v>1237</v>
      </c>
      <c r="F2" t="s">
        <v>1237</v>
      </c>
      <c r="G2" t="s">
        <v>1237</v>
      </c>
      <c r="H2" t="s">
        <v>1237</v>
      </c>
      <c r="I2" t="s">
        <v>1237</v>
      </c>
      <c r="J2" t="s">
        <v>1237</v>
      </c>
      <c r="K2" t="s">
        <v>1237</v>
      </c>
      <c r="L2" t="s">
        <v>1237</v>
      </c>
      <c r="M2" t="s">
        <v>1237</v>
      </c>
      <c r="N2" t="s">
        <v>1237</v>
      </c>
      <c r="O2" t="s">
        <v>1237</v>
      </c>
      <c r="P2" t="s">
        <v>1237</v>
      </c>
      <c r="Q2" t="s">
        <v>1237</v>
      </c>
      <c r="R2" t="s">
        <v>1237</v>
      </c>
      <c r="S2" t="s">
        <v>1237</v>
      </c>
      <c r="T2" t="s">
        <v>1237</v>
      </c>
      <c r="U2" t="s">
        <v>1237</v>
      </c>
      <c r="V2" t="s">
        <v>1237</v>
      </c>
      <c r="W2" t="s">
        <v>1237</v>
      </c>
      <c r="X2" t="s">
        <v>1237</v>
      </c>
      <c r="Y2" t="s">
        <v>1237</v>
      </c>
      <c r="Z2" t="s">
        <v>1237</v>
      </c>
      <c r="AA2" t="s">
        <v>1237</v>
      </c>
      <c r="AB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BA2" t="s">
        <v>1237</v>
      </c>
      <c r="BB2" t="s">
        <v>1237</v>
      </c>
      <c r="BC2" t="s">
        <v>1237</v>
      </c>
      <c r="BD2" t="s">
        <v>1237</v>
      </c>
      <c r="BE2" t="s">
        <v>1237</v>
      </c>
      <c r="BG2" t="s">
        <v>1237</v>
      </c>
      <c r="BH2" t="s">
        <v>1237</v>
      </c>
      <c r="BI2" t="s">
        <v>1237</v>
      </c>
      <c r="BJ2" t="s">
        <v>1237</v>
      </c>
      <c r="BK2" t="s">
        <v>1237</v>
      </c>
      <c r="BL2" t="s">
        <v>1237</v>
      </c>
      <c r="BM2" t="s">
        <v>1237</v>
      </c>
      <c r="BN2" t="s">
        <v>1237</v>
      </c>
      <c r="BO2" t="s">
        <v>1237</v>
      </c>
    </row>
    <row r="3" spans="1:67">
      <c r="A3" t="s">
        <v>1087</v>
      </c>
      <c r="B3" t="s">
        <v>1119</v>
      </c>
      <c r="C3" t="s">
        <v>1131</v>
      </c>
      <c r="D3" t="s">
        <v>1135</v>
      </c>
      <c r="E3" t="s">
        <v>1167</v>
      </c>
      <c r="F3" t="s">
        <v>1180</v>
      </c>
      <c r="G3" t="s">
        <v>1091</v>
      </c>
      <c r="H3" t="s">
        <v>1120</v>
      </c>
      <c r="I3" t="s">
        <v>1130</v>
      </c>
      <c r="J3" t="s">
        <v>1105</v>
      </c>
      <c r="K3" t="s">
        <v>1196</v>
      </c>
      <c r="L3" t="s">
        <v>1183</v>
      </c>
      <c r="M3" t="s">
        <v>1184</v>
      </c>
      <c r="N3" t="s">
        <v>1185</v>
      </c>
      <c r="O3" t="s">
        <v>1186</v>
      </c>
      <c r="P3" t="s">
        <v>1187</v>
      </c>
      <c r="Q3" t="s">
        <v>1168</v>
      </c>
      <c r="R3" t="s">
        <v>1170</v>
      </c>
      <c r="S3" t="s">
        <v>1162</v>
      </c>
      <c r="T3" t="s">
        <v>1121</v>
      </c>
      <c r="U3" t="s">
        <v>1136</v>
      </c>
      <c r="V3" t="s">
        <v>1095</v>
      </c>
      <c r="W3" t="s">
        <v>1169</v>
      </c>
      <c r="X3" t="s">
        <v>1103</v>
      </c>
      <c r="Y3" t="s">
        <v>1150</v>
      </c>
      <c r="Z3" t="s">
        <v>1166</v>
      </c>
      <c r="AA3" t="s">
        <v>1155</v>
      </c>
      <c r="AB3" t="s">
        <v>1138</v>
      </c>
      <c r="AC3" t="s">
        <v>1163</v>
      </c>
      <c r="AD3" t="s">
        <v>1227</v>
      </c>
      <c r="AE3" t="s">
        <v>1033</v>
      </c>
      <c r="AF3" t="s">
        <v>1157</v>
      </c>
      <c r="AG3" t="s">
        <v>1099</v>
      </c>
      <c r="AH3" t="s">
        <v>1104</v>
      </c>
      <c r="AI3" t="s">
        <v>1193</v>
      </c>
      <c r="AJ3" t="s">
        <v>1194</v>
      </c>
      <c r="AK3" t="s">
        <v>1195</v>
      </c>
      <c r="AL3" t="s">
        <v>1133</v>
      </c>
      <c r="AM3" t="s">
        <v>1205</v>
      </c>
      <c r="AN3" t="s">
        <v>1031</v>
      </c>
      <c r="AO3" t="s">
        <v>1171</v>
      </c>
      <c r="AP3" t="s">
        <v>1172</v>
      </c>
      <c r="AQ3" t="s">
        <v>1173</v>
      </c>
      <c r="AR3" t="s">
        <v>1093</v>
      </c>
      <c r="AS3" t="s">
        <v>1129</v>
      </c>
      <c r="AT3" t="s">
        <v>1165</v>
      </c>
      <c r="AU3" t="s">
        <v>1132</v>
      </c>
      <c r="AV3" t="s">
        <v>1102</v>
      </c>
      <c r="AW3" t="s">
        <v>215</v>
      </c>
      <c r="AX3" t="s">
        <v>1144</v>
      </c>
      <c r="AY3" t="s">
        <v>1026</v>
      </c>
      <c r="AZ3" t="s">
        <v>1212</v>
      </c>
      <c r="BA3" t="s">
        <v>990</v>
      </c>
      <c r="BB3" t="s">
        <v>1206</v>
      </c>
      <c r="BC3" t="s">
        <v>1038</v>
      </c>
      <c r="BD3" t="s">
        <v>1040</v>
      </c>
      <c r="BE3" t="s">
        <v>1236</v>
      </c>
      <c r="BF3" t="s">
        <v>1089</v>
      </c>
      <c r="BG3" t="s">
        <v>1164</v>
      </c>
      <c r="BH3" t="s">
        <v>1117</v>
      </c>
      <c r="BI3" t="s">
        <v>1156</v>
      </c>
      <c r="BJ3" t="s">
        <v>1216</v>
      </c>
      <c r="BK3" t="s">
        <v>1214</v>
      </c>
      <c r="BL3" t="s">
        <v>1204</v>
      </c>
      <c r="BM3" t="s">
        <v>1134</v>
      </c>
      <c r="BN3" t="s">
        <v>1100</v>
      </c>
      <c r="BO3" t="s">
        <v>1123</v>
      </c>
    </row>
    <row r="4" spans="1:67">
      <c r="A4" t="s">
        <v>1237</v>
      </c>
      <c r="B4" t="s">
        <v>1286</v>
      </c>
      <c r="C4" t="s">
        <v>1271</v>
      </c>
      <c r="D4" t="s">
        <v>1287</v>
      </c>
      <c r="E4" t="s">
        <v>1288</v>
      </c>
      <c r="F4" t="s">
        <v>1289</v>
      </c>
      <c r="G4" t="s">
        <v>1290</v>
      </c>
      <c r="H4" t="s">
        <v>1291</v>
      </c>
      <c r="I4" t="s">
        <v>1292</v>
      </c>
      <c r="J4" t="s">
        <v>838</v>
      </c>
      <c r="K4" t="s">
        <v>1293</v>
      </c>
      <c r="L4" t="s">
        <v>1294</v>
      </c>
      <c r="M4" t="s">
        <v>1294</v>
      </c>
      <c r="N4" t="s">
        <v>1294</v>
      </c>
      <c r="O4" t="s">
        <v>1294</v>
      </c>
      <c r="P4" t="s">
        <v>1294</v>
      </c>
      <c r="Q4" t="s">
        <v>1295</v>
      </c>
      <c r="R4" t="s">
        <v>1296</v>
      </c>
      <c r="S4" t="s">
        <v>1297</v>
      </c>
      <c r="T4" t="s">
        <v>1298</v>
      </c>
      <c r="U4" t="s">
        <v>1299</v>
      </c>
      <c r="V4" t="s">
        <v>1300</v>
      </c>
      <c r="W4" t="s">
        <v>1295</v>
      </c>
      <c r="X4" t="s">
        <v>1301</v>
      </c>
      <c r="Y4" t="s">
        <v>1302</v>
      </c>
      <c r="Z4" t="s">
        <v>1303</v>
      </c>
      <c r="AA4" t="s">
        <v>1297</v>
      </c>
      <c r="AB4" t="s">
        <v>1304</v>
      </c>
      <c r="AC4" t="s">
        <v>1305</v>
      </c>
      <c r="AD4" t="s">
        <v>1306</v>
      </c>
      <c r="AE4" t="s">
        <v>1297</v>
      </c>
      <c r="AF4" t="s">
        <v>1307</v>
      </c>
      <c r="AG4" t="s">
        <v>1308</v>
      </c>
      <c r="AH4" t="s">
        <v>1309</v>
      </c>
      <c r="AI4" t="s">
        <v>1310</v>
      </c>
      <c r="AJ4" t="s">
        <v>1310</v>
      </c>
      <c r="AK4" t="s">
        <v>1310</v>
      </c>
      <c r="AL4" s="1" t="s">
        <v>1311</v>
      </c>
      <c r="AM4" t="s">
        <v>838</v>
      </c>
      <c r="AN4" t="s">
        <v>1312</v>
      </c>
      <c r="AO4" t="s">
        <v>1313</v>
      </c>
      <c r="AP4" t="s">
        <v>1313</v>
      </c>
      <c r="AQ4" t="s">
        <v>1313</v>
      </c>
      <c r="AR4" t="s">
        <v>1314</v>
      </c>
      <c r="AS4" t="s">
        <v>1269</v>
      </c>
      <c r="AT4" t="s">
        <v>1315</v>
      </c>
      <c r="AU4" t="s">
        <v>1316</v>
      </c>
      <c r="AV4" t="s">
        <v>1317</v>
      </c>
      <c r="AW4" t="s">
        <v>1318</v>
      </c>
      <c r="AX4" t="s">
        <v>1319</v>
      </c>
      <c r="AY4" t="s">
        <v>1297</v>
      </c>
      <c r="AZ4" t="s">
        <v>1320</v>
      </c>
      <c r="BA4" t="s">
        <v>1321</v>
      </c>
      <c r="BB4" t="s">
        <v>838</v>
      </c>
      <c r="BC4" t="s">
        <v>1297</v>
      </c>
      <c r="BD4" t="s">
        <v>1322</v>
      </c>
      <c r="BE4" t="s">
        <v>1323</v>
      </c>
      <c r="BF4" t="s">
        <v>1324</v>
      </c>
      <c r="BG4" t="s">
        <v>1325</v>
      </c>
      <c r="BH4" t="s">
        <v>1249</v>
      </c>
      <c r="BI4" t="s">
        <v>1305</v>
      </c>
      <c r="BJ4" t="s">
        <v>1306</v>
      </c>
      <c r="BK4" t="s">
        <v>1326</v>
      </c>
      <c r="BL4" t="s">
        <v>838</v>
      </c>
      <c r="BM4" s="1" t="s">
        <v>1311</v>
      </c>
      <c r="BN4" t="s">
        <v>1327</v>
      </c>
      <c r="BO4" s="1" t="s">
        <v>1328</v>
      </c>
    </row>
    <row r="5" spans="1:67">
      <c r="B5" t="s">
        <v>932</v>
      </c>
      <c r="C5" t="s">
        <v>1329</v>
      </c>
      <c r="D5" t="s">
        <v>1273</v>
      </c>
      <c r="E5" t="s">
        <v>1330</v>
      </c>
      <c r="F5" t="s">
        <v>1331</v>
      </c>
      <c r="G5" t="s">
        <v>1332</v>
      </c>
      <c r="H5" t="s">
        <v>1333</v>
      </c>
      <c r="I5" t="s">
        <v>1270</v>
      </c>
      <c r="J5" t="s">
        <v>549</v>
      </c>
      <c r="K5" t="s">
        <v>1334</v>
      </c>
      <c r="L5" t="s">
        <v>1335</v>
      </c>
      <c r="M5" t="s">
        <v>1335</v>
      </c>
      <c r="N5" t="s">
        <v>1335</v>
      </c>
      <c r="O5" t="s">
        <v>1335</v>
      </c>
      <c r="P5" t="s">
        <v>1335</v>
      </c>
      <c r="Q5" t="s">
        <v>1279</v>
      </c>
      <c r="R5" t="s">
        <v>1336</v>
      </c>
      <c r="S5" t="s">
        <v>1275</v>
      </c>
      <c r="T5" t="s">
        <v>1251</v>
      </c>
      <c r="U5" t="s">
        <v>1337</v>
      </c>
      <c r="V5" t="s">
        <v>1338</v>
      </c>
      <c r="W5" t="s">
        <v>1279</v>
      </c>
      <c r="X5" s="1" t="s">
        <v>1339</v>
      </c>
      <c r="Y5" t="s">
        <v>1340</v>
      </c>
      <c r="Z5" t="s">
        <v>1341</v>
      </c>
      <c r="AA5" t="s">
        <v>1275</v>
      </c>
      <c r="AB5" t="s">
        <v>1342</v>
      </c>
      <c r="AC5" t="s">
        <v>1343</v>
      </c>
      <c r="AD5" t="s">
        <v>1344</v>
      </c>
      <c r="AE5" t="s">
        <v>1275</v>
      </c>
      <c r="AF5" t="s">
        <v>1345</v>
      </c>
      <c r="AG5" t="s">
        <v>1346</v>
      </c>
      <c r="AH5" t="s">
        <v>1248</v>
      </c>
      <c r="AI5" t="s">
        <v>1347</v>
      </c>
      <c r="AJ5" t="s">
        <v>1347</v>
      </c>
      <c r="AK5" t="s">
        <v>1347</v>
      </c>
      <c r="AL5" s="1" t="s">
        <v>1348</v>
      </c>
      <c r="AM5" t="s">
        <v>549</v>
      </c>
      <c r="AN5" t="s">
        <v>1349</v>
      </c>
      <c r="AO5" t="s">
        <v>1350</v>
      </c>
      <c r="AP5" t="s">
        <v>1350</v>
      </c>
      <c r="AQ5" t="s">
        <v>1350</v>
      </c>
      <c r="AR5" t="s">
        <v>1351</v>
      </c>
      <c r="AT5" t="s">
        <v>1352</v>
      </c>
      <c r="AU5" t="s">
        <v>1353</v>
      </c>
      <c r="AV5" t="s">
        <v>1354</v>
      </c>
      <c r="AW5" t="s">
        <v>1355</v>
      </c>
      <c r="AX5" t="s">
        <v>1356</v>
      </c>
      <c r="AY5" t="s">
        <v>1275</v>
      </c>
      <c r="AZ5" s="1" t="s">
        <v>1357</v>
      </c>
      <c r="BA5" t="s">
        <v>1358</v>
      </c>
      <c r="BB5" t="s">
        <v>549</v>
      </c>
      <c r="BC5" t="s">
        <v>1275</v>
      </c>
      <c r="BD5" t="s">
        <v>1359</v>
      </c>
      <c r="BE5" t="s">
        <v>1360</v>
      </c>
      <c r="BF5" t="s">
        <v>1239</v>
      </c>
      <c r="BG5" t="s">
        <v>1361</v>
      </c>
      <c r="BH5" t="s">
        <v>1249</v>
      </c>
      <c r="BI5" t="s">
        <v>1343</v>
      </c>
      <c r="BJ5" t="s">
        <v>1344</v>
      </c>
      <c r="BK5" t="s">
        <v>1362</v>
      </c>
      <c r="BL5" t="s">
        <v>549</v>
      </c>
      <c r="BM5" s="1" t="s">
        <v>1348</v>
      </c>
      <c r="BN5" t="s">
        <v>1363</v>
      </c>
      <c r="BO5" s="1" t="s">
        <v>1364</v>
      </c>
    </row>
    <row r="6" spans="1:67">
      <c r="B6" t="s">
        <v>1365</v>
      </c>
      <c r="C6" t="s">
        <v>1366</v>
      </c>
      <c r="E6" t="s">
        <v>1367</v>
      </c>
      <c r="F6" t="s">
        <v>1368</v>
      </c>
      <c r="G6" t="s">
        <v>1369</v>
      </c>
      <c r="H6" t="s">
        <v>1370</v>
      </c>
      <c r="I6" t="s">
        <v>1371</v>
      </c>
      <c r="K6" t="s">
        <v>1372</v>
      </c>
      <c r="L6" t="s">
        <v>1373</v>
      </c>
      <c r="M6" t="s">
        <v>1373</v>
      </c>
      <c r="N6" t="s">
        <v>1373</v>
      </c>
      <c r="O6" t="s">
        <v>1373</v>
      </c>
      <c r="P6" t="s">
        <v>1373</v>
      </c>
      <c r="R6" t="s">
        <v>1374</v>
      </c>
      <c r="S6" t="s">
        <v>1375</v>
      </c>
      <c r="T6" t="s">
        <v>1376</v>
      </c>
      <c r="U6" t="s">
        <v>1273</v>
      </c>
      <c r="V6" t="s">
        <v>1377</v>
      </c>
      <c r="X6" s="1" t="s">
        <v>1378</v>
      </c>
      <c r="Z6" t="s">
        <v>1379</v>
      </c>
      <c r="AA6" t="s">
        <v>1375</v>
      </c>
      <c r="AB6" t="s">
        <v>1380</v>
      </c>
      <c r="AC6" t="s">
        <v>1381</v>
      </c>
      <c r="AE6" t="s">
        <v>1375</v>
      </c>
      <c r="AG6" t="s">
        <v>1244</v>
      </c>
      <c r="AH6" t="s">
        <v>1382</v>
      </c>
      <c r="AI6" t="s">
        <v>1383</v>
      </c>
      <c r="AJ6" t="s">
        <v>1383</v>
      </c>
      <c r="AK6" t="s">
        <v>1383</v>
      </c>
      <c r="AL6" s="1" t="s">
        <v>1339</v>
      </c>
      <c r="AN6" t="s">
        <v>1384</v>
      </c>
      <c r="AO6" t="s">
        <v>1385</v>
      </c>
      <c r="AP6" t="s">
        <v>1385</v>
      </c>
      <c r="AQ6" t="s">
        <v>1385</v>
      </c>
      <c r="AR6" t="s">
        <v>1386</v>
      </c>
      <c r="AT6" t="s">
        <v>1387</v>
      </c>
      <c r="AU6" t="s">
        <v>1272</v>
      </c>
      <c r="AV6" t="s">
        <v>1247</v>
      </c>
      <c r="AW6" t="s">
        <v>1388</v>
      </c>
      <c r="AX6" t="s">
        <v>1389</v>
      </c>
      <c r="AY6" t="s">
        <v>1375</v>
      </c>
      <c r="AZ6" t="s">
        <v>1390</v>
      </c>
      <c r="BC6" t="s">
        <v>1375</v>
      </c>
      <c r="BD6" t="s">
        <v>1391</v>
      </c>
      <c r="BE6" t="s">
        <v>1392</v>
      </c>
      <c r="BG6" t="s">
        <v>1393</v>
      </c>
      <c r="BH6" t="s">
        <v>1267</v>
      </c>
      <c r="BI6" t="s">
        <v>1381</v>
      </c>
      <c r="BK6" t="s">
        <v>1394</v>
      </c>
      <c r="BM6" s="1" t="s">
        <v>1339</v>
      </c>
      <c r="BN6" t="s">
        <v>1395</v>
      </c>
      <c r="BO6" s="1" t="s">
        <v>1396</v>
      </c>
    </row>
    <row r="7" spans="1:67">
      <c r="C7" t="s">
        <v>1397</v>
      </c>
      <c r="E7" t="s">
        <v>1398</v>
      </c>
      <c r="G7" t="s">
        <v>1399</v>
      </c>
      <c r="H7" t="s">
        <v>1400</v>
      </c>
      <c r="K7" t="s">
        <v>1401</v>
      </c>
      <c r="L7" t="s">
        <v>1280</v>
      </c>
      <c r="M7" t="s">
        <v>1280</v>
      </c>
      <c r="N7" t="s">
        <v>1280</v>
      </c>
      <c r="O7" t="s">
        <v>1280</v>
      </c>
      <c r="P7" t="s">
        <v>1280</v>
      </c>
      <c r="R7" t="s">
        <v>1402</v>
      </c>
      <c r="S7" t="s">
        <v>1403</v>
      </c>
      <c r="U7" t="s">
        <v>1404</v>
      </c>
      <c r="V7" t="s">
        <v>1405</v>
      </c>
      <c r="X7" s="1" t="s">
        <v>1406</v>
      </c>
      <c r="Z7" t="s">
        <v>1407</v>
      </c>
      <c r="AA7" t="s">
        <v>1403</v>
      </c>
      <c r="AB7" t="s">
        <v>1408</v>
      </c>
      <c r="AC7" t="s">
        <v>1409</v>
      </c>
      <c r="AE7" t="s">
        <v>1403</v>
      </c>
      <c r="AG7" t="s">
        <v>1410</v>
      </c>
      <c r="AH7" t="s">
        <v>1411</v>
      </c>
      <c r="AI7" t="s">
        <v>1412</v>
      </c>
      <c r="AJ7" t="s">
        <v>1412</v>
      </c>
      <c r="AK7" t="s">
        <v>1412</v>
      </c>
      <c r="AL7" s="1" t="s">
        <v>1378</v>
      </c>
      <c r="AN7" t="s">
        <v>1413</v>
      </c>
      <c r="AO7" t="s">
        <v>1414</v>
      </c>
      <c r="AP7" t="s">
        <v>1414</v>
      </c>
      <c r="AQ7" t="s">
        <v>1414</v>
      </c>
      <c r="AR7" t="s">
        <v>1415</v>
      </c>
      <c r="AT7" t="s">
        <v>1416</v>
      </c>
      <c r="AV7" t="s">
        <v>1417</v>
      </c>
      <c r="AW7" t="s">
        <v>1418</v>
      </c>
      <c r="AX7" t="s">
        <v>1419</v>
      </c>
      <c r="AY7" t="s">
        <v>1403</v>
      </c>
      <c r="AZ7" t="s">
        <v>1420</v>
      </c>
      <c r="BC7" t="s">
        <v>1403</v>
      </c>
      <c r="BD7" t="s">
        <v>1421</v>
      </c>
      <c r="BG7" t="s">
        <v>1422</v>
      </c>
      <c r="BH7" t="s">
        <v>1366</v>
      </c>
      <c r="BI7" t="s">
        <v>1409</v>
      </c>
      <c r="BK7" t="s">
        <v>1423</v>
      </c>
      <c r="BM7" s="1" t="s">
        <v>1378</v>
      </c>
      <c r="BN7" t="s">
        <v>1424</v>
      </c>
      <c r="BO7" s="1" t="s">
        <v>1425</v>
      </c>
    </row>
    <row r="8" spans="1:67">
      <c r="E8" t="s">
        <v>1426</v>
      </c>
      <c r="G8" t="s">
        <v>1427</v>
      </c>
      <c r="H8" t="s">
        <v>1428</v>
      </c>
      <c r="K8" t="s">
        <v>1429</v>
      </c>
      <c r="L8" t="s">
        <v>1430</v>
      </c>
      <c r="M8" t="s">
        <v>1430</v>
      </c>
      <c r="N8" t="s">
        <v>1430</v>
      </c>
      <c r="O8" t="s">
        <v>1430</v>
      </c>
      <c r="P8" t="s">
        <v>1430</v>
      </c>
      <c r="R8" t="s">
        <v>1431</v>
      </c>
      <c r="S8" t="s">
        <v>1432</v>
      </c>
      <c r="U8" t="s">
        <v>1433</v>
      </c>
      <c r="V8" t="s">
        <v>1434</v>
      </c>
      <c r="X8" s="1" t="s">
        <v>1435</v>
      </c>
      <c r="Z8" t="s">
        <v>1436</v>
      </c>
      <c r="AA8" t="s">
        <v>1432</v>
      </c>
      <c r="AB8" t="s">
        <v>1437</v>
      </c>
      <c r="AC8" t="s">
        <v>1438</v>
      </c>
      <c r="AE8" t="s">
        <v>1432</v>
      </c>
      <c r="AI8" t="s">
        <v>1439</v>
      </c>
      <c r="AJ8" t="s">
        <v>1439</v>
      </c>
      <c r="AK8" t="s">
        <v>1439</v>
      </c>
      <c r="AL8" s="1" t="s">
        <v>1406</v>
      </c>
      <c r="AN8" t="s">
        <v>1440</v>
      </c>
      <c r="AO8" t="s">
        <v>1441</v>
      </c>
      <c r="AP8" t="s">
        <v>1441</v>
      </c>
      <c r="AQ8" t="s">
        <v>1441</v>
      </c>
      <c r="AR8" t="s">
        <v>1442</v>
      </c>
      <c r="AT8" t="s">
        <v>1443</v>
      </c>
      <c r="AV8" t="s">
        <v>1444</v>
      </c>
      <c r="AW8" t="s">
        <v>1445</v>
      </c>
      <c r="AY8" t="s">
        <v>1432</v>
      </c>
      <c r="AZ8" t="s">
        <v>1446</v>
      </c>
      <c r="BC8" t="s">
        <v>1432</v>
      </c>
      <c r="BD8" t="s">
        <v>1447</v>
      </c>
      <c r="BG8" t="s">
        <v>1448</v>
      </c>
      <c r="BI8" t="s">
        <v>1438</v>
      </c>
      <c r="BK8" t="s">
        <v>1449</v>
      </c>
      <c r="BM8" s="1" t="s">
        <v>1406</v>
      </c>
      <c r="BN8" t="s">
        <v>1450</v>
      </c>
      <c r="BO8" s="1" t="s">
        <v>1451</v>
      </c>
    </row>
    <row r="9" spans="1:67">
      <c r="E9" t="s">
        <v>1452</v>
      </c>
      <c r="H9" t="s">
        <v>1453</v>
      </c>
      <c r="K9" t="s">
        <v>1454</v>
      </c>
      <c r="L9" t="s">
        <v>1455</v>
      </c>
      <c r="M9" t="s">
        <v>1455</v>
      </c>
      <c r="N9" t="s">
        <v>1455</v>
      </c>
      <c r="O9" t="s">
        <v>1455</v>
      </c>
      <c r="P9" t="s">
        <v>1455</v>
      </c>
      <c r="R9" t="s">
        <v>1456</v>
      </c>
      <c r="S9" t="s">
        <v>1457</v>
      </c>
      <c r="V9" t="s">
        <v>1458</v>
      </c>
      <c r="X9" s="1" t="s">
        <v>1459</v>
      </c>
      <c r="Z9" t="s">
        <v>1460</v>
      </c>
      <c r="AA9" t="s">
        <v>1457</v>
      </c>
      <c r="AB9" t="s">
        <v>1461</v>
      </c>
      <c r="AC9" t="s">
        <v>1462</v>
      </c>
      <c r="AE9" t="s">
        <v>1457</v>
      </c>
      <c r="AI9" t="s">
        <v>1463</v>
      </c>
      <c r="AJ9" t="s">
        <v>1463</v>
      </c>
      <c r="AK9" t="s">
        <v>1463</v>
      </c>
      <c r="AL9" s="1" t="s">
        <v>1435</v>
      </c>
      <c r="AN9" t="s">
        <v>1464</v>
      </c>
      <c r="AO9" t="s">
        <v>1465</v>
      </c>
      <c r="AP9" t="s">
        <v>1465</v>
      </c>
      <c r="AQ9" t="s">
        <v>1465</v>
      </c>
      <c r="AR9" t="s">
        <v>1466</v>
      </c>
      <c r="AT9" t="s">
        <v>1467</v>
      </c>
      <c r="AV9" t="s">
        <v>1468</v>
      </c>
      <c r="AW9" t="s">
        <v>1469</v>
      </c>
      <c r="AY9" t="s">
        <v>1457</v>
      </c>
      <c r="AZ9" t="s">
        <v>1470</v>
      </c>
      <c r="BC9" t="s">
        <v>1457</v>
      </c>
      <c r="BD9" t="s">
        <v>1471</v>
      </c>
      <c r="BG9" t="s">
        <v>1472</v>
      </c>
      <c r="BI9" t="s">
        <v>1462</v>
      </c>
      <c r="BK9" t="s">
        <v>1473</v>
      </c>
      <c r="BM9" s="1" t="s">
        <v>1435</v>
      </c>
      <c r="BN9" t="s">
        <v>1474</v>
      </c>
    </row>
    <row r="10" spans="1:67">
      <c r="E10" t="s">
        <v>1475</v>
      </c>
      <c r="H10" t="s">
        <v>1476</v>
      </c>
      <c r="K10" t="s">
        <v>1477</v>
      </c>
      <c r="L10" t="s">
        <v>1478</v>
      </c>
      <c r="M10" t="s">
        <v>1478</v>
      </c>
      <c r="N10" t="s">
        <v>1478</v>
      </c>
      <c r="O10" t="s">
        <v>1478</v>
      </c>
      <c r="P10" t="s">
        <v>1478</v>
      </c>
      <c r="R10" t="s">
        <v>1479</v>
      </c>
      <c r="S10" t="s">
        <v>1480</v>
      </c>
      <c r="V10" t="s">
        <v>1481</v>
      </c>
      <c r="X10" s="1" t="s">
        <v>1482</v>
      </c>
      <c r="Z10" t="s">
        <v>1483</v>
      </c>
      <c r="AA10" t="s">
        <v>1480</v>
      </c>
      <c r="AB10" t="s">
        <v>1484</v>
      </c>
      <c r="AC10" t="s">
        <v>1485</v>
      </c>
      <c r="AE10" t="s">
        <v>1480</v>
      </c>
      <c r="AI10" t="s">
        <v>1486</v>
      </c>
      <c r="AJ10" t="s">
        <v>1486</v>
      </c>
      <c r="AK10" t="s">
        <v>1486</v>
      </c>
      <c r="AL10" s="1" t="s">
        <v>1459</v>
      </c>
      <c r="AN10" t="s">
        <v>1487</v>
      </c>
      <c r="AO10" t="s">
        <v>1488</v>
      </c>
      <c r="AP10" t="s">
        <v>1488</v>
      </c>
      <c r="AQ10" t="s">
        <v>1488</v>
      </c>
      <c r="AR10" t="s">
        <v>1489</v>
      </c>
      <c r="AT10" t="s">
        <v>1490</v>
      </c>
      <c r="AW10" t="s">
        <v>1491</v>
      </c>
      <c r="AY10" t="s">
        <v>1480</v>
      </c>
      <c r="AZ10" t="s">
        <v>1492</v>
      </c>
      <c r="BC10" t="s">
        <v>1480</v>
      </c>
      <c r="BD10" t="s">
        <v>1493</v>
      </c>
      <c r="BG10" t="s">
        <v>1494</v>
      </c>
      <c r="BI10" t="s">
        <v>1485</v>
      </c>
      <c r="BK10" t="s">
        <v>1495</v>
      </c>
      <c r="BM10" s="1" t="s">
        <v>1459</v>
      </c>
      <c r="BN10" t="s">
        <v>1496</v>
      </c>
    </row>
    <row r="11" spans="1:67">
      <c r="E11" t="s">
        <v>1497</v>
      </c>
      <c r="H11" t="s">
        <v>1498</v>
      </c>
      <c r="K11" t="s">
        <v>1499</v>
      </c>
      <c r="R11" t="s">
        <v>1500</v>
      </c>
      <c r="V11" t="s">
        <v>1501</v>
      </c>
      <c r="X11" s="1" t="s">
        <v>1502</v>
      </c>
      <c r="Z11" t="s">
        <v>1503</v>
      </c>
      <c r="AB11" t="s">
        <v>1504</v>
      </c>
      <c r="AC11" t="s">
        <v>1505</v>
      </c>
      <c r="AI11" t="s">
        <v>1506</v>
      </c>
      <c r="AJ11" t="s">
        <v>1506</v>
      </c>
      <c r="AK11" t="s">
        <v>1506</v>
      </c>
      <c r="AL11" s="1" t="s">
        <v>1482</v>
      </c>
      <c r="AN11" t="s">
        <v>1507</v>
      </c>
      <c r="AO11" t="s">
        <v>1508</v>
      </c>
      <c r="AP11" t="s">
        <v>1508</v>
      </c>
      <c r="AQ11" t="s">
        <v>1508</v>
      </c>
      <c r="AR11" t="s">
        <v>1509</v>
      </c>
      <c r="AT11" t="s">
        <v>1510</v>
      </c>
      <c r="AW11" t="s">
        <v>1281</v>
      </c>
      <c r="AZ11" s="1" t="s">
        <v>1511</v>
      </c>
      <c r="BD11" t="s">
        <v>1512</v>
      </c>
      <c r="BG11" t="s">
        <v>1513</v>
      </c>
      <c r="BI11" t="s">
        <v>1505</v>
      </c>
      <c r="BK11" t="s">
        <v>1514</v>
      </c>
      <c r="BM11" s="1" t="s">
        <v>1482</v>
      </c>
      <c r="BN11" t="s">
        <v>1515</v>
      </c>
    </row>
    <row r="12" spans="1:67">
      <c r="E12" t="s">
        <v>1516</v>
      </c>
      <c r="H12" t="s">
        <v>1517</v>
      </c>
      <c r="R12" t="s">
        <v>1518</v>
      </c>
      <c r="V12" t="s">
        <v>1519</v>
      </c>
      <c r="X12" s="1" t="s">
        <v>1520</v>
      </c>
      <c r="Z12" t="s">
        <v>1521</v>
      </c>
      <c r="AB12" t="s">
        <v>1522</v>
      </c>
      <c r="AC12" t="s">
        <v>1276</v>
      </c>
      <c r="AI12" t="s">
        <v>1523</v>
      </c>
      <c r="AJ12" t="s">
        <v>1523</v>
      </c>
      <c r="AK12" t="s">
        <v>1523</v>
      </c>
      <c r="AL12" s="1" t="s">
        <v>1502</v>
      </c>
      <c r="AN12" t="s">
        <v>1524</v>
      </c>
      <c r="AO12" t="s">
        <v>1525</v>
      </c>
      <c r="AP12" t="s">
        <v>1525</v>
      </c>
      <c r="AQ12" t="s">
        <v>1525</v>
      </c>
      <c r="AR12" t="s">
        <v>1526</v>
      </c>
      <c r="AT12" t="s">
        <v>1527</v>
      </c>
      <c r="AW12" t="s">
        <v>1528</v>
      </c>
      <c r="BD12" t="s">
        <v>1529</v>
      </c>
      <c r="BG12" t="s">
        <v>1530</v>
      </c>
      <c r="BI12" t="s">
        <v>1276</v>
      </c>
      <c r="BK12" t="s">
        <v>1531</v>
      </c>
      <c r="BM12" s="1" t="s">
        <v>1502</v>
      </c>
      <c r="BN12" t="s">
        <v>1532</v>
      </c>
    </row>
    <row r="13" spans="1:67">
      <c r="E13" t="s">
        <v>1533</v>
      </c>
      <c r="H13" t="s">
        <v>1534</v>
      </c>
      <c r="R13" t="s">
        <v>1535</v>
      </c>
      <c r="V13" t="s">
        <v>1258</v>
      </c>
      <c r="X13" s="1" t="s">
        <v>1536</v>
      </c>
      <c r="Z13" t="s">
        <v>1537</v>
      </c>
      <c r="AB13" t="s">
        <v>1538</v>
      </c>
      <c r="AC13" t="s">
        <v>1539</v>
      </c>
      <c r="AI13" t="s">
        <v>1540</v>
      </c>
      <c r="AJ13" t="s">
        <v>1540</v>
      </c>
      <c r="AK13" t="s">
        <v>1540</v>
      </c>
      <c r="AL13" s="1" t="s">
        <v>1520</v>
      </c>
      <c r="AO13" t="s">
        <v>1541</v>
      </c>
      <c r="AP13" t="s">
        <v>1541</v>
      </c>
      <c r="AQ13" t="s">
        <v>1541</v>
      </c>
      <c r="AR13" t="s">
        <v>1542</v>
      </c>
      <c r="AW13" t="s">
        <v>1543</v>
      </c>
      <c r="BD13" t="s">
        <v>1544</v>
      </c>
      <c r="BG13" t="s">
        <v>1545</v>
      </c>
      <c r="BI13" t="s">
        <v>1539</v>
      </c>
      <c r="BK13" t="s">
        <v>1546</v>
      </c>
      <c r="BM13" s="1" t="s">
        <v>1520</v>
      </c>
      <c r="BN13" t="s">
        <v>1547</v>
      </c>
    </row>
    <row r="14" spans="1:67">
      <c r="E14" t="s">
        <v>1548</v>
      </c>
      <c r="H14" t="s">
        <v>1549</v>
      </c>
      <c r="R14" t="s">
        <v>1550</v>
      </c>
      <c r="V14" t="s">
        <v>1551</v>
      </c>
      <c r="X14" s="1" t="s">
        <v>1552</v>
      </c>
      <c r="Z14" t="s">
        <v>1553</v>
      </c>
      <c r="AB14" t="s">
        <v>1554</v>
      </c>
      <c r="AC14" t="s">
        <v>1555</v>
      </c>
      <c r="AL14" s="1" t="s">
        <v>1536</v>
      </c>
      <c r="AO14" t="s">
        <v>1556</v>
      </c>
      <c r="AP14" t="s">
        <v>1556</v>
      </c>
      <c r="AQ14" t="s">
        <v>1556</v>
      </c>
      <c r="AR14" t="s">
        <v>1557</v>
      </c>
      <c r="BD14" t="s">
        <v>1558</v>
      </c>
      <c r="BG14" t="s">
        <v>1559</v>
      </c>
      <c r="BI14" t="s">
        <v>1555</v>
      </c>
      <c r="BK14" t="s">
        <v>1560</v>
      </c>
      <c r="BM14" s="1" t="s">
        <v>1536</v>
      </c>
      <c r="BN14" t="s">
        <v>1561</v>
      </c>
    </row>
    <row r="15" spans="1:67">
      <c r="E15" t="s">
        <v>1562</v>
      </c>
      <c r="H15" t="s">
        <v>1563</v>
      </c>
      <c r="R15" t="s">
        <v>1564</v>
      </c>
      <c r="V15" t="s">
        <v>1565</v>
      </c>
      <c r="X15" s="1" t="s">
        <v>1566</v>
      </c>
      <c r="Z15" t="s">
        <v>1567</v>
      </c>
      <c r="AB15" t="s">
        <v>1568</v>
      </c>
      <c r="AC15" t="s">
        <v>1569</v>
      </c>
      <c r="AL15" s="1" t="s">
        <v>1552</v>
      </c>
      <c r="AO15" t="s">
        <v>1570</v>
      </c>
      <c r="AP15" t="s">
        <v>1570</v>
      </c>
      <c r="AQ15" t="s">
        <v>1570</v>
      </c>
      <c r="AR15" t="s">
        <v>1571</v>
      </c>
      <c r="BD15" t="s">
        <v>1572</v>
      </c>
      <c r="BG15" t="s">
        <v>1490</v>
      </c>
      <c r="BI15" t="s">
        <v>1569</v>
      </c>
      <c r="BK15" t="s">
        <v>1573</v>
      </c>
      <c r="BM15" s="1" t="s">
        <v>1552</v>
      </c>
      <c r="BN15" t="s">
        <v>1574</v>
      </c>
    </row>
    <row r="16" spans="1:67">
      <c r="E16" t="s">
        <v>1575</v>
      </c>
      <c r="H16" t="s">
        <v>1250</v>
      </c>
      <c r="R16" t="s">
        <v>1576</v>
      </c>
      <c r="V16" t="s">
        <v>1577</v>
      </c>
      <c r="X16" s="1" t="s">
        <v>1578</v>
      </c>
      <c r="Z16" t="s">
        <v>1579</v>
      </c>
      <c r="AB16" t="s">
        <v>1580</v>
      </c>
      <c r="AC16" t="s">
        <v>1581</v>
      </c>
      <c r="AL16" s="1" t="s">
        <v>1566</v>
      </c>
      <c r="AO16" t="s">
        <v>1582</v>
      </c>
      <c r="AP16" t="s">
        <v>1582</v>
      </c>
      <c r="AQ16" t="s">
        <v>1582</v>
      </c>
      <c r="AR16" t="s">
        <v>1583</v>
      </c>
      <c r="BD16" t="s">
        <v>1584</v>
      </c>
      <c r="BG16" t="s">
        <v>1585</v>
      </c>
      <c r="BI16" t="s">
        <v>1581</v>
      </c>
      <c r="BK16" t="s">
        <v>1586</v>
      </c>
      <c r="BM16" s="1" t="s">
        <v>1566</v>
      </c>
      <c r="BN16" t="s">
        <v>1587</v>
      </c>
    </row>
    <row r="17" spans="5:66">
      <c r="E17" t="s">
        <v>1588</v>
      </c>
      <c r="H17" t="s">
        <v>1589</v>
      </c>
      <c r="R17" t="s">
        <v>1590</v>
      </c>
      <c r="V17" t="s">
        <v>1591</v>
      </c>
      <c r="X17" s="1" t="s">
        <v>1592</v>
      </c>
      <c r="Z17" t="s">
        <v>1593</v>
      </c>
      <c r="AB17" t="s">
        <v>1594</v>
      </c>
      <c r="AC17" t="s">
        <v>1595</v>
      </c>
      <c r="AL17" s="1" t="s">
        <v>1578</v>
      </c>
      <c r="AO17" t="s">
        <v>1596</v>
      </c>
      <c r="AP17" t="s">
        <v>1596</v>
      </c>
      <c r="AQ17" t="s">
        <v>1596</v>
      </c>
      <c r="AR17" t="s">
        <v>1597</v>
      </c>
      <c r="BD17" t="s">
        <v>1598</v>
      </c>
      <c r="BG17" t="s">
        <v>1599</v>
      </c>
      <c r="BI17" t="s">
        <v>1595</v>
      </c>
      <c r="BK17" t="s">
        <v>1600</v>
      </c>
      <c r="BM17" s="1" t="s">
        <v>1578</v>
      </c>
      <c r="BN17" t="s">
        <v>1601</v>
      </c>
    </row>
    <row r="18" spans="5:66">
      <c r="E18" t="s">
        <v>1602</v>
      </c>
      <c r="H18" t="s">
        <v>1603</v>
      </c>
      <c r="R18" t="s">
        <v>1604</v>
      </c>
      <c r="V18" t="s">
        <v>1605</v>
      </c>
      <c r="X18" s="1" t="s">
        <v>86</v>
      </c>
      <c r="Z18" t="s">
        <v>1606</v>
      </c>
      <c r="AC18" t="s">
        <v>1607</v>
      </c>
      <c r="AL18" s="1" t="s">
        <v>1592</v>
      </c>
      <c r="AO18" t="s">
        <v>1608</v>
      </c>
      <c r="AP18" t="s">
        <v>1608</v>
      </c>
      <c r="AQ18" t="s">
        <v>1608</v>
      </c>
      <c r="AR18" t="s">
        <v>1609</v>
      </c>
      <c r="BD18" t="s">
        <v>1610</v>
      </c>
      <c r="BI18" t="s">
        <v>1607</v>
      </c>
      <c r="BK18" t="s">
        <v>1611</v>
      </c>
      <c r="BM18" s="1" t="s">
        <v>1592</v>
      </c>
      <c r="BN18" t="s">
        <v>1612</v>
      </c>
    </row>
    <row r="19" spans="5:66">
      <c r="E19" t="s">
        <v>1613</v>
      </c>
      <c r="H19" t="s">
        <v>1614</v>
      </c>
      <c r="R19" t="s">
        <v>1615</v>
      </c>
      <c r="V19" t="s">
        <v>1616</v>
      </c>
      <c r="X19" s="1" t="s">
        <v>1617</v>
      </c>
      <c r="Z19" t="s">
        <v>1618</v>
      </c>
      <c r="AL19" s="1" t="s">
        <v>86</v>
      </c>
      <c r="AO19" t="s">
        <v>1619</v>
      </c>
      <c r="AP19" t="s">
        <v>1619</v>
      </c>
      <c r="AQ19" t="s">
        <v>1619</v>
      </c>
      <c r="AR19" t="s">
        <v>1620</v>
      </c>
      <c r="BD19" t="s">
        <v>1621</v>
      </c>
      <c r="BK19" t="s">
        <v>1622</v>
      </c>
      <c r="BM19" s="1" t="s">
        <v>86</v>
      </c>
      <c r="BN19" t="s">
        <v>1623</v>
      </c>
    </row>
    <row r="20" spans="5:66">
      <c r="E20" t="s">
        <v>1624</v>
      </c>
      <c r="H20" t="s">
        <v>1625</v>
      </c>
      <c r="R20" t="s">
        <v>1626</v>
      </c>
      <c r="V20" t="s">
        <v>1627</v>
      </c>
      <c r="X20" s="1" t="s">
        <v>1628</v>
      </c>
      <c r="Z20" t="s">
        <v>1629</v>
      </c>
      <c r="AL20" s="1" t="s">
        <v>1617</v>
      </c>
      <c r="AO20" t="s">
        <v>1630</v>
      </c>
      <c r="AP20" t="s">
        <v>1630</v>
      </c>
      <c r="AQ20" t="s">
        <v>1630</v>
      </c>
      <c r="AR20" t="s">
        <v>1631</v>
      </c>
      <c r="BD20" t="s">
        <v>1632</v>
      </c>
      <c r="BK20" t="s">
        <v>1633</v>
      </c>
      <c r="BM20" s="1" t="s">
        <v>1617</v>
      </c>
      <c r="BN20" t="s">
        <v>1634</v>
      </c>
    </row>
    <row r="21" spans="5:66">
      <c r="E21" t="s">
        <v>1635</v>
      </c>
      <c r="R21" t="s">
        <v>1636</v>
      </c>
      <c r="X21" s="1" t="s">
        <v>1637</v>
      </c>
      <c r="Z21" t="s">
        <v>1638</v>
      </c>
      <c r="AL21" s="1" t="s">
        <v>1628</v>
      </c>
      <c r="AO21" t="s">
        <v>1639</v>
      </c>
      <c r="AP21" t="s">
        <v>1639</v>
      </c>
      <c r="AQ21" t="s">
        <v>1639</v>
      </c>
      <c r="AR21" t="s">
        <v>1640</v>
      </c>
      <c r="BD21" t="s">
        <v>1641</v>
      </c>
      <c r="BK21" t="s">
        <v>1642</v>
      </c>
      <c r="BM21" s="1" t="s">
        <v>1628</v>
      </c>
      <c r="BN21" t="s">
        <v>1245</v>
      </c>
    </row>
    <row r="22" spans="5:66">
      <c r="E22" t="s">
        <v>1643</v>
      </c>
      <c r="R22" t="s">
        <v>1644</v>
      </c>
      <c r="Z22" t="s">
        <v>890</v>
      </c>
      <c r="AL22" s="1" t="s">
        <v>1637</v>
      </c>
      <c r="AO22" t="s">
        <v>1645</v>
      </c>
      <c r="AP22" t="s">
        <v>1645</v>
      </c>
      <c r="AQ22" t="s">
        <v>1645</v>
      </c>
      <c r="AR22" t="s">
        <v>1646</v>
      </c>
      <c r="BD22" t="s">
        <v>1647</v>
      </c>
      <c r="BK22" t="s">
        <v>1648</v>
      </c>
      <c r="BM22" s="1" t="s">
        <v>1637</v>
      </c>
      <c r="BN22" t="s">
        <v>1649</v>
      </c>
    </row>
    <row r="23" spans="5:66">
      <c r="E23" t="s">
        <v>1650</v>
      </c>
      <c r="R23" t="s">
        <v>1651</v>
      </c>
      <c r="Z23" t="s">
        <v>1652</v>
      </c>
      <c r="AL23" s="1" t="s">
        <v>1653</v>
      </c>
      <c r="AR23" t="s">
        <v>1654</v>
      </c>
      <c r="BK23" t="s">
        <v>1655</v>
      </c>
      <c r="BM23" s="1" t="s">
        <v>1653</v>
      </c>
      <c r="BN23" t="s">
        <v>1656</v>
      </c>
    </row>
    <row r="24" spans="5:66">
      <c r="E24" t="s">
        <v>1657</v>
      </c>
      <c r="R24" t="s">
        <v>1658</v>
      </c>
      <c r="Z24" t="s">
        <v>1659</v>
      </c>
      <c r="AL24" s="1" t="s">
        <v>1660</v>
      </c>
      <c r="AR24" t="s">
        <v>1661</v>
      </c>
      <c r="BK24" t="s">
        <v>1662</v>
      </c>
      <c r="BM24" s="1" t="s">
        <v>1660</v>
      </c>
      <c r="BN24" t="s">
        <v>1663</v>
      </c>
    </row>
    <row r="25" spans="5:66">
      <c r="E25" t="s">
        <v>1664</v>
      </c>
      <c r="R25" t="s">
        <v>1665</v>
      </c>
      <c r="AL25" s="1" t="s">
        <v>1666</v>
      </c>
      <c r="AR25" t="s">
        <v>1667</v>
      </c>
      <c r="BK25" t="s">
        <v>1668</v>
      </c>
      <c r="BM25" s="1" t="s">
        <v>1666</v>
      </c>
    </row>
    <row r="26" spans="5:66">
      <c r="E26" t="s">
        <v>1669</v>
      </c>
      <c r="R26" t="s">
        <v>1670</v>
      </c>
      <c r="AL26" s="1" t="s">
        <v>1671</v>
      </c>
      <c r="AR26" t="s">
        <v>1672</v>
      </c>
      <c r="BK26" t="s">
        <v>1673</v>
      </c>
      <c r="BM26" s="1" t="s">
        <v>1671</v>
      </c>
    </row>
    <row r="27" spans="5:66">
      <c r="E27" t="s">
        <v>1674</v>
      </c>
      <c r="R27" t="s">
        <v>1675</v>
      </c>
      <c r="AL27" s="1" t="s">
        <v>1676</v>
      </c>
      <c r="AR27" t="s">
        <v>1241</v>
      </c>
      <c r="BK27" t="s">
        <v>1677</v>
      </c>
      <c r="BM27" s="1" t="s">
        <v>1676</v>
      </c>
    </row>
    <row r="28" spans="5:66">
      <c r="E28" t="s">
        <v>1678</v>
      </c>
      <c r="R28" t="s">
        <v>1679</v>
      </c>
      <c r="AL28" s="1" t="s">
        <v>1680</v>
      </c>
      <c r="AR28" t="s">
        <v>1681</v>
      </c>
      <c r="BK28" t="s">
        <v>1682</v>
      </c>
      <c r="BM28" s="1" t="s">
        <v>1680</v>
      </c>
    </row>
    <row r="29" spans="5:66">
      <c r="E29" t="s">
        <v>1683</v>
      </c>
      <c r="R29" t="s">
        <v>1684</v>
      </c>
      <c r="AL29" s="1" t="s">
        <v>1685</v>
      </c>
      <c r="AR29" t="s">
        <v>1686</v>
      </c>
      <c r="BK29" t="s">
        <v>1687</v>
      </c>
      <c r="BM29" s="1" t="s">
        <v>1685</v>
      </c>
    </row>
    <row r="30" spans="5:66">
      <c r="E30" t="s">
        <v>1688</v>
      </c>
      <c r="R30" t="s">
        <v>1689</v>
      </c>
      <c r="AL30" s="1" t="s">
        <v>1690</v>
      </c>
      <c r="BK30" t="s">
        <v>1691</v>
      </c>
      <c r="BM30" s="1" t="s">
        <v>1690</v>
      </c>
    </row>
    <row r="31" spans="5:66">
      <c r="E31" t="s">
        <v>1692</v>
      </c>
      <c r="R31" t="s">
        <v>1693</v>
      </c>
      <c r="AL31" s="1" t="s">
        <v>1694</v>
      </c>
      <c r="BK31" t="s">
        <v>1695</v>
      </c>
      <c r="BM31" s="1" t="s">
        <v>1694</v>
      </c>
    </row>
    <row r="32" spans="5:66">
      <c r="E32" t="s">
        <v>1696</v>
      </c>
      <c r="R32" t="s">
        <v>1697</v>
      </c>
      <c r="AL32" s="1" t="s">
        <v>1698</v>
      </c>
      <c r="BK32" t="s">
        <v>1699</v>
      </c>
      <c r="BM32" s="1" t="s">
        <v>1698</v>
      </c>
    </row>
    <row r="33" spans="5:65">
      <c r="E33" t="s">
        <v>1700</v>
      </c>
      <c r="R33" t="s">
        <v>1701</v>
      </c>
      <c r="AL33" s="1" t="s">
        <v>1702</v>
      </c>
      <c r="BK33" t="s">
        <v>1703</v>
      </c>
      <c r="BM33" s="1" t="s">
        <v>1702</v>
      </c>
    </row>
    <row r="34" spans="5:65">
      <c r="E34" t="s">
        <v>1704</v>
      </c>
      <c r="R34" t="s">
        <v>1705</v>
      </c>
      <c r="AL34" s="1" t="s">
        <v>1706</v>
      </c>
      <c r="BK34" t="s">
        <v>1707</v>
      </c>
      <c r="BM34" s="1" t="s">
        <v>1706</v>
      </c>
    </row>
    <row r="35" spans="5:65">
      <c r="E35" t="s">
        <v>1708</v>
      </c>
      <c r="R35" t="s">
        <v>1709</v>
      </c>
      <c r="AL35" s="1" t="s">
        <v>1710</v>
      </c>
      <c r="BK35" t="s">
        <v>1711</v>
      </c>
      <c r="BM35" s="1" t="s">
        <v>1710</v>
      </c>
    </row>
    <row r="36" spans="5:65">
      <c r="E36" t="s">
        <v>1712</v>
      </c>
      <c r="R36" t="s">
        <v>1713</v>
      </c>
      <c r="AL36" s="1" t="s">
        <v>1714</v>
      </c>
      <c r="BK36" t="s">
        <v>1715</v>
      </c>
      <c r="BM36" s="1" t="s">
        <v>1714</v>
      </c>
    </row>
    <row r="37" spans="5:65">
      <c r="E37" t="s">
        <v>1716</v>
      </c>
      <c r="AL37" s="1" t="s">
        <v>1717</v>
      </c>
      <c r="BK37" t="s">
        <v>1718</v>
      </c>
      <c r="BM37" s="1" t="s">
        <v>1717</v>
      </c>
    </row>
    <row r="38" spans="5:65">
      <c r="E38" t="s">
        <v>1719</v>
      </c>
      <c r="AL38" s="1" t="s">
        <v>1720</v>
      </c>
      <c r="BK38" t="s">
        <v>1721</v>
      </c>
      <c r="BM38" s="1" t="s">
        <v>1720</v>
      </c>
    </row>
    <row r="39" spans="5:65">
      <c r="E39" t="s">
        <v>1722</v>
      </c>
      <c r="AL39" s="1" t="s">
        <v>1723</v>
      </c>
      <c r="BK39" t="s">
        <v>1724</v>
      </c>
      <c r="BM39" s="1" t="s">
        <v>1723</v>
      </c>
    </row>
    <row r="40" spans="5:65">
      <c r="E40" t="s">
        <v>1725</v>
      </c>
      <c r="AL40" s="1" t="s">
        <v>1726</v>
      </c>
      <c r="BK40" t="s">
        <v>1727</v>
      </c>
      <c r="BM40" s="1" t="s">
        <v>1726</v>
      </c>
    </row>
    <row r="41" spans="5:65">
      <c r="E41" t="s">
        <v>1728</v>
      </c>
      <c r="AL41" s="1" t="s">
        <v>1729</v>
      </c>
      <c r="BK41" t="s">
        <v>1730</v>
      </c>
      <c r="BM41" s="1" t="s">
        <v>1729</v>
      </c>
    </row>
    <row r="42" spans="5:65">
      <c r="E42" t="s">
        <v>1731</v>
      </c>
      <c r="AL42" s="1" t="s">
        <v>1732</v>
      </c>
      <c r="BK42" t="s">
        <v>1733</v>
      </c>
      <c r="BM42" s="1" t="s">
        <v>1732</v>
      </c>
    </row>
    <row r="43" spans="5:65">
      <c r="E43" t="s">
        <v>1734</v>
      </c>
      <c r="AL43" s="1" t="s">
        <v>1735</v>
      </c>
      <c r="BK43" t="s">
        <v>1736</v>
      </c>
      <c r="BM43" s="1" t="s">
        <v>1735</v>
      </c>
    </row>
    <row r="44" spans="5:65">
      <c r="E44" t="s">
        <v>1737</v>
      </c>
      <c r="AL44" s="1" t="s">
        <v>1738</v>
      </c>
      <c r="BK44" t="s">
        <v>1739</v>
      </c>
      <c r="BM44" s="1" t="s">
        <v>1738</v>
      </c>
    </row>
    <row r="45" spans="5:65">
      <c r="E45" t="s">
        <v>1740</v>
      </c>
      <c r="AL45" s="1" t="s">
        <v>1741</v>
      </c>
      <c r="BK45" t="s">
        <v>1742</v>
      </c>
      <c r="BM45" s="1" t="s">
        <v>1741</v>
      </c>
    </row>
    <row r="46" spans="5:65">
      <c r="E46" t="s">
        <v>1743</v>
      </c>
      <c r="AL46" s="1" t="s">
        <v>1744</v>
      </c>
      <c r="BK46" t="s">
        <v>1745</v>
      </c>
      <c r="BM46" s="1" t="s">
        <v>1744</v>
      </c>
    </row>
    <row r="47" spans="5:65">
      <c r="E47" t="s">
        <v>1746</v>
      </c>
      <c r="AL47" s="1" t="s">
        <v>1747</v>
      </c>
      <c r="BK47" t="s">
        <v>1748</v>
      </c>
      <c r="BM47" s="1" t="s">
        <v>1747</v>
      </c>
    </row>
    <row r="48" spans="5:65">
      <c r="E48" t="s">
        <v>1749</v>
      </c>
      <c r="AL48" s="1" t="s">
        <v>1750</v>
      </c>
      <c r="BK48" t="s">
        <v>1751</v>
      </c>
      <c r="BM48" s="1" t="s">
        <v>1750</v>
      </c>
    </row>
    <row r="49" spans="5:65">
      <c r="E49" t="s">
        <v>1752</v>
      </c>
      <c r="AL49" t="s">
        <v>1753</v>
      </c>
      <c r="BK49" t="s">
        <v>1754</v>
      </c>
      <c r="BM49" t="s">
        <v>1753</v>
      </c>
    </row>
    <row r="50" spans="5:65">
      <c r="E50" t="s">
        <v>1755</v>
      </c>
      <c r="AL50" s="1" t="s">
        <v>1756</v>
      </c>
      <c r="BK50" t="s">
        <v>1757</v>
      </c>
      <c r="BM50" s="1" t="s">
        <v>1756</v>
      </c>
    </row>
    <row r="51" spans="5:65">
      <c r="E51" t="s">
        <v>1758</v>
      </c>
      <c r="AL51" t="s">
        <v>1301</v>
      </c>
      <c r="BK51" t="s">
        <v>1759</v>
      </c>
      <c r="BM51" t="s">
        <v>1301</v>
      </c>
    </row>
    <row r="52" spans="5:65">
      <c r="E52" t="s">
        <v>1760</v>
      </c>
      <c r="AL52" t="s">
        <v>1761</v>
      </c>
      <c r="BK52" t="s">
        <v>1762</v>
      </c>
      <c r="BM52" t="s">
        <v>1761</v>
      </c>
    </row>
    <row r="53" spans="5:65">
      <c r="E53" t="s">
        <v>1763</v>
      </c>
      <c r="AL53" t="s">
        <v>1764</v>
      </c>
      <c r="BK53" t="s">
        <v>1765</v>
      </c>
      <c r="BM53" t="s">
        <v>1764</v>
      </c>
    </row>
    <row r="54" spans="5:65">
      <c r="E54" t="s">
        <v>1766</v>
      </c>
      <c r="AL54" t="s">
        <v>1767</v>
      </c>
      <c r="BK54" t="s">
        <v>1768</v>
      </c>
      <c r="BM54" t="s">
        <v>1767</v>
      </c>
    </row>
    <row r="55" spans="5:65">
      <c r="E55" t="s">
        <v>1769</v>
      </c>
      <c r="AL55" t="s">
        <v>1770</v>
      </c>
      <c r="BK55" t="s">
        <v>1771</v>
      </c>
      <c r="BM55" t="s">
        <v>1770</v>
      </c>
    </row>
    <row r="56" spans="5:65">
      <c r="E56" t="s">
        <v>1772</v>
      </c>
      <c r="AL56" t="s">
        <v>1773</v>
      </c>
      <c r="BK56" t="s">
        <v>1774</v>
      </c>
      <c r="BM56" t="s">
        <v>1773</v>
      </c>
    </row>
    <row r="57" spans="5:65">
      <c r="E57" t="s">
        <v>1775</v>
      </c>
      <c r="AL57" t="s">
        <v>1776</v>
      </c>
      <c r="BK57" t="s">
        <v>1777</v>
      </c>
      <c r="BM57" t="s">
        <v>1776</v>
      </c>
    </row>
    <row r="58" spans="5:65">
      <c r="E58" t="s">
        <v>1778</v>
      </c>
      <c r="AL58" t="s">
        <v>1779</v>
      </c>
      <c r="BK58" t="s">
        <v>1780</v>
      </c>
      <c r="BM58" t="s">
        <v>1779</v>
      </c>
    </row>
    <row r="59" spans="5:65">
      <c r="E59" t="s">
        <v>1781</v>
      </c>
      <c r="AL59" t="s">
        <v>1505</v>
      </c>
      <c r="BK59" t="s">
        <v>1782</v>
      </c>
      <c r="BM59" t="s">
        <v>1505</v>
      </c>
    </row>
    <row r="60" spans="5:65">
      <c r="E60" t="s">
        <v>1783</v>
      </c>
      <c r="AL60" t="s">
        <v>1784</v>
      </c>
      <c r="BK60" t="s">
        <v>1785</v>
      </c>
      <c r="BM60" t="s">
        <v>1784</v>
      </c>
    </row>
    <row r="61" spans="5:65">
      <c r="E61" t="s">
        <v>1786</v>
      </c>
      <c r="AL61" t="s">
        <v>1787</v>
      </c>
      <c r="BK61" t="s">
        <v>1788</v>
      </c>
      <c r="BM61" t="s">
        <v>1787</v>
      </c>
    </row>
    <row r="62" spans="5:65">
      <c r="E62" t="s">
        <v>1789</v>
      </c>
      <c r="AL62" t="s">
        <v>1790</v>
      </c>
      <c r="BK62" t="s">
        <v>1791</v>
      </c>
      <c r="BM62" t="s">
        <v>1790</v>
      </c>
    </row>
    <row r="63" spans="5:65">
      <c r="E63" t="s">
        <v>1792</v>
      </c>
      <c r="AL63" t="s">
        <v>1793</v>
      </c>
      <c r="BK63" t="s">
        <v>1794</v>
      </c>
      <c r="BM63" t="s">
        <v>1793</v>
      </c>
    </row>
    <row r="64" spans="5:65">
      <c r="E64" t="s">
        <v>1795</v>
      </c>
      <c r="AL64" t="s">
        <v>1796</v>
      </c>
      <c r="BK64" t="s">
        <v>1797</v>
      </c>
      <c r="BM64" t="s">
        <v>1796</v>
      </c>
    </row>
    <row r="65" spans="5:65">
      <c r="E65" t="s">
        <v>1798</v>
      </c>
      <c r="AL65" t="s">
        <v>1799</v>
      </c>
      <c r="BK65" t="s">
        <v>1800</v>
      </c>
      <c r="BM65" t="s">
        <v>1799</v>
      </c>
    </row>
    <row r="66" spans="5:65">
      <c r="E66" t="s">
        <v>1801</v>
      </c>
      <c r="AL66" t="s">
        <v>1802</v>
      </c>
      <c r="BK66" t="s">
        <v>1803</v>
      </c>
      <c r="BM66" t="s">
        <v>1802</v>
      </c>
    </row>
    <row r="67" spans="5:65">
      <c r="E67" t="s">
        <v>1804</v>
      </c>
      <c r="AL67" t="s">
        <v>1805</v>
      </c>
      <c r="BK67" t="s">
        <v>1806</v>
      </c>
      <c r="BM67" t="s">
        <v>1805</v>
      </c>
    </row>
    <row r="68" spans="5:65">
      <c r="E68" t="s">
        <v>1807</v>
      </c>
      <c r="AL68" t="s">
        <v>1808</v>
      </c>
      <c r="BK68" t="s">
        <v>1809</v>
      </c>
      <c r="BM68" t="s">
        <v>1808</v>
      </c>
    </row>
    <row r="69" spans="5:65">
      <c r="E69" t="s">
        <v>1810</v>
      </c>
      <c r="AL69" t="s">
        <v>1811</v>
      </c>
      <c r="BK69" t="s">
        <v>1812</v>
      </c>
      <c r="BM69" t="s">
        <v>1811</v>
      </c>
    </row>
    <row r="70" spans="5:65">
      <c r="E70" t="s">
        <v>1813</v>
      </c>
      <c r="AL70" t="s">
        <v>1814</v>
      </c>
      <c r="BM70" t="s">
        <v>1814</v>
      </c>
    </row>
    <row r="71" spans="5:65">
      <c r="E71" t="s">
        <v>1815</v>
      </c>
      <c r="AL71" t="s">
        <v>1816</v>
      </c>
      <c r="BM71" t="s">
        <v>1816</v>
      </c>
    </row>
    <row r="72" spans="5:65">
      <c r="E72" t="s">
        <v>1817</v>
      </c>
      <c r="AL72" t="s">
        <v>1818</v>
      </c>
      <c r="BM72" t="s">
        <v>1818</v>
      </c>
    </row>
    <row r="73" spans="5:65">
      <c r="E73" t="s">
        <v>1819</v>
      </c>
      <c r="AL73" t="s">
        <v>1820</v>
      </c>
      <c r="BM73" t="s">
        <v>1820</v>
      </c>
    </row>
    <row r="74" spans="5:65">
      <c r="E74" t="s">
        <v>1821</v>
      </c>
      <c r="AL74" t="s">
        <v>1822</v>
      </c>
      <c r="BM74" t="s">
        <v>1822</v>
      </c>
    </row>
    <row r="75" spans="5:65">
      <c r="E75" t="s">
        <v>1823</v>
      </c>
      <c r="AL75" t="s">
        <v>1824</v>
      </c>
      <c r="BM75" t="s">
        <v>1824</v>
      </c>
    </row>
    <row r="76" spans="5:65">
      <c r="E76" t="s">
        <v>1825</v>
      </c>
      <c r="AL76" t="s">
        <v>1826</v>
      </c>
      <c r="BM76" t="s">
        <v>1826</v>
      </c>
    </row>
    <row r="77" spans="5:65">
      <c r="E77" t="s">
        <v>1827</v>
      </c>
      <c r="AL77" t="s">
        <v>1828</v>
      </c>
      <c r="BM77" t="s">
        <v>1828</v>
      </c>
    </row>
    <row r="78" spans="5:65">
      <c r="E78" t="s">
        <v>1829</v>
      </c>
      <c r="AL78" t="s">
        <v>1830</v>
      </c>
      <c r="BM78" t="s">
        <v>1830</v>
      </c>
    </row>
    <row r="79" spans="5:65">
      <c r="E79" t="s">
        <v>1831</v>
      </c>
      <c r="AL79" t="s">
        <v>1832</v>
      </c>
      <c r="BM79" t="s">
        <v>1832</v>
      </c>
    </row>
    <row r="80" spans="5:65">
      <c r="E80" t="s">
        <v>1833</v>
      </c>
      <c r="AL80" t="s">
        <v>1834</v>
      </c>
      <c r="BM80" t="s">
        <v>1834</v>
      </c>
    </row>
    <row r="81" spans="5:65">
      <c r="E81" t="s">
        <v>1835</v>
      </c>
      <c r="AL81" t="s">
        <v>1836</v>
      </c>
      <c r="BM81" t="s">
        <v>1836</v>
      </c>
    </row>
    <row r="82" spans="5:65">
      <c r="E82" t="s">
        <v>1837</v>
      </c>
      <c r="AL82" t="s">
        <v>1838</v>
      </c>
      <c r="BM82" t="s">
        <v>1838</v>
      </c>
    </row>
    <row r="83" spans="5:65">
      <c r="E83" t="s">
        <v>1839</v>
      </c>
      <c r="AL83" t="s">
        <v>1840</v>
      </c>
      <c r="BM83" t="s">
        <v>1840</v>
      </c>
    </row>
    <row r="84" spans="5:65">
      <c r="E84" t="s">
        <v>1841</v>
      </c>
      <c r="AL84" t="s">
        <v>1842</v>
      </c>
      <c r="BM84" t="s">
        <v>1842</v>
      </c>
    </row>
    <row r="85" spans="5:65">
      <c r="E85" t="s">
        <v>1582</v>
      </c>
      <c r="AL85" t="s">
        <v>1843</v>
      </c>
      <c r="BM85" t="s">
        <v>1843</v>
      </c>
    </row>
    <row r="86" spans="5:65">
      <c r="E86" t="s">
        <v>1844</v>
      </c>
      <c r="AL86" t="s">
        <v>1845</v>
      </c>
      <c r="BM86" t="s">
        <v>1845</v>
      </c>
    </row>
    <row r="87" spans="5:65">
      <c r="E87" t="s">
        <v>1846</v>
      </c>
      <c r="AL87" t="s">
        <v>1847</v>
      </c>
      <c r="BM87" t="s">
        <v>1847</v>
      </c>
    </row>
    <row r="88" spans="5:65">
      <c r="E88" t="s">
        <v>1848</v>
      </c>
      <c r="AL88" t="s">
        <v>1849</v>
      </c>
      <c r="BM88" t="s">
        <v>1849</v>
      </c>
    </row>
    <row r="89" spans="5:65">
      <c r="E89" t="s">
        <v>1850</v>
      </c>
      <c r="AL89" t="s">
        <v>1851</v>
      </c>
      <c r="BM89" t="s">
        <v>1851</v>
      </c>
    </row>
    <row r="90" spans="5:65">
      <c r="E90" t="s">
        <v>1852</v>
      </c>
      <c r="AL90" t="s">
        <v>1853</v>
      </c>
      <c r="BM90" t="s">
        <v>1853</v>
      </c>
    </row>
    <row r="91" spans="5:65">
      <c r="E91" t="s">
        <v>1854</v>
      </c>
      <c r="AL91" t="s">
        <v>1855</v>
      </c>
      <c r="BM91" t="s">
        <v>1855</v>
      </c>
    </row>
    <row r="92" spans="5:65">
      <c r="E92" t="s">
        <v>1856</v>
      </c>
      <c r="AL92" t="s">
        <v>1857</v>
      </c>
      <c r="BM92" t="s">
        <v>1857</v>
      </c>
    </row>
    <row r="93" spans="5:65">
      <c r="E93" t="s">
        <v>1858</v>
      </c>
      <c r="AL93" t="s">
        <v>1859</v>
      </c>
      <c r="BM93" t="s">
        <v>1859</v>
      </c>
    </row>
    <row r="94" spans="5:65">
      <c r="E94" t="s">
        <v>1860</v>
      </c>
      <c r="AL94" t="s">
        <v>1861</v>
      </c>
      <c r="BM94" t="s">
        <v>1861</v>
      </c>
    </row>
    <row r="95" spans="5:65">
      <c r="E95" t="s">
        <v>1862</v>
      </c>
      <c r="AL95" t="s">
        <v>1863</v>
      </c>
      <c r="BM95" t="s">
        <v>1863</v>
      </c>
    </row>
    <row r="96" spans="5:65">
      <c r="E96" t="s">
        <v>1864</v>
      </c>
      <c r="AL96" t="s">
        <v>1865</v>
      </c>
      <c r="BM96" t="s">
        <v>1865</v>
      </c>
    </row>
    <row r="97" spans="5:5">
      <c r="E97" t="s">
        <v>1866</v>
      </c>
    </row>
    <row r="98" spans="5:5">
      <c r="E98" t="s">
        <v>1867</v>
      </c>
    </row>
    <row r="99" spans="5:5">
      <c r="E99" t="s">
        <v>1868</v>
      </c>
    </row>
    <row r="100" spans="5:5">
      <c r="E100" t="s">
        <v>1869</v>
      </c>
    </row>
    <row r="101" spans="5:5">
      <c r="E101" t="s">
        <v>1870</v>
      </c>
    </row>
    <row r="102" spans="5:5">
      <c r="E102" t="s">
        <v>1871</v>
      </c>
    </row>
    <row r="103" spans="5:5">
      <c r="E103" t="s">
        <v>1872</v>
      </c>
    </row>
    <row r="104" spans="5:5">
      <c r="E104" t="s">
        <v>1873</v>
      </c>
    </row>
    <row r="105" spans="5:5">
      <c r="E105" t="s">
        <v>1874</v>
      </c>
    </row>
    <row r="106" spans="5:5">
      <c r="E106" t="s">
        <v>1875</v>
      </c>
    </row>
    <row r="107" spans="5:5">
      <c r="E107" t="s">
        <v>1876</v>
      </c>
    </row>
    <row r="108" spans="5:5">
      <c r="E108" t="s">
        <v>1277</v>
      </c>
    </row>
    <row r="109" spans="5:5">
      <c r="E109" t="s">
        <v>1877</v>
      </c>
    </row>
    <row r="110" spans="5:5">
      <c r="E110" t="s">
        <v>1878</v>
      </c>
    </row>
    <row r="111" spans="5:5">
      <c r="E111" t="s">
        <v>1879</v>
      </c>
    </row>
    <row r="112" spans="5:5">
      <c r="E112" t="s">
        <v>1880</v>
      </c>
    </row>
    <row r="113" spans="5:5">
      <c r="E113" t="s">
        <v>1881</v>
      </c>
    </row>
    <row r="114" spans="5:5">
      <c r="E114" t="s">
        <v>1882</v>
      </c>
    </row>
    <row r="115" spans="5:5">
      <c r="E115" t="s">
        <v>1883</v>
      </c>
    </row>
    <row r="116" spans="5:5">
      <c r="E116" t="s">
        <v>1884</v>
      </c>
    </row>
    <row r="117" spans="5:5">
      <c r="E117" t="s">
        <v>1885</v>
      </c>
    </row>
    <row r="118" spans="5:5">
      <c r="E118" t="s">
        <v>1886</v>
      </c>
    </row>
    <row r="119" spans="5:5">
      <c r="E119" t="s">
        <v>1887</v>
      </c>
    </row>
    <row r="120" spans="5:5">
      <c r="E120" t="s">
        <v>1888</v>
      </c>
    </row>
    <row r="121" spans="5:5">
      <c r="E121" t="s">
        <v>1889</v>
      </c>
    </row>
    <row r="122" spans="5:5">
      <c r="E122" t="s">
        <v>1890</v>
      </c>
    </row>
    <row r="123" spans="5:5">
      <c r="E123" t="s">
        <v>1891</v>
      </c>
    </row>
    <row r="124" spans="5:5">
      <c r="E124" t="s">
        <v>1892</v>
      </c>
    </row>
    <row r="125" spans="5:5">
      <c r="E125" t="s">
        <v>1893</v>
      </c>
    </row>
    <row r="126" spans="5:5">
      <c r="E126" t="s">
        <v>1894</v>
      </c>
    </row>
    <row r="127" spans="5:5">
      <c r="E127" t="s">
        <v>1895</v>
      </c>
    </row>
    <row r="128" spans="5:5">
      <c r="E128" t="s">
        <v>1896</v>
      </c>
    </row>
    <row r="129" spans="5:5">
      <c r="E129" t="s">
        <v>1897</v>
      </c>
    </row>
    <row r="130" spans="5:5">
      <c r="E130" t="s">
        <v>1898</v>
      </c>
    </row>
    <row r="131" spans="5:5">
      <c r="E131" t="s">
        <v>1899</v>
      </c>
    </row>
    <row r="132" spans="5:5">
      <c r="E132" t="s">
        <v>1900</v>
      </c>
    </row>
    <row r="133" spans="5:5">
      <c r="E133" t="s">
        <v>1901</v>
      </c>
    </row>
    <row r="134" spans="5:5">
      <c r="E134" t="s">
        <v>1902</v>
      </c>
    </row>
    <row r="135" spans="5:5">
      <c r="E135" t="s">
        <v>1903</v>
      </c>
    </row>
    <row r="136" spans="5:5">
      <c r="E136" t="s">
        <v>1904</v>
      </c>
    </row>
    <row r="137" spans="5:5">
      <c r="E137" t="s">
        <v>1905</v>
      </c>
    </row>
    <row r="138" spans="5:5">
      <c r="E138" t="s">
        <v>1906</v>
      </c>
    </row>
    <row r="139" spans="5:5">
      <c r="E139" t="s">
        <v>1907</v>
      </c>
    </row>
    <row r="140" spans="5:5">
      <c r="E140" t="s">
        <v>1908</v>
      </c>
    </row>
    <row r="141" spans="5:5">
      <c r="E141" t="s">
        <v>1909</v>
      </c>
    </row>
    <row r="142" spans="5:5">
      <c r="E142" t="s">
        <v>1910</v>
      </c>
    </row>
    <row r="143" spans="5:5">
      <c r="E143" t="s">
        <v>1911</v>
      </c>
    </row>
    <row r="144" spans="5:5">
      <c r="E144" t="s">
        <v>1912</v>
      </c>
    </row>
    <row r="145" spans="5:5">
      <c r="E145" t="s">
        <v>1913</v>
      </c>
    </row>
    <row r="146" spans="5:5">
      <c r="E146" t="s">
        <v>1914</v>
      </c>
    </row>
    <row r="147" spans="5:5">
      <c r="E147" t="s">
        <v>1915</v>
      </c>
    </row>
    <row r="148" spans="5:5">
      <c r="E148" t="s">
        <v>1916</v>
      </c>
    </row>
    <row r="149" spans="5:5">
      <c r="E149" t="s">
        <v>1917</v>
      </c>
    </row>
    <row r="150" spans="5:5">
      <c r="E150" t="s">
        <v>1918</v>
      </c>
    </row>
    <row r="151" spans="5:5">
      <c r="E151" t="s">
        <v>1919</v>
      </c>
    </row>
    <row r="152" spans="5:5">
      <c r="E152" t="s">
        <v>1920</v>
      </c>
    </row>
    <row r="153" spans="5:5">
      <c r="E153" t="s">
        <v>1921</v>
      </c>
    </row>
    <row r="154" spans="5:5">
      <c r="E154" t="s">
        <v>1922</v>
      </c>
    </row>
    <row r="155" spans="5:5">
      <c r="E155" t="s">
        <v>1923</v>
      </c>
    </row>
    <row r="156" spans="5:5">
      <c r="E156" t="s">
        <v>1924</v>
      </c>
    </row>
    <row r="157" spans="5:5">
      <c r="E157" t="s">
        <v>1925</v>
      </c>
    </row>
    <row r="158" spans="5:5">
      <c r="E158" t="s">
        <v>1926</v>
      </c>
    </row>
    <row r="159" spans="5:5">
      <c r="E159" t="s">
        <v>1927</v>
      </c>
    </row>
    <row r="160" spans="5:5">
      <c r="E160" t="s">
        <v>1928</v>
      </c>
    </row>
    <row r="161" spans="5:5">
      <c r="E161" t="s">
        <v>1929</v>
      </c>
    </row>
    <row r="162" spans="5:5">
      <c r="E162" t="s">
        <v>1930</v>
      </c>
    </row>
    <row r="163" spans="5:5">
      <c r="E163" t="s">
        <v>1931</v>
      </c>
    </row>
    <row r="164" spans="5:5">
      <c r="E164" t="s">
        <v>1932</v>
      </c>
    </row>
    <row r="165" spans="5:5">
      <c r="E165" t="s">
        <v>1933</v>
      </c>
    </row>
    <row r="166" spans="5:5">
      <c r="E166" t="s">
        <v>1934</v>
      </c>
    </row>
    <row r="167" spans="5:5">
      <c r="E167" t="s">
        <v>1935</v>
      </c>
    </row>
    <row r="168" spans="5:5">
      <c r="E168" t="s">
        <v>1936</v>
      </c>
    </row>
    <row r="169" spans="5:5">
      <c r="E169" t="s">
        <v>1937</v>
      </c>
    </row>
    <row r="170" spans="5:5">
      <c r="E170" t="s">
        <v>1938</v>
      </c>
    </row>
    <row r="171" spans="5:5">
      <c r="E171" t="s">
        <v>1939</v>
      </c>
    </row>
    <row r="172" spans="5:5">
      <c r="E172" t="s">
        <v>1940</v>
      </c>
    </row>
    <row r="173" spans="5:5">
      <c r="E173" t="s">
        <v>1941</v>
      </c>
    </row>
    <row r="174" spans="5:5">
      <c r="E174" t="s">
        <v>1942</v>
      </c>
    </row>
    <row r="175" spans="5:5">
      <c r="E175" t="s">
        <v>1943</v>
      </c>
    </row>
    <row r="176" spans="5:5">
      <c r="E176" t="s">
        <v>1944</v>
      </c>
    </row>
    <row r="177" spans="5:5">
      <c r="E177" t="s">
        <v>1945</v>
      </c>
    </row>
    <row r="178" spans="5:5">
      <c r="E178" t="s">
        <v>1946</v>
      </c>
    </row>
    <row r="179" spans="5:5">
      <c r="E179" t="s">
        <v>1947</v>
      </c>
    </row>
    <row r="180" spans="5:5">
      <c r="E180" t="s">
        <v>1948</v>
      </c>
    </row>
    <row r="181" spans="5:5">
      <c r="E181" t="s">
        <v>1949</v>
      </c>
    </row>
    <row r="182" spans="5:5">
      <c r="E182" t="s">
        <v>1950</v>
      </c>
    </row>
    <row r="183" spans="5:5">
      <c r="E183" t="s">
        <v>1951</v>
      </c>
    </row>
    <row r="184" spans="5:5">
      <c r="E184" t="s">
        <v>1952</v>
      </c>
    </row>
    <row r="185" spans="5:5">
      <c r="E185" t="s">
        <v>1953</v>
      </c>
    </row>
    <row r="186" spans="5:5">
      <c r="E186" t="s">
        <v>1954</v>
      </c>
    </row>
    <row r="187" spans="5:5">
      <c r="E187" t="s">
        <v>1955</v>
      </c>
    </row>
    <row r="188" spans="5:5">
      <c r="E188" t="s">
        <v>1956</v>
      </c>
    </row>
    <row r="189" spans="5:5">
      <c r="E189" t="s">
        <v>1957</v>
      </c>
    </row>
    <row r="190" spans="5:5">
      <c r="E190" t="s">
        <v>1958</v>
      </c>
    </row>
    <row r="191" spans="5:5">
      <c r="E191" t="s">
        <v>1959</v>
      </c>
    </row>
    <row r="192" spans="5:5">
      <c r="E192" t="s">
        <v>1960</v>
      </c>
    </row>
    <row r="193" spans="5:5">
      <c r="E193" t="s">
        <v>1961</v>
      </c>
    </row>
    <row r="194" spans="5:5">
      <c r="E194" t="s">
        <v>1962</v>
      </c>
    </row>
    <row r="195" spans="5:5">
      <c r="E195" t="s">
        <v>1963</v>
      </c>
    </row>
    <row r="196" spans="5:5">
      <c r="E196" t="s">
        <v>1964</v>
      </c>
    </row>
    <row r="197" spans="5:5">
      <c r="E197" t="s">
        <v>1965</v>
      </c>
    </row>
    <row r="198" spans="5:5">
      <c r="E198" t="s">
        <v>1966</v>
      </c>
    </row>
    <row r="199" spans="5:5">
      <c r="E199" t="s">
        <v>1967</v>
      </c>
    </row>
    <row r="200" spans="5:5">
      <c r="E200" t="s">
        <v>1968</v>
      </c>
    </row>
    <row r="201" spans="5:5">
      <c r="E201" t="s">
        <v>1969</v>
      </c>
    </row>
    <row r="202" spans="5:5">
      <c r="E202" t="s">
        <v>1970</v>
      </c>
    </row>
    <row r="203" spans="5:5">
      <c r="E203" t="s">
        <v>1971</v>
      </c>
    </row>
    <row r="204" spans="5:5">
      <c r="E204" t="s">
        <v>1972</v>
      </c>
    </row>
    <row r="205" spans="5:5">
      <c r="E205" t="s">
        <v>1973</v>
      </c>
    </row>
    <row r="206" spans="5:5">
      <c r="E206" t="s">
        <v>1974</v>
      </c>
    </row>
    <row r="207" spans="5:5">
      <c r="E207" t="s">
        <v>1975</v>
      </c>
    </row>
    <row r="208" spans="5:5">
      <c r="E208" t="s">
        <v>1976</v>
      </c>
    </row>
    <row r="209" spans="5:5">
      <c r="E209" t="s">
        <v>1977</v>
      </c>
    </row>
    <row r="210" spans="5:5">
      <c r="E210" t="s">
        <v>1978</v>
      </c>
    </row>
    <row r="211" spans="5:5">
      <c r="E211" t="s">
        <v>1979</v>
      </c>
    </row>
    <row r="212" spans="5:5">
      <c r="E212" t="s">
        <v>1980</v>
      </c>
    </row>
    <row r="213" spans="5:5">
      <c r="E213" t="s">
        <v>1981</v>
      </c>
    </row>
    <row r="214" spans="5:5">
      <c r="E214" t="s">
        <v>1982</v>
      </c>
    </row>
    <row r="215" spans="5:5">
      <c r="E215" t="s">
        <v>1983</v>
      </c>
    </row>
    <row r="216" spans="5:5">
      <c r="E216" t="s">
        <v>1984</v>
      </c>
    </row>
    <row r="217" spans="5:5">
      <c r="E217" t="s">
        <v>1985</v>
      </c>
    </row>
    <row r="218" spans="5:5">
      <c r="E218" t="s">
        <v>1986</v>
      </c>
    </row>
    <row r="219" spans="5:5">
      <c r="E219" t="s">
        <v>1987</v>
      </c>
    </row>
    <row r="220" spans="5:5">
      <c r="E220" t="s">
        <v>1988</v>
      </c>
    </row>
    <row r="221" spans="5:5">
      <c r="E221" t="s">
        <v>1989</v>
      </c>
    </row>
    <row r="222" spans="5:5">
      <c r="E222" t="s">
        <v>1990</v>
      </c>
    </row>
    <row r="223" spans="5:5">
      <c r="E223" t="s">
        <v>1991</v>
      </c>
    </row>
    <row r="224" spans="5:5">
      <c r="E224" t="s">
        <v>1992</v>
      </c>
    </row>
    <row r="225" spans="5:5">
      <c r="E225" t="s">
        <v>1993</v>
      </c>
    </row>
    <row r="226" spans="5:5">
      <c r="E226" t="s">
        <v>1994</v>
      </c>
    </row>
    <row r="227" spans="5:5">
      <c r="E227" t="s">
        <v>1995</v>
      </c>
    </row>
    <row r="228" spans="5:5">
      <c r="E228" t="s">
        <v>1996</v>
      </c>
    </row>
    <row r="229" spans="5:5">
      <c r="E229" t="s">
        <v>1997</v>
      </c>
    </row>
    <row r="230" spans="5:5">
      <c r="E230" t="s">
        <v>1998</v>
      </c>
    </row>
    <row r="231" spans="5:5">
      <c r="E231" t="s">
        <v>1999</v>
      </c>
    </row>
    <row r="232" spans="5:5">
      <c r="E232" t="s">
        <v>2000</v>
      </c>
    </row>
    <row r="233" spans="5:5">
      <c r="E233" t="s">
        <v>2001</v>
      </c>
    </row>
    <row r="234" spans="5:5">
      <c r="E234" t="s">
        <v>2002</v>
      </c>
    </row>
    <row r="235" spans="5:5">
      <c r="E235" t="s">
        <v>2003</v>
      </c>
    </row>
    <row r="236" spans="5:5">
      <c r="E236" t="s">
        <v>2004</v>
      </c>
    </row>
    <row r="237" spans="5:5">
      <c r="E237" t="s">
        <v>2005</v>
      </c>
    </row>
    <row r="238" spans="5:5">
      <c r="E238" t="s">
        <v>2006</v>
      </c>
    </row>
    <row r="239" spans="5:5">
      <c r="E239" t="s">
        <v>1672</v>
      </c>
    </row>
    <row r="240" spans="5:5">
      <c r="E240" t="s">
        <v>2007</v>
      </c>
    </row>
    <row r="241" spans="5:5">
      <c r="E241" t="s">
        <v>2008</v>
      </c>
    </row>
    <row r="242" spans="5:5">
      <c r="E242" t="s">
        <v>2009</v>
      </c>
    </row>
    <row r="243" spans="5:5">
      <c r="E243" t="s">
        <v>2010</v>
      </c>
    </row>
    <row r="244" spans="5:5">
      <c r="E244" t="s">
        <v>2011</v>
      </c>
    </row>
    <row r="245" spans="5:5">
      <c r="E245" t="s">
        <v>2012</v>
      </c>
    </row>
    <row r="246" spans="5:5">
      <c r="E246" t="s">
        <v>2013</v>
      </c>
    </row>
    <row r="247" spans="5:5">
      <c r="E247" t="s">
        <v>2014</v>
      </c>
    </row>
    <row r="248" spans="5:5">
      <c r="E248" t="s">
        <v>2015</v>
      </c>
    </row>
    <row r="249" spans="5:5">
      <c r="E249" t="s">
        <v>2016</v>
      </c>
    </row>
    <row r="250" spans="5:5">
      <c r="E250" t="s">
        <v>2017</v>
      </c>
    </row>
    <row r="251" spans="5:5">
      <c r="E251" t="s">
        <v>2018</v>
      </c>
    </row>
    <row r="252" spans="5:5">
      <c r="E252" t="s">
        <v>2019</v>
      </c>
    </row>
    <row r="253" spans="5:5">
      <c r="E253" t="s">
        <v>2020</v>
      </c>
    </row>
    <row r="254" spans="5:5">
      <c r="E254" t="s">
        <v>2021</v>
      </c>
    </row>
    <row r="255" spans="5:5">
      <c r="E255" t="s">
        <v>2022</v>
      </c>
    </row>
    <row r="256" spans="5:5">
      <c r="E256" t="s">
        <v>2023</v>
      </c>
    </row>
    <row r="257" spans="5:5">
      <c r="E257" t="s">
        <v>2024</v>
      </c>
    </row>
    <row r="258" spans="5:5">
      <c r="E258" t="s">
        <v>2025</v>
      </c>
    </row>
    <row r="259" spans="5:5">
      <c r="E259" t="s">
        <v>2026</v>
      </c>
    </row>
    <row r="260" spans="5:5">
      <c r="E260" t="s">
        <v>2027</v>
      </c>
    </row>
    <row r="261" spans="5:5">
      <c r="E261" t="s">
        <v>2028</v>
      </c>
    </row>
    <row r="262" spans="5:5">
      <c r="E262" t="s">
        <v>2029</v>
      </c>
    </row>
    <row r="263" spans="5:5">
      <c r="E263" t="s">
        <v>2030</v>
      </c>
    </row>
    <row r="264" spans="5:5">
      <c r="E264" t="s">
        <v>2031</v>
      </c>
    </row>
    <row r="265" spans="5:5">
      <c r="E265" t="s">
        <v>2032</v>
      </c>
    </row>
    <row r="266" spans="5:5">
      <c r="E266" t="s">
        <v>2033</v>
      </c>
    </row>
    <row r="267" spans="5:5">
      <c r="E267" t="s">
        <v>2034</v>
      </c>
    </row>
    <row r="268" spans="5:5">
      <c r="E268" t="s">
        <v>2035</v>
      </c>
    </row>
    <row r="269" spans="5:5">
      <c r="E269" t="s">
        <v>2036</v>
      </c>
    </row>
    <row r="270" spans="5:5">
      <c r="E270" t="s">
        <v>2037</v>
      </c>
    </row>
    <row r="271" spans="5:5">
      <c r="E271" t="s">
        <v>2038</v>
      </c>
    </row>
  </sheetData>
  <sheetProtection formatCells="0" insertHyperlinks="0" autoFilter="0"/>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65"/>
  <sheetViews>
    <sheetView workbookViewId="0">
      <selection activeCell="A1" sqref="A1"/>
    </sheetView>
  </sheetViews>
  <sheetFormatPr defaultColWidth="9" defaultRowHeight="16.8" outlineLevelCol="1"/>
  <sheetData>
    <row r="1" spans="1:2">
      <c r="A1" t="s">
        <v>1285</v>
      </c>
      <c r="B1" t="s">
        <v>1237</v>
      </c>
    </row>
    <row r="2" spans="1:2">
      <c r="A2" t="s">
        <v>1189</v>
      </c>
      <c r="B2">
        <v>1</v>
      </c>
    </row>
    <row r="3" spans="1:2">
      <c r="A3" t="s">
        <v>1097</v>
      </c>
      <c r="B3">
        <v>1</v>
      </c>
    </row>
    <row r="4" spans="1:2">
      <c r="A4" t="s">
        <v>1092</v>
      </c>
      <c r="B4">
        <v>1</v>
      </c>
    </row>
    <row r="5" spans="1:2">
      <c r="A5" t="s">
        <v>1169</v>
      </c>
      <c r="B5">
        <v>1</v>
      </c>
    </row>
    <row r="6" spans="1:2">
      <c r="A6" t="s">
        <v>1194</v>
      </c>
      <c r="B6">
        <v>1</v>
      </c>
    </row>
    <row r="7" spans="1:2">
      <c r="A7" t="s">
        <v>1089</v>
      </c>
      <c r="B7">
        <v>1</v>
      </c>
    </row>
    <row r="8" spans="1:2">
      <c r="A8" t="s">
        <v>1188</v>
      </c>
      <c r="B8">
        <v>1</v>
      </c>
    </row>
    <row r="9" spans="1:2">
      <c r="A9" t="s">
        <v>1185</v>
      </c>
      <c r="B9">
        <v>1</v>
      </c>
    </row>
    <row r="10" spans="1:2">
      <c r="A10" t="s">
        <v>1179</v>
      </c>
      <c r="B10">
        <v>1</v>
      </c>
    </row>
    <row r="11" spans="1:2">
      <c r="A11" t="s">
        <v>1094</v>
      </c>
      <c r="B11">
        <v>1</v>
      </c>
    </row>
    <row r="12" spans="1:2">
      <c r="A12" t="s">
        <v>1183</v>
      </c>
      <c r="B12">
        <v>1</v>
      </c>
    </row>
    <row r="13" spans="1:2">
      <c r="A13" t="s">
        <v>1040</v>
      </c>
      <c r="B13">
        <v>1</v>
      </c>
    </row>
    <row r="14" spans="1:2">
      <c r="A14" t="s">
        <v>1088</v>
      </c>
      <c r="B14">
        <v>1</v>
      </c>
    </row>
    <row r="15" spans="1:2">
      <c r="A15" t="s">
        <v>1191</v>
      </c>
      <c r="B15">
        <v>1</v>
      </c>
    </row>
    <row r="16" spans="1:2">
      <c r="A16" t="s">
        <v>1103</v>
      </c>
      <c r="B16">
        <v>1</v>
      </c>
    </row>
    <row r="17" spans="1:2">
      <c r="A17" t="s">
        <v>1176</v>
      </c>
      <c r="B17">
        <v>1</v>
      </c>
    </row>
    <row r="18" spans="1:2">
      <c r="A18" t="s">
        <v>1093</v>
      </c>
      <c r="B18">
        <v>1</v>
      </c>
    </row>
    <row r="19" spans="1:2">
      <c r="A19" t="s">
        <v>1106</v>
      </c>
      <c r="B19">
        <v>1</v>
      </c>
    </row>
    <row r="20" spans="1:2">
      <c r="A20" t="s">
        <v>1177</v>
      </c>
      <c r="B20">
        <v>1</v>
      </c>
    </row>
    <row r="21" spans="1:2">
      <c r="A21" t="s">
        <v>1174</v>
      </c>
      <c r="B21">
        <v>1</v>
      </c>
    </row>
    <row r="22" spans="1:2">
      <c r="A22" t="s">
        <v>1172</v>
      </c>
      <c r="B22">
        <v>1</v>
      </c>
    </row>
    <row r="23" spans="1:2">
      <c r="A23" t="s">
        <v>1033</v>
      </c>
      <c r="B23">
        <v>1</v>
      </c>
    </row>
    <row r="24" spans="1:2">
      <c r="A24" t="s">
        <v>1187</v>
      </c>
      <c r="B24">
        <v>1</v>
      </c>
    </row>
    <row r="25" spans="1:2">
      <c r="A25" t="s">
        <v>1087</v>
      </c>
      <c r="B25">
        <v>1</v>
      </c>
    </row>
    <row r="26" spans="1:2">
      <c r="A26" t="s">
        <v>1100</v>
      </c>
      <c r="B26">
        <v>1</v>
      </c>
    </row>
    <row r="27" spans="1:2">
      <c r="A27" t="s">
        <v>1168</v>
      </c>
      <c r="B27">
        <v>1</v>
      </c>
    </row>
    <row r="28" spans="1:2">
      <c r="A28" t="s">
        <v>1101</v>
      </c>
      <c r="B28">
        <v>1</v>
      </c>
    </row>
    <row r="29" spans="1:2">
      <c r="A29" t="s">
        <v>1178</v>
      </c>
      <c r="B29">
        <v>1</v>
      </c>
    </row>
    <row r="30" spans="1:2">
      <c r="A30" t="s">
        <v>1105</v>
      </c>
      <c r="B30">
        <v>1</v>
      </c>
    </row>
    <row r="31" spans="1:2">
      <c r="A31" t="s">
        <v>1107</v>
      </c>
      <c r="B31">
        <v>1</v>
      </c>
    </row>
    <row r="32" spans="1:2">
      <c r="A32" t="s">
        <v>1104</v>
      </c>
      <c r="B32">
        <v>1</v>
      </c>
    </row>
    <row r="33" spans="1:2">
      <c r="A33" t="s">
        <v>1098</v>
      </c>
      <c r="B33">
        <v>1</v>
      </c>
    </row>
    <row r="34" spans="1:2">
      <c r="A34" t="s">
        <v>1190</v>
      </c>
      <c r="B34">
        <v>1</v>
      </c>
    </row>
    <row r="35" spans="1:2">
      <c r="A35" t="s">
        <v>1195</v>
      </c>
      <c r="B35">
        <v>1</v>
      </c>
    </row>
    <row r="36" spans="1:2">
      <c r="A36" t="s">
        <v>1031</v>
      </c>
      <c r="B36">
        <v>1</v>
      </c>
    </row>
    <row r="37" spans="1:2">
      <c r="A37" t="s">
        <v>1090</v>
      </c>
      <c r="B37">
        <v>1</v>
      </c>
    </row>
    <row r="38" spans="1:2">
      <c r="A38" t="s">
        <v>1186</v>
      </c>
      <c r="B38">
        <v>1</v>
      </c>
    </row>
    <row r="39" spans="1:2">
      <c r="A39" t="s">
        <v>1193</v>
      </c>
      <c r="B39">
        <v>1</v>
      </c>
    </row>
    <row r="40" spans="1:2">
      <c r="A40" t="s">
        <v>1182</v>
      </c>
      <c r="B40">
        <v>1</v>
      </c>
    </row>
    <row r="41" spans="1:2">
      <c r="A41" t="s">
        <v>1184</v>
      </c>
      <c r="B41">
        <v>1</v>
      </c>
    </row>
    <row r="42" spans="1:2">
      <c r="A42" t="s">
        <v>1026</v>
      </c>
      <c r="B42">
        <v>1</v>
      </c>
    </row>
    <row r="43" spans="1:2">
      <c r="A43" t="s">
        <v>1173</v>
      </c>
      <c r="B43">
        <v>1</v>
      </c>
    </row>
    <row r="44" spans="1:2">
      <c r="A44" t="s">
        <v>1180</v>
      </c>
      <c r="B44">
        <v>1</v>
      </c>
    </row>
    <row r="45" spans="1:2">
      <c r="A45" t="s">
        <v>1096</v>
      </c>
      <c r="B45">
        <v>1</v>
      </c>
    </row>
    <row r="46" spans="1:2">
      <c r="A46" t="s">
        <v>1170</v>
      </c>
      <c r="B46">
        <v>1</v>
      </c>
    </row>
    <row r="47" spans="1:2">
      <c r="A47" t="s">
        <v>1171</v>
      </c>
      <c r="B47">
        <v>1</v>
      </c>
    </row>
    <row r="48" spans="1:2">
      <c r="A48" t="s">
        <v>1175</v>
      </c>
      <c r="B48">
        <v>1</v>
      </c>
    </row>
    <row r="49" spans="1:2">
      <c r="A49" t="s">
        <v>1102</v>
      </c>
      <c r="B49">
        <v>1</v>
      </c>
    </row>
    <row r="50" spans="1:2">
      <c r="A50" t="s">
        <v>1181</v>
      </c>
      <c r="B50">
        <v>1</v>
      </c>
    </row>
    <row r="51" spans="1:2">
      <c r="A51" t="s">
        <v>1091</v>
      </c>
      <c r="B51">
        <v>1</v>
      </c>
    </row>
    <row r="52" spans="1:2">
      <c r="A52" t="s">
        <v>1038</v>
      </c>
      <c r="B52">
        <v>1</v>
      </c>
    </row>
    <row r="53" spans="1:2">
      <c r="A53" t="s">
        <v>1099</v>
      </c>
      <c r="B53">
        <v>1</v>
      </c>
    </row>
    <row r="54" spans="1:2">
      <c r="A54" t="s">
        <v>1108</v>
      </c>
      <c r="B54">
        <v>1</v>
      </c>
    </row>
    <row r="55" spans="1:2">
      <c r="A55" t="s">
        <v>1095</v>
      </c>
      <c r="B55">
        <v>1</v>
      </c>
    </row>
    <row r="56" spans="1:2">
      <c r="A56" t="s">
        <v>1285</v>
      </c>
      <c r="B56" t="s">
        <v>1237</v>
      </c>
    </row>
    <row r="57" spans="1:2">
      <c r="A57" t="s">
        <v>1226</v>
      </c>
      <c r="B57">
        <v>1</v>
      </c>
    </row>
    <row r="58" spans="1:2">
      <c r="A58" t="s">
        <v>1204</v>
      </c>
      <c r="B58">
        <v>1</v>
      </c>
    </row>
    <row r="59" spans="1:2">
      <c r="A59" t="s">
        <v>1125</v>
      </c>
      <c r="B59">
        <v>1</v>
      </c>
    </row>
    <row r="60" spans="1:2">
      <c r="A60" t="s">
        <v>1147</v>
      </c>
      <c r="B60">
        <v>1</v>
      </c>
    </row>
    <row r="61" spans="1:2">
      <c r="A61" t="s">
        <v>1109</v>
      </c>
      <c r="B61">
        <v>1</v>
      </c>
    </row>
    <row r="62" spans="1:2">
      <c r="A62" t="s">
        <v>1221</v>
      </c>
      <c r="B62">
        <v>1</v>
      </c>
    </row>
    <row r="63" spans="1:2">
      <c r="A63" t="s">
        <v>1007</v>
      </c>
      <c r="B63">
        <v>1</v>
      </c>
    </row>
    <row r="64" spans="1:2">
      <c r="A64" t="s">
        <v>1230</v>
      </c>
      <c r="B64">
        <v>1</v>
      </c>
    </row>
    <row r="65" spans="1:2">
      <c r="A65" t="s">
        <v>1119</v>
      </c>
      <c r="B65">
        <v>1</v>
      </c>
    </row>
    <row r="66" spans="1:2">
      <c r="A66" t="s">
        <v>1141</v>
      </c>
      <c r="B66">
        <v>1</v>
      </c>
    </row>
    <row r="67" spans="1:2">
      <c r="A67" t="s">
        <v>1229</v>
      </c>
      <c r="B67">
        <v>1</v>
      </c>
    </row>
    <row r="68" spans="1:2">
      <c r="A68" t="s">
        <v>1126</v>
      </c>
      <c r="B68">
        <v>1</v>
      </c>
    </row>
    <row r="69" spans="1:2">
      <c r="A69" t="s">
        <v>1124</v>
      </c>
      <c r="B69">
        <v>1</v>
      </c>
    </row>
    <row r="70" spans="1:2">
      <c r="A70" t="s">
        <v>1134</v>
      </c>
      <c r="B70">
        <v>1</v>
      </c>
    </row>
    <row r="71" spans="1:2">
      <c r="A71" t="s">
        <v>1123</v>
      </c>
      <c r="B71">
        <v>1</v>
      </c>
    </row>
    <row r="72" spans="1:2">
      <c r="A72" t="s">
        <v>1200</v>
      </c>
      <c r="B72">
        <v>1</v>
      </c>
    </row>
    <row r="73" spans="1:2">
      <c r="A73" t="s">
        <v>1131</v>
      </c>
      <c r="B73">
        <v>1</v>
      </c>
    </row>
    <row r="74" spans="1:2">
      <c r="A74" t="s">
        <v>1115</v>
      </c>
      <c r="B74">
        <v>1</v>
      </c>
    </row>
    <row r="75" spans="1:2">
      <c r="A75" t="s">
        <v>1209</v>
      </c>
      <c r="B75">
        <v>1</v>
      </c>
    </row>
    <row r="76" spans="1:2">
      <c r="A76" t="s">
        <v>1003</v>
      </c>
      <c r="B76">
        <v>1</v>
      </c>
    </row>
    <row r="77" spans="1:2">
      <c r="A77" t="s">
        <v>2039</v>
      </c>
      <c r="B77">
        <v>1</v>
      </c>
    </row>
    <row r="78" spans="1:2">
      <c r="A78" t="s">
        <v>1116</v>
      </c>
      <c r="B78">
        <v>1</v>
      </c>
    </row>
    <row r="79" spans="1:2">
      <c r="A79" t="s">
        <v>1005</v>
      </c>
      <c r="B79">
        <v>1</v>
      </c>
    </row>
    <row r="80" spans="1:2">
      <c r="A80" t="s">
        <v>1148</v>
      </c>
      <c r="B80">
        <v>1</v>
      </c>
    </row>
    <row r="81" spans="1:2">
      <c r="A81" t="s">
        <v>1113</v>
      </c>
      <c r="B81">
        <v>1</v>
      </c>
    </row>
    <row r="82" spans="1:2">
      <c r="A82" t="s">
        <v>1205</v>
      </c>
      <c r="B82">
        <v>1</v>
      </c>
    </row>
    <row r="83" spans="1:2">
      <c r="A83" t="s">
        <v>1232</v>
      </c>
      <c r="B83">
        <v>1</v>
      </c>
    </row>
    <row r="84" spans="1:2">
      <c r="A84" t="s">
        <v>1138</v>
      </c>
      <c r="B84">
        <v>1</v>
      </c>
    </row>
    <row r="85" spans="1:2">
      <c r="A85" t="s">
        <v>1164</v>
      </c>
      <c r="B85">
        <v>1</v>
      </c>
    </row>
    <row r="86" spans="1:2">
      <c r="A86" t="s">
        <v>1213</v>
      </c>
      <c r="B86">
        <v>1</v>
      </c>
    </row>
    <row r="87" spans="1:2">
      <c r="A87" t="s">
        <v>1144</v>
      </c>
      <c r="B87">
        <v>1</v>
      </c>
    </row>
    <row r="88" spans="1:2">
      <c r="A88" t="s">
        <v>1142</v>
      </c>
      <c r="B88">
        <v>1</v>
      </c>
    </row>
    <row r="89" spans="1:2">
      <c r="A89" t="s">
        <v>1234</v>
      </c>
      <c r="B89">
        <v>1</v>
      </c>
    </row>
    <row r="90" spans="1:2">
      <c r="A90" t="s">
        <v>1202</v>
      </c>
      <c r="B90">
        <v>1</v>
      </c>
    </row>
    <row r="91" spans="1:2">
      <c r="A91" t="s">
        <v>1118</v>
      </c>
      <c r="B91">
        <v>1</v>
      </c>
    </row>
    <row r="92" spans="1:2">
      <c r="A92" t="s">
        <v>1111</v>
      </c>
      <c r="B92">
        <v>1</v>
      </c>
    </row>
    <row r="93" spans="1:2">
      <c r="A93" t="s">
        <v>1218</v>
      </c>
      <c r="B93">
        <v>1</v>
      </c>
    </row>
    <row r="94" spans="1:2">
      <c r="A94" t="s">
        <v>1139</v>
      </c>
      <c r="B94">
        <v>1</v>
      </c>
    </row>
    <row r="95" spans="1:2">
      <c r="A95" t="s">
        <v>1197</v>
      </c>
      <c r="B95">
        <v>1</v>
      </c>
    </row>
    <row r="96" spans="1:2">
      <c r="A96" t="s">
        <v>1132</v>
      </c>
      <c r="B96">
        <v>1</v>
      </c>
    </row>
    <row r="97" spans="1:2">
      <c r="A97" t="s">
        <v>1120</v>
      </c>
      <c r="B97">
        <v>1</v>
      </c>
    </row>
    <row r="98" spans="1:2">
      <c r="A98" t="s">
        <v>1110</v>
      </c>
      <c r="B98">
        <v>1</v>
      </c>
    </row>
    <row r="99" spans="1:2">
      <c r="A99" t="s">
        <v>1135</v>
      </c>
      <c r="B99">
        <v>1</v>
      </c>
    </row>
    <row r="100" spans="1:2">
      <c r="A100" t="s">
        <v>1112</v>
      </c>
      <c r="B100">
        <v>1</v>
      </c>
    </row>
    <row r="101" spans="1:2">
      <c r="A101" t="s">
        <v>1220</v>
      </c>
      <c r="B101">
        <v>1</v>
      </c>
    </row>
    <row r="102" spans="1:2">
      <c r="A102" t="s">
        <v>1063</v>
      </c>
      <c r="B102">
        <v>1</v>
      </c>
    </row>
    <row r="103" spans="1:2">
      <c r="A103" t="s">
        <v>1156</v>
      </c>
      <c r="B103">
        <v>1</v>
      </c>
    </row>
    <row r="104" spans="1:2">
      <c r="A104" t="s">
        <v>1163</v>
      </c>
      <c r="B104">
        <v>1</v>
      </c>
    </row>
    <row r="105" spans="1:2">
      <c r="A105" t="s">
        <v>1128</v>
      </c>
      <c r="B105">
        <v>1</v>
      </c>
    </row>
    <row r="106" spans="1:2">
      <c r="A106" t="s">
        <v>1198</v>
      </c>
      <c r="B106">
        <v>1</v>
      </c>
    </row>
    <row r="107" spans="1:2">
      <c r="A107" t="s">
        <v>1149</v>
      </c>
      <c r="B107">
        <v>1</v>
      </c>
    </row>
    <row r="108" spans="1:2">
      <c r="A108" t="s">
        <v>1167</v>
      </c>
      <c r="B108">
        <v>1</v>
      </c>
    </row>
    <row r="109" spans="1:2">
      <c r="A109" t="s">
        <v>1136</v>
      </c>
      <c r="B109">
        <v>1</v>
      </c>
    </row>
    <row r="110" spans="1:2">
      <c r="A110" t="s">
        <v>1157</v>
      </c>
      <c r="B110">
        <v>1</v>
      </c>
    </row>
    <row r="111" spans="1:2">
      <c r="A111" t="s">
        <v>1155</v>
      </c>
      <c r="B111">
        <v>1</v>
      </c>
    </row>
    <row r="112" spans="1:2">
      <c r="A112" t="s">
        <v>1210</v>
      </c>
      <c r="B112">
        <v>1</v>
      </c>
    </row>
    <row r="113" spans="1:2">
      <c r="A113" t="s">
        <v>1143</v>
      </c>
      <c r="B113">
        <v>1</v>
      </c>
    </row>
    <row r="114" spans="1:2">
      <c r="A114" t="s">
        <v>1224</v>
      </c>
      <c r="B114">
        <v>1</v>
      </c>
    </row>
    <row r="115" spans="1:2">
      <c r="A115" t="s">
        <v>1199</v>
      </c>
      <c r="B115">
        <v>1</v>
      </c>
    </row>
    <row r="116" spans="1:2">
      <c r="A116" t="s">
        <v>1114</v>
      </c>
      <c r="B116">
        <v>1</v>
      </c>
    </row>
    <row r="117" spans="1:2">
      <c r="A117" t="s">
        <v>1206</v>
      </c>
      <c r="B117">
        <v>1</v>
      </c>
    </row>
    <row r="118" spans="1:2">
      <c r="A118" t="s">
        <v>1233</v>
      </c>
      <c r="B118">
        <v>1</v>
      </c>
    </row>
    <row r="119" spans="1:2">
      <c r="A119" t="s">
        <v>1228</v>
      </c>
      <c r="B119">
        <v>1</v>
      </c>
    </row>
    <row r="120" spans="1:2">
      <c r="A120" t="s">
        <v>1004</v>
      </c>
      <c r="B120">
        <v>1</v>
      </c>
    </row>
    <row r="121" spans="1:2">
      <c r="A121" t="s">
        <v>1196</v>
      </c>
      <c r="B121">
        <v>1</v>
      </c>
    </row>
    <row r="122" spans="1:2">
      <c r="A122" t="s">
        <v>1159</v>
      </c>
      <c r="B122">
        <v>1</v>
      </c>
    </row>
    <row r="123" spans="1:2">
      <c r="A123" t="s">
        <v>1121</v>
      </c>
      <c r="B123">
        <v>1</v>
      </c>
    </row>
    <row r="124" spans="1:2">
      <c r="A124" t="s">
        <v>1215</v>
      </c>
      <c r="B124">
        <v>1</v>
      </c>
    </row>
    <row r="125" spans="1:2">
      <c r="A125" t="s">
        <v>1165</v>
      </c>
      <c r="B125">
        <v>1</v>
      </c>
    </row>
    <row r="126" spans="1:2">
      <c r="A126" t="s">
        <v>1219</v>
      </c>
      <c r="B126">
        <v>1</v>
      </c>
    </row>
    <row r="127" spans="1:2">
      <c r="A127" t="s">
        <v>1208</v>
      </c>
      <c r="B127">
        <v>1</v>
      </c>
    </row>
    <row r="128" spans="1:2">
      <c r="A128" t="s">
        <v>1217</v>
      </c>
      <c r="B128">
        <v>1</v>
      </c>
    </row>
    <row r="129" spans="1:2">
      <c r="A129" t="s">
        <v>1236</v>
      </c>
      <c r="B129">
        <v>1</v>
      </c>
    </row>
    <row r="130" spans="1:2">
      <c r="A130" t="s">
        <v>1130</v>
      </c>
      <c r="B130">
        <v>1</v>
      </c>
    </row>
    <row r="131" spans="1:2">
      <c r="A131" t="s">
        <v>1150</v>
      </c>
      <c r="B131">
        <v>1</v>
      </c>
    </row>
    <row r="132" spans="1:2">
      <c r="A132" t="s">
        <v>1117</v>
      </c>
      <c r="B132">
        <v>1</v>
      </c>
    </row>
    <row r="133" spans="1:2">
      <c r="A133" t="s">
        <v>1223</v>
      </c>
      <c r="B133">
        <v>1</v>
      </c>
    </row>
    <row r="134" spans="1:2">
      <c r="A134" t="s">
        <v>1225</v>
      </c>
      <c r="B134">
        <v>1</v>
      </c>
    </row>
    <row r="135" spans="1:2">
      <c r="A135" t="s">
        <v>1145</v>
      </c>
      <c r="B135">
        <v>1</v>
      </c>
    </row>
    <row r="136" spans="1:2">
      <c r="A136" t="s">
        <v>1160</v>
      </c>
      <c r="B136">
        <v>1</v>
      </c>
    </row>
    <row r="137" spans="1:2">
      <c r="A137" t="s">
        <v>1192</v>
      </c>
      <c r="B137">
        <v>1</v>
      </c>
    </row>
    <row r="138" spans="1:2">
      <c r="A138" t="s">
        <v>1227</v>
      </c>
      <c r="B138">
        <v>1</v>
      </c>
    </row>
    <row r="139" spans="1:2">
      <c r="A139" t="s">
        <v>1214</v>
      </c>
      <c r="B139">
        <v>1</v>
      </c>
    </row>
    <row r="140" spans="1:2">
      <c r="A140" t="s">
        <v>1162</v>
      </c>
      <c r="B140">
        <v>1</v>
      </c>
    </row>
    <row r="141" spans="1:2">
      <c r="A141" t="s">
        <v>1146</v>
      </c>
      <c r="B141">
        <v>1</v>
      </c>
    </row>
    <row r="142" spans="1:2">
      <c r="A142" t="s">
        <v>1044</v>
      </c>
      <c r="B142">
        <v>1</v>
      </c>
    </row>
    <row r="143" spans="1:2">
      <c r="A143" t="s">
        <v>990</v>
      </c>
      <c r="B143">
        <v>1</v>
      </c>
    </row>
    <row r="144" spans="1:2">
      <c r="A144" t="s">
        <v>1158</v>
      </c>
      <c r="B144">
        <v>1</v>
      </c>
    </row>
    <row r="145" spans="1:2">
      <c r="A145" t="s">
        <v>1127</v>
      </c>
      <c r="B145">
        <v>1</v>
      </c>
    </row>
    <row r="146" spans="1:2">
      <c r="A146" t="s">
        <v>1207</v>
      </c>
      <c r="B146">
        <v>1</v>
      </c>
    </row>
    <row r="147" spans="1:2">
      <c r="A147" t="s">
        <v>1235</v>
      </c>
      <c r="B147">
        <v>1</v>
      </c>
    </row>
    <row r="148" spans="1:2">
      <c r="A148" t="s">
        <v>1129</v>
      </c>
      <c r="B148">
        <v>1</v>
      </c>
    </row>
    <row r="149" spans="1:2">
      <c r="A149" t="s">
        <v>1222</v>
      </c>
      <c r="B149">
        <v>1</v>
      </c>
    </row>
    <row r="150" spans="1:2">
      <c r="A150" t="s">
        <v>1122</v>
      </c>
      <c r="B150">
        <v>1</v>
      </c>
    </row>
    <row r="151" spans="1:2">
      <c r="A151" t="s">
        <v>1201</v>
      </c>
      <c r="B151">
        <v>1</v>
      </c>
    </row>
    <row r="152" spans="1:2">
      <c r="A152" t="s">
        <v>1140</v>
      </c>
      <c r="B152">
        <v>1</v>
      </c>
    </row>
    <row r="153" spans="1:2">
      <c r="A153" t="s">
        <v>1161</v>
      </c>
      <c r="B153">
        <v>1</v>
      </c>
    </row>
    <row r="154" spans="1:2">
      <c r="A154" t="s">
        <v>1166</v>
      </c>
      <c r="B154">
        <v>1</v>
      </c>
    </row>
    <row r="155" spans="1:2">
      <c r="A155" t="s">
        <v>1137</v>
      </c>
      <c r="B155">
        <v>1</v>
      </c>
    </row>
    <row r="156" spans="1:2">
      <c r="A156" t="s">
        <v>1154</v>
      </c>
      <c r="B156">
        <v>1</v>
      </c>
    </row>
    <row r="157" spans="1:2">
      <c r="A157" t="s">
        <v>215</v>
      </c>
      <c r="B157">
        <v>1</v>
      </c>
    </row>
    <row r="158" spans="1:2">
      <c r="A158" t="s">
        <v>1211</v>
      </c>
      <c r="B158">
        <v>1</v>
      </c>
    </row>
    <row r="159" spans="1:2">
      <c r="A159" t="s">
        <v>1133</v>
      </c>
      <c r="B159">
        <v>1</v>
      </c>
    </row>
    <row r="160" spans="1:2">
      <c r="A160" t="s">
        <v>1203</v>
      </c>
      <c r="B160">
        <v>1</v>
      </c>
    </row>
    <row r="161" spans="1:2">
      <c r="A161" t="s">
        <v>1212</v>
      </c>
      <c r="B161">
        <v>1</v>
      </c>
    </row>
    <row r="162" spans="1:2">
      <c r="A162" t="s">
        <v>1216</v>
      </c>
      <c r="B162">
        <v>1</v>
      </c>
    </row>
    <row r="163" spans="1:2">
      <c r="A163" t="s">
        <v>997</v>
      </c>
      <c r="B163">
        <v>1</v>
      </c>
    </row>
    <row r="164" spans="1:2">
      <c r="A164" t="s">
        <v>1231</v>
      </c>
      <c r="B164">
        <v>1</v>
      </c>
    </row>
    <row r="165" spans="1:2">
      <c r="A165" t="s">
        <v>1285</v>
      </c>
      <c r="B165" t="s">
        <v>1237</v>
      </c>
    </row>
  </sheetData>
  <sheetProtection formatCells="0" insertHyperlinks="0" autoFilter="0"/>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DC3875BF-13D6-4817-9B69-0B22B651B2C7}">
  <ds:schemaRefs/>
</ds:datastoreItem>
</file>

<file path=customXml/itemProps2.xml><?xml version="1.0" encoding="utf-8"?>
<ds:datastoreItem xmlns:ds="http://schemas.openxmlformats.org/officeDocument/2006/customXml" ds:itemID="{3F8FC9E7-9E3E-4D00-BC07-C2C84DFACBCF}">
  <ds:schemaRefs/>
</ds:datastoreItem>
</file>

<file path=customXml/itemProps3.xml><?xml version="1.0" encoding="utf-8"?>
<ds:datastoreItem xmlns:ds="http://schemas.openxmlformats.org/officeDocument/2006/customXml" ds:itemID="{06A0048C-2381-489B-AA07-9611017176EA}">
  <ds:schemaRefs/>
</ds:datastoreItem>
</file>

<file path=customXml/itemProps4.xml><?xml version="1.0" encoding="utf-8"?>
<ds:datastoreItem xmlns:ds="http://schemas.openxmlformats.org/officeDocument/2006/customXml" ds:itemID="{224D003E-15C9-4FFE-AB16-9E66474EAE4E}">
  <ds:schemaRefs/>
</ds:datastoreItem>
</file>

<file path=customXml/itemProps5.xml><?xml version="1.0" encoding="utf-8"?>
<ds:datastoreItem xmlns:ds="http://schemas.openxmlformats.org/officeDocument/2006/customXml" ds:itemID="{9F91F69C-6E8C-4246-BC25-297BFDC75D90}">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10</vt:i4>
      </vt:variant>
    </vt:vector>
  </HeadingPairs>
  <TitlesOfParts>
    <vt:vector size="10" baseType="lpstr">
      <vt:lpstr>icons</vt:lpstr>
      <vt:lpstr>International URLs</vt:lpstr>
      <vt:lpstr>International Settings</vt:lpstr>
      <vt:lpstr>DropdownSizer</vt:lpstr>
      <vt:lpstr>International Translations</vt:lpstr>
      <vt:lpstr>Data Validation</vt:lpstr>
      <vt:lpstr>International Data</vt:lpstr>
      <vt:lpstr>template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melodylu</cp:lastModifiedBy>
  <dcterms:created xsi:type="dcterms:W3CDTF">2012-05-04T10:29:00Z</dcterms:created>
  <dcterms:modified xsi:type="dcterms:W3CDTF">2026-03-18T13:20:27Z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2052-12.1.25201.25201</vt:lpwstr>
  </property>
  <property fmtid="{D5CDD505-2E9C-101B-9397-08002B2CF9AE}" pid="3" name="ICV">
    <vt:lpwstr>4E814979842B40EB99E3583F10B4CEBA_13</vt:lpwstr>
  </property>
  <property fmtid="{D5CDD505-2E9C-101B-9397-08002B2CF9AE}" pid="4" name="CalculationRule">
    <vt:i4>0</vt:i4>
  </property>
</Properties>
</file>